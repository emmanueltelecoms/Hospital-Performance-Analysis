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9.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2.xml" ContentType="application/vnd.openxmlformats-officedocument.spreadsheetml.pivotTable+xml"/>
  <Override PartName="/xl/drawings/drawing10.xml" ContentType="application/vnd.openxmlformats-officedocument.drawing+xml"/>
  <Override PartName="/xl/charts/chartEx1.xml" ContentType="application/vnd.ms-office.chartex+xml"/>
  <Override PartName="/xl/charts/style12.xml" ContentType="application/vnd.ms-office.chartstyle+xml"/>
  <Override PartName="/xl/charts/colors12.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11.xml" ContentType="application/vnd.openxmlformats-officedocument.drawing+xml"/>
  <Override PartName="/xl/slicers/slicer1.xml" ContentType="application/vnd.ms-excel.slicer+xml"/>
  <Override PartName="/xl/drawings/drawing12.xml" ContentType="application/vnd.openxmlformats-officedocument.drawing+xml"/>
  <Override PartName="/xl/slicers/slicer2.xml" ContentType="application/vnd.ms-excel.slicer+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DELL\Documents\Telecoms Pratice\Public Hospital Utilization Dashboards ANALYSIS Project\"/>
    </mc:Choice>
  </mc:AlternateContent>
  <xr:revisionPtr revIDLastSave="0" documentId="13_ncr:1_{E5E546E0-1095-4DD6-9B62-E3D5182FBBE8}" xr6:coauthVersionLast="47" xr6:coauthVersionMax="47" xr10:uidLastSave="{00000000-0000-0000-0000-000000000000}"/>
  <bookViews>
    <workbookView xWindow="-120" yWindow="-120" windowWidth="24240" windowHeight="13140" firstSheet="10" activeTab="13" xr2:uid="{43BB667B-3775-409A-87E6-73A1CE3156FB}"/>
  </bookViews>
  <sheets>
    <sheet name="Raw Datasets" sheetId="1" r:id="rId1"/>
    <sheet name="Cleaned Datasets" sheetId="2" r:id="rId2"/>
    <sheet name="Anaysis_1" sheetId="3" r:id="rId3"/>
    <sheet name="Analysis_2" sheetId="11" r:id="rId4"/>
    <sheet name="Analysis_3" sheetId="15" r:id="rId5"/>
    <sheet name="Anaylsis_4" sheetId="7" r:id="rId6"/>
    <sheet name="Analysis_5" sheetId="8" r:id="rId7"/>
    <sheet name="Analysis_6" sheetId="9" r:id="rId8"/>
    <sheet name="Analysis_7" sheetId="12" r:id="rId9"/>
    <sheet name="Analysis_8" sheetId="13" r:id="rId10"/>
    <sheet name="Analysis_9" sheetId="14" r:id="rId11"/>
    <sheet name="Analysis_10" sheetId="4" r:id="rId12"/>
    <sheet name="KPI's and Slicers" sheetId="16" r:id="rId13"/>
    <sheet name="Dashboard" sheetId="18" r:id="rId14"/>
  </sheets>
  <definedNames>
    <definedName name="_xlnm._FilterDatabase" localSheetId="1" hidden="1">'Cleaned Datasets'!$A$1:$L$1001</definedName>
    <definedName name="_xlnm._FilterDatabase" localSheetId="0" hidden="1">'Raw Datasets'!$A$1:$J$1001</definedName>
    <definedName name="_xlchart.v5.0" hidden="1">Analysis_10!$H$3</definedName>
    <definedName name="_xlchart.v5.1" hidden="1">Analysis_10!$H$4:$H$13</definedName>
    <definedName name="_xlchart.v5.2" hidden="1">Analysis_10!$I$4:$I$13</definedName>
    <definedName name="_xlchart.v5.3" hidden="1">Analysis_10!$H$3</definedName>
    <definedName name="_xlchart.v5.4" hidden="1">Analysis_10!$H$4:$H$13</definedName>
    <definedName name="_xlchart.v5.5" hidden="1">Analysis_10!$I$4:$I$13</definedName>
    <definedName name="Slicer_Department">#N/A</definedName>
    <definedName name="Slicer_Month_Name">#N/A</definedName>
    <definedName name="Slicer_Service">#N/A</definedName>
  </definedNames>
  <calcPr calcId="191029"/>
  <pivotCaches>
    <pivotCache cacheId="0" r:id="rId15"/>
    <pivotCache cacheId="1" r:id="rId16"/>
    <pivotCache cacheId="2" r:id="rId17"/>
  </pivotCaches>
  <extLst>
    <ext xmlns:x14="http://schemas.microsoft.com/office/spreadsheetml/2009/9/main" uri="{BBE1A952-AA13-448e-AADC-164F8A28A991}">
      <x14:slicerCaches>
        <x14:slicerCache r:id="rId18"/>
        <x14:slicerCache r:id="rId19"/>
        <x14:slicerCache r:id="rId2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0" i="16" l="1"/>
  <c r="A11" i="16"/>
  <c r="P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 r="C45" i="2"/>
  <c r="B3" i="2"/>
  <c r="C3" i="2" s="1"/>
  <c r="B4" i="2"/>
  <c r="C4" i="2" s="1"/>
  <c r="B5" i="2"/>
  <c r="C5" i="2" s="1"/>
  <c r="B6" i="2"/>
  <c r="C6" i="2" s="1"/>
  <c r="B7" i="2"/>
  <c r="C7" i="2" s="1"/>
  <c r="B8" i="2"/>
  <c r="C8" i="2" s="1"/>
  <c r="B9" i="2"/>
  <c r="C9" i="2" s="1"/>
  <c r="B10" i="2"/>
  <c r="C10" i="2" s="1"/>
  <c r="B11" i="2"/>
  <c r="C11" i="2" s="1"/>
  <c r="B12" i="2"/>
  <c r="C12" i="2" s="1"/>
  <c r="B13" i="2"/>
  <c r="C13" i="2" s="1"/>
  <c r="B14" i="2"/>
  <c r="C14" i="2" s="1"/>
  <c r="B15" i="2"/>
  <c r="C15" i="2" s="1"/>
  <c r="B16" i="2"/>
  <c r="C16" i="2" s="1"/>
  <c r="B17" i="2"/>
  <c r="C17" i="2" s="1"/>
  <c r="B18" i="2"/>
  <c r="C18" i="2" s="1"/>
  <c r="B19" i="2"/>
  <c r="C19" i="2" s="1"/>
  <c r="B20" i="2"/>
  <c r="C20" i="2" s="1"/>
  <c r="B21" i="2"/>
  <c r="C21" i="2" s="1"/>
  <c r="B22" i="2"/>
  <c r="C22" i="2" s="1"/>
  <c r="B23" i="2"/>
  <c r="C23" i="2" s="1"/>
  <c r="B24" i="2"/>
  <c r="C24" i="2" s="1"/>
  <c r="B25" i="2"/>
  <c r="C25" i="2" s="1"/>
  <c r="B26" i="2"/>
  <c r="C26" i="2" s="1"/>
  <c r="B27" i="2"/>
  <c r="C27" i="2" s="1"/>
  <c r="B28" i="2"/>
  <c r="C28" i="2" s="1"/>
  <c r="B29" i="2"/>
  <c r="C29" i="2" s="1"/>
  <c r="B30" i="2"/>
  <c r="C30" i="2" s="1"/>
  <c r="B31" i="2"/>
  <c r="C31" i="2" s="1"/>
  <c r="B32" i="2"/>
  <c r="C32" i="2" s="1"/>
  <c r="B33" i="2"/>
  <c r="C33" i="2" s="1"/>
  <c r="B34" i="2"/>
  <c r="C34" i="2" s="1"/>
  <c r="B35" i="2"/>
  <c r="C35" i="2" s="1"/>
  <c r="B36" i="2"/>
  <c r="C36" i="2" s="1"/>
  <c r="B37" i="2"/>
  <c r="C37" i="2" s="1"/>
  <c r="B38" i="2"/>
  <c r="C38" i="2" s="1"/>
  <c r="B39" i="2"/>
  <c r="C39" i="2" s="1"/>
  <c r="B40" i="2"/>
  <c r="C40" i="2" s="1"/>
  <c r="B41" i="2"/>
  <c r="C41" i="2" s="1"/>
  <c r="B42" i="2"/>
  <c r="C42" i="2" s="1"/>
  <c r="B43" i="2"/>
  <c r="C43" i="2" s="1"/>
  <c r="B44" i="2"/>
  <c r="C44" i="2" s="1"/>
  <c r="B45" i="2"/>
  <c r="B46" i="2"/>
  <c r="C46" i="2" s="1"/>
  <c r="B47" i="2"/>
  <c r="C47" i="2" s="1"/>
  <c r="B48" i="2"/>
  <c r="C48" i="2" s="1"/>
  <c r="B49" i="2"/>
  <c r="C49" i="2" s="1"/>
  <c r="B50" i="2"/>
  <c r="C50" i="2" s="1"/>
  <c r="B51" i="2"/>
  <c r="C51" i="2" s="1"/>
  <c r="B52" i="2"/>
  <c r="C52" i="2" s="1"/>
  <c r="B53" i="2"/>
  <c r="C53" i="2" s="1"/>
  <c r="B54" i="2"/>
  <c r="C54" i="2" s="1"/>
  <c r="B55" i="2"/>
  <c r="C55" i="2" s="1"/>
  <c r="B56" i="2"/>
  <c r="C56" i="2" s="1"/>
  <c r="B57" i="2"/>
  <c r="C57" i="2" s="1"/>
  <c r="B58" i="2"/>
  <c r="C58" i="2" s="1"/>
  <c r="B59" i="2"/>
  <c r="C59" i="2" s="1"/>
  <c r="B60" i="2"/>
  <c r="C60" i="2" s="1"/>
  <c r="B61" i="2"/>
  <c r="C61" i="2" s="1"/>
  <c r="B62" i="2"/>
  <c r="C62" i="2" s="1"/>
  <c r="B63" i="2"/>
  <c r="C63" i="2" s="1"/>
  <c r="B64" i="2"/>
  <c r="C64" i="2" s="1"/>
  <c r="B65" i="2"/>
  <c r="C65" i="2" s="1"/>
  <c r="B66" i="2"/>
  <c r="C66" i="2" s="1"/>
  <c r="B67" i="2"/>
  <c r="C67" i="2" s="1"/>
  <c r="B68" i="2"/>
  <c r="C68" i="2" s="1"/>
  <c r="B69" i="2"/>
  <c r="C69" i="2" s="1"/>
  <c r="B70" i="2"/>
  <c r="C70" i="2" s="1"/>
  <c r="B71" i="2"/>
  <c r="C71" i="2" s="1"/>
  <c r="B72" i="2"/>
  <c r="C72" i="2" s="1"/>
  <c r="B73" i="2"/>
  <c r="C73" i="2" s="1"/>
  <c r="B74" i="2"/>
  <c r="C74" i="2" s="1"/>
  <c r="B75" i="2"/>
  <c r="C75" i="2" s="1"/>
  <c r="B76" i="2"/>
  <c r="C76" i="2" s="1"/>
  <c r="B77" i="2"/>
  <c r="C77" i="2" s="1"/>
  <c r="B78" i="2"/>
  <c r="C78" i="2" s="1"/>
  <c r="B79" i="2"/>
  <c r="C79" i="2" s="1"/>
  <c r="B80" i="2"/>
  <c r="C80" i="2" s="1"/>
  <c r="B81" i="2"/>
  <c r="C81" i="2" s="1"/>
  <c r="B82" i="2"/>
  <c r="C82" i="2" s="1"/>
  <c r="B83" i="2"/>
  <c r="C83" i="2" s="1"/>
  <c r="B84" i="2"/>
  <c r="C84" i="2" s="1"/>
  <c r="B85" i="2"/>
  <c r="C85" i="2" s="1"/>
  <c r="B86" i="2"/>
  <c r="C86" i="2" s="1"/>
  <c r="B87" i="2"/>
  <c r="C87" i="2" s="1"/>
  <c r="B88" i="2"/>
  <c r="C88" i="2" s="1"/>
  <c r="B89" i="2"/>
  <c r="C89" i="2" s="1"/>
  <c r="B90" i="2"/>
  <c r="C90" i="2" s="1"/>
  <c r="B91" i="2"/>
  <c r="C91" i="2" s="1"/>
  <c r="B92" i="2"/>
  <c r="C92" i="2" s="1"/>
  <c r="B93" i="2"/>
  <c r="C93" i="2" s="1"/>
  <c r="B94" i="2"/>
  <c r="C94" i="2" s="1"/>
  <c r="B95" i="2"/>
  <c r="C95" i="2" s="1"/>
  <c r="B96" i="2"/>
  <c r="C96" i="2" s="1"/>
  <c r="B97" i="2"/>
  <c r="C97" i="2" s="1"/>
  <c r="B98" i="2"/>
  <c r="C98" i="2" s="1"/>
  <c r="B99" i="2"/>
  <c r="C99" i="2" s="1"/>
  <c r="B100" i="2"/>
  <c r="C100" i="2" s="1"/>
  <c r="B101" i="2"/>
  <c r="C101" i="2" s="1"/>
  <c r="B102" i="2"/>
  <c r="C102" i="2" s="1"/>
  <c r="B103" i="2"/>
  <c r="C103" i="2" s="1"/>
  <c r="B104" i="2"/>
  <c r="C104" i="2" s="1"/>
  <c r="B105" i="2"/>
  <c r="C105" i="2" s="1"/>
  <c r="B106" i="2"/>
  <c r="C106" i="2" s="1"/>
  <c r="B107" i="2"/>
  <c r="C107" i="2" s="1"/>
  <c r="B108" i="2"/>
  <c r="C108" i="2" s="1"/>
  <c r="B109" i="2"/>
  <c r="C109" i="2" s="1"/>
  <c r="B110" i="2"/>
  <c r="C110" i="2" s="1"/>
  <c r="B111" i="2"/>
  <c r="C111" i="2" s="1"/>
  <c r="B112" i="2"/>
  <c r="C112" i="2" s="1"/>
  <c r="B113" i="2"/>
  <c r="C113" i="2" s="1"/>
  <c r="B114" i="2"/>
  <c r="C114" i="2" s="1"/>
  <c r="B115" i="2"/>
  <c r="C115" i="2" s="1"/>
  <c r="B116" i="2"/>
  <c r="C116" i="2" s="1"/>
  <c r="B117" i="2"/>
  <c r="C117" i="2" s="1"/>
  <c r="B118" i="2"/>
  <c r="C118" i="2" s="1"/>
  <c r="B119" i="2"/>
  <c r="C119" i="2" s="1"/>
  <c r="B120" i="2"/>
  <c r="C120" i="2" s="1"/>
  <c r="B121" i="2"/>
  <c r="C121" i="2" s="1"/>
  <c r="B122" i="2"/>
  <c r="C122" i="2" s="1"/>
  <c r="B123" i="2"/>
  <c r="C123" i="2" s="1"/>
  <c r="B124" i="2"/>
  <c r="C124" i="2" s="1"/>
  <c r="B125" i="2"/>
  <c r="C125" i="2" s="1"/>
  <c r="B126" i="2"/>
  <c r="C126" i="2" s="1"/>
  <c r="B127" i="2"/>
  <c r="C127" i="2" s="1"/>
  <c r="B128" i="2"/>
  <c r="C128" i="2" s="1"/>
  <c r="B129" i="2"/>
  <c r="C129" i="2" s="1"/>
  <c r="B130" i="2"/>
  <c r="C130" i="2" s="1"/>
  <c r="B131" i="2"/>
  <c r="C131" i="2" s="1"/>
  <c r="B132" i="2"/>
  <c r="C132" i="2" s="1"/>
  <c r="B133" i="2"/>
  <c r="C133" i="2" s="1"/>
  <c r="B134" i="2"/>
  <c r="C134" i="2" s="1"/>
  <c r="B135" i="2"/>
  <c r="C135" i="2" s="1"/>
  <c r="B136" i="2"/>
  <c r="C136" i="2" s="1"/>
  <c r="B137" i="2"/>
  <c r="C137" i="2" s="1"/>
  <c r="B138" i="2"/>
  <c r="C138" i="2" s="1"/>
  <c r="B139" i="2"/>
  <c r="C139" i="2" s="1"/>
  <c r="B140" i="2"/>
  <c r="C140" i="2" s="1"/>
  <c r="B141" i="2"/>
  <c r="C141" i="2" s="1"/>
  <c r="B142" i="2"/>
  <c r="C142" i="2" s="1"/>
  <c r="B143" i="2"/>
  <c r="C143" i="2" s="1"/>
  <c r="B144" i="2"/>
  <c r="C144" i="2" s="1"/>
  <c r="B145" i="2"/>
  <c r="C145" i="2" s="1"/>
  <c r="B146" i="2"/>
  <c r="C146" i="2" s="1"/>
  <c r="B147" i="2"/>
  <c r="C147" i="2" s="1"/>
  <c r="B148" i="2"/>
  <c r="C148" i="2" s="1"/>
  <c r="B149" i="2"/>
  <c r="C149" i="2" s="1"/>
  <c r="B150" i="2"/>
  <c r="C150" i="2" s="1"/>
  <c r="B151" i="2"/>
  <c r="C151" i="2" s="1"/>
  <c r="B152" i="2"/>
  <c r="C152" i="2" s="1"/>
  <c r="B153" i="2"/>
  <c r="C153" i="2" s="1"/>
  <c r="B154" i="2"/>
  <c r="C154" i="2" s="1"/>
  <c r="B155" i="2"/>
  <c r="C155" i="2" s="1"/>
  <c r="B156" i="2"/>
  <c r="C156" i="2" s="1"/>
  <c r="B157" i="2"/>
  <c r="C157" i="2" s="1"/>
  <c r="B158" i="2"/>
  <c r="C158" i="2" s="1"/>
  <c r="B159" i="2"/>
  <c r="C159" i="2" s="1"/>
  <c r="B160" i="2"/>
  <c r="C160" i="2" s="1"/>
  <c r="B161" i="2"/>
  <c r="C161" i="2" s="1"/>
  <c r="B162" i="2"/>
  <c r="C162" i="2" s="1"/>
  <c r="B163" i="2"/>
  <c r="C163" i="2" s="1"/>
  <c r="B164" i="2"/>
  <c r="C164" i="2" s="1"/>
  <c r="B165" i="2"/>
  <c r="C165" i="2" s="1"/>
  <c r="B166" i="2"/>
  <c r="C166" i="2" s="1"/>
  <c r="B167" i="2"/>
  <c r="C167" i="2" s="1"/>
  <c r="B168" i="2"/>
  <c r="C168" i="2" s="1"/>
  <c r="B169" i="2"/>
  <c r="C169" i="2" s="1"/>
  <c r="B170" i="2"/>
  <c r="C170" i="2" s="1"/>
  <c r="B171" i="2"/>
  <c r="C171" i="2" s="1"/>
  <c r="B172" i="2"/>
  <c r="C172" i="2" s="1"/>
  <c r="B173" i="2"/>
  <c r="C173" i="2" s="1"/>
  <c r="B174" i="2"/>
  <c r="C174" i="2" s="1"/>
  <c r="B175" i="2"/>
  <c r="C175" i="2" s="1"/>
  <c r="B176" i="2"/>
  <c r="C176" i="2" s="1"/>
  <c r="B177" i="2"/>
  <c r="C177" i="2" s="1"/>
  <c r="B178" i="2"/>
  <c r="C178" i="2" s="1"/>
  <c r="B179" i="2"/>
  <c r="C179" i="2" s="1"/>
  <c r="B180" i="2"/>
  <c r="C180" i="2" s="1"/>
  <c r="B181" i="2"/>
  <c r="C181" i="2" s="1"/>
  <c r="B182" i="2"/>
  <c r="C182" i="2" s="1"/>
  <c r="B183" i="2"/>
  <c r="C183" i="2" s="1"/>
  <c r="B184" i="2"/>
  <c r="C184" i="2" s="1"/>
  <c r="B185" i="2"/>
  <c r="C185" i="2" s="1"/>
  <c r="B186" i="2"/>
  <c r="C186" i="2" s="1"/>
  <c r="B187" i="2"/>
  <c r="C187" i="2" s="1"/>
  <c r="B188" i="2"/>
  <c r="C188" i="2" s="1"/>
  <c r="B189" i="2"/>
  <c r="C189" i="2" s="1"/>
  <c r="B190" i="2"/>
  <c r="C190" i="2" s="1"/>
  <c r="B191" i="2"/>
  <c r="C191" i="2" s="1"/>
  <c r="B192" i="2"/>
  <c r="C192" i="2" s="1"/>
  <c r="B193" i="2"/>
  <c r="C193" i="2" s="1"/>
  <c r="B194" i="2"/>
  <c r="C194" i="2" s="1"/>
  <c r="B195" i="2"/>
  <c r="C195" i="2" s="1"/>
  <c r="B196" i="2"/>
  <c r="C196" i="2" s="1"/>
  <c r="B197" i="2"/>
  <c r="C197" i="2" s="1"/>
  <c r="B198" i="2"/>
  <c r="C198" i="2" s="1"/>
  <c r="B199" i="2"/>
  <c r="C199" i="2" s="1"/>
  <c r="B200" i="2"/>
  <c r="C200" i="2" s="1"/>
  <c r="B201" i="2"/>
  <c r="C201" i="2" s="1"/>
  <c r="B202" i="2"/>
  <c r="C202" i="2" s="1"/>
  <c r="B203" i="2"/>
  <c r="C203" i="2" s="1"/>
  <c r="B204" i="2"/>
  <c r="C204" i="2" s="1"/>
  <c r="B205" i="2"/>
  <c r="C205" i="2" s="1"/>
  <c r="B206" i="2"/>
  <c r="C206" i="2" s="1"/>
  <c r="B207" i="2"/>
  <c r="C207" i="2" s="1"/>
  <c r="B208" i="2"/>
  <c r="C208" i="2" s="1"/>
  <c r="B209" i="2"/>
  <c r="C209" i="2" s="1"/>
  <c r="B210" i="2"/>
  <c r="C210" i="2" s="1"/>
  <c r="B211" i="2"/>
  <c r="C211" i="2" s="1"/>
  <c r="B212" i="2"/>
  <c r="C212" i="2" s="1"/>
  <c r="B213" i="2"/>
  <c r="C213" i="2" s="1"/>
  <c r="B214" i="2"/>
  <c r="C214" i="2" s="1"/>
  <c r="B215" i="2"/>
  <c r="C215" i="2" s="1"/>
  <c r="B216" i="2"/>
  <c r="C216" i="2" s="1"/>
  <c r="B217" i="2"/>
  <c r="C217" i="2" s="1"/>
  <c r="B218" i="2"/>
  <c r="C218" i="2" s="1"/>
  <c r="B219" i="2"/>
  <c r="C219" i="2" s="1"/>
  <c r="B220" i="2"/>
  <c r="C220" i="2" s="1"/>
  <c r="B221" i="2"/>
  <c r="C221" i="2" s="1"/>
  <c r="B222" i="2"/>
  <c r="C222" i="2" s="1"/>
  <c r="B223" i="2"/>
  <c r="C223" i="2" s="1"/>
  <c r="B224" i="2"/>
  <c r="C224" i="2" s="1"/>
  <c r="B225" i="2"/>
  <c r="C225" i="2" s="1"/>
  <c r="B226" i="2"/>
  <c r="C226" i="2" s="1"/>
  <c r="B227" i="2"/>
  <c r="C227" i="2" s="1"/>
  <c r="B228" i="2"/>
  <c r="C228" i="2" s="1"/>
  <c r="B229" i="2"/>
  <c r="C229" i="2" s="1"/>
  <c r="B230" i="2"/>
  <c r="C230" i="2" s="1"/>
  <c r="B231" i="2"/>
  <c r="C231" i="2" s="1"/>
  <c r="B232" i="2"/>
  <c r="C232" i="2" s="1"/>
  <c r="B233" i="2"/>
  <c r="C233" i="2" s="1"/>
  <c r="B234" i="2"/>
  <c r="C234" i="2" s="1"/>
  <c r="B235" i="2"/>
  <c r="C235" i="2" s="1"/>
  <c r="B236" i="2"/>
  <c r="C236" i="2" s="1"/>
  <c r="B237" i="2"/>
  <c r="C237" i="2" s="1"/>
  <c r="B238" i="2"/>
  <c r="C238" i="2" s="1"/>
  <c r="B239" i="2"/>
  <c r="C239" i="2" s="1"/>
  <c r="B240" i="2"/>
  <c r="C240" i="2" s="1"/>
  <c r="B241" i="2"/>
  <c r="C241" i="2" s="1"/>
  <c r="B242" i="2"/>
  <c r="C242" i="2" s="1"/>
  <c r="B243" i="2"/>
  <c r="C243" i="2" s="1"/>
  <c r="B244" i="2"/>
  <c r="C244" i="2" s="1"/>
  <c r="B245" i="2"/>
  <c r="C245" i="2" s="1"/>
  <c r="B246" i="2"/>
  <c r="C246" i="2" s="1"/>
  <c r="B247" i="2"/>
  <c r="C247" i="2" s="1"/>
  <c r="B248" i="2"/>
  <c r="C248" i="2" s="1"/>
  <c r="B249" i="2"/>
  <c r="C249" i="2" s="1"/>
  <c r="B250" i="2"/>
  <c r="C250" i="2" s="1"/>
  <c r="B251" i="2"/>
  <c r="C251" i="2" s="1"/>
  <c r="B252" i="2"/>
  <c r="C252" i="2" s="1"/>
  <c r="B253" i="2"/>
  <c r="C253" i="2" s="1"/>
  <c r="B254" i="2"/>
  <c r="C254" i="2" s="1"/>
  <c r="B255" i="2"/>
  <c r="C255" i="2" s="1"/>
  <c r="B256" i="2"/>
  <c r="C256" i="2" s="1"/>
  <c r="B257" i="2"/>
  <c r="C257" i="2" s="1"/>
  <c r="B258" i="2"/>
  <c r="C258" i="2" s="1"/>
  <c r="B259" i="2"/>
  <c r="C259" i="2" s="1"/>
  <c r="B260" i="2"/>
  <c r="C260" i="2" s="1"/>
  <c r="B261" i="2"/>
  <c r="C261" i="2" s="1"/>
  <c r="B262" i="2"/>
  <c r="C262" i="2" s="1"/>
  <c r="B263" i="2"/>
  <c r="C263" i="2" s="1"/>
  <c r="B264" i="2"/>
  <c r="C264" i="2" s="1"/>
  <c r="B265" i="2"/>
  <c r="C265" i="2" s="1"/>
  <c r="B266" i="2"/>
  <c r="C266" i="2" s="1"/>
  <c r="B267" i="2"/>
  <c r="C267" i="2" s="1"/>
  <c r="B268" i="2"/>
  <c r="C268" i="2" s="1"/>
  <c r="B269" i="2"/>
  <c r="C269" i="2" s="1"/>
  <c r="B270" i="2"/>
  <c r="C270" i="2" s="1"/>
  <c r="B271" i="2"/>
  <c r="C271" i="2" s="1"/>
  <c r="B272" i="2"/>
  <c r="C272" i="2" s="1"/>
  <c r="B273" i="2"/>
  <c r="C273" i="2" s="1"/>
  <c r="B274" i="2"/>
  <c r="C274" i="2" s="1"/>
  <c r="B275" i="2"/>
  <c r="C275" i="2" s="1"/>
  <c r="B276" i="2"/>
  <c r="C276" i="2" s="1"/>
  <c r="B277" i="2"/>
  <c r="C277" i="2" s="1"/>
  <c r="B278" i="2"/>
  <c r="C278" i="2" s="1"/>
  <c r="B279" i="2"/>
  <c r="C279" i="2" s="1"/>
  <c r="B280" i="2"/>
  <c r="C280" i="2" s="1"/>
  <c r="B281" i="2"/>
  <c r="C281" i="2" s="1"/>
  <c r="B282" i="2"/>
  <c r="C282" i="2" s="1"/>
  <c r="B283" i="2"/>
  <c r="C283" i="2" s="1"/>
  <c r="B284" i="2"/>
  <c r="C284" i="2" s="1"/>
  <c r="B285" i="2"/>
  <c r="C285" i="2" s="1"/>
  <c r="B286" i="2"/>
  <c r="C286" i="2" s="1"/>
  <c r="B287" i="2"/>
  <c r="C287" i="2" s="1"/>
  <c r="B288" i="2"/>
  <c r="C288" i="2" s="1"/>
  <c r="B289" i="2"/>
  <c r="C289" i="2" s="1"/>
  <c r="B290" i="2"/>
  <c r="C290" i="2" s="1"/>
  <c r="B291" i="2"/>
  <c r="C291" i="2" s="1"/>
  <c r="B292" i="2"/>
  <c r="C292" i="2" s="1"/>
  <c r="B293" i="2"/>
  <c r="C293" i="2" s="1"/>
  <c r="B294" i="2"/>
  <c r="C294" i="2" s="1"/>
  <c r="B295" i="2"/>
  <c r="C295" i="2" s="1"/>
  <c r="B296" i="2"/>
  <c r="C296" i="2" s="1"/>
  <c r="B297" i="2"/>
  <c r="C297" i="2" s="1"/>
  <c r="B298" i="2"/>
  <c r="C298" i="2" s="1"/>
  <c r="B299" i="2"/>
  <c r="C299" i="2" s="1"/>
  <c r="B300" i="2"/>
  <c r="C300" i="2" s="1"/>
  <c r="B301" i="2"/>
  <c r="C301" i="2" s="1"/>
  <c r="B302" i="2"/>
  <c r="C302" i="2" s="1"/>
  <c r="B303" i="2"/>
  <c r="C303" i="2" s="1"/>
  <c r="B304" i="2"/>
  <c r="C304" i="2" s="1"/>
  <c r="B305" i="2"/>
  <c r="C305" i="2" s="1"/>
  <c r="B306" i="2"/>
  <c r="C306" i="2" s="1"/>
  <c r="B307" i="2"/>
  <c r="C307" i="2" s="1"/>
  <c r="B308" i="2"/>
  <c r="C308" i="2" s="1"/>
  <c r="B309" i="2"/>
  <c r="C309" i="2" s="1"/>
  <c r="B310" i="2"/>
  <c r="C310" i="2" s="1"/>
  <c r="B311" i="2"/>
  <c r="C311" i="2" s="1"/>
  <c r="B312" i="2"/>
  <c r="C312" i="2" s="1"/>
  <c r="B313" i="2"/>
  <c r="C313" i="2" s="1"/>
  <c r="B314" i="2"/>
  <c r="C314" i="2" s="1"/>
  <c r="B315" i="2"/>
  <c r="C315" i="2" s="1"/>
  <c r="B316" i="2"/>
  <c r="C316" i="2" s="1"/>
  <c r="B317" i="2"/>
  <c r="C317" i="2" s="1"/>
  <c r="B318" i="2"/>
  <c r="C318" i="2" s="1"/>
  <c r="B319" i="2"/>
  <c r="C319" i="2" s="1"/>
  <c r="B320" i="2"/>
  <c r="C320" i="2" s="1"/>
  <c r="B321" i="2"/>
  <c r="C321" i="2" s="1"/>
  <c r="B322" i="2"/>
  <c r="C322" i="2" s="1"/>
  <c r="B323" i="2"/>
  <c r="C323" i="2" s="1"/>
  <c r="B324" i="2"/>
  <c r="C324" i="2" s="1"/>
  <c r="B325" i="2"/>
  <c r="C325" i="2" s="1"/>
  <c r="B326" i="2"/>
  <c r="C326" i="2" s="1"/>
  <c r="B327" i="2"/>
  <c r="C327" i="2" s="1"/>
  <c r="B328" i="2"/>
  <c r="C328" i="2" s="1"/>
  <c r="B329" i="2"/>
  <c r="C329" i="2" s="1"/>
  <c r="B330" i="2"/>
  <c r="C330" i="2" s="1"/>
  <c r="B331" i="2"/>
  <c r="C331" i="2" s="1"/>
  <c r="B332" i="2"/>
  <c r="C332" i="2" s="1"/>
  <c r="B333" i="2"/>
  <c r="C333" i="2" s="1"/>
  <c r="B334" i="2"/>
  <c r="C334" i="2" s="1"/>
  <c r="B335" i="2"/>
  <c r="C335" i="2" s="1"/>
  <c r="B336" i="2"/>
  <c r="C336" i="2" s="1"/>
  <c r="B337" i="2"/>
  <c r="C337" i="2" s="1"/>
  <c r="B338" i="2"/>
  <c r="C338" i="2" s="1"/>
  <c r="B339" i="2"/>
  <c r="C339" i="2" s="1"/>
  <c r="B340" i="2"/>
  <c r="C340" i="2" s="1"/>
  <c r="B341" i="2"/>
  <c r="C341" i="2" s="1"/>
  <c r="B342" i="2"/>
  <c r="C342" i="2" s="1"/>
  <c r="B343" i="2"/>
  <c r="C343" i="2" s="1"/>
  <c r="B344" i="2"/>
  <c r="C344" i="2" s="1"/>
  <c r="B345" i="2"/>
  <c r="C345" i="2" s="1"/>
  <c r="B346" i="2"/>
  <c r="C346" i="2" s="1"/>
  <c r="B347" i="2"/>
  <c r="C347" i="2" s="1"/>
  <c r="B348" i="2"/>
  <c r="C348" i="2" s="1"/>
  <c r="B349" i="2"/>
  <c r="C349" i="2" s="1"/>
  <c r="B350" i="2"/>
  <c r="C350" i="2" s="1"/>
  <c r="B351" i="2"/>
  <c r="C351" i="2" s="1"/>
  <c r="B352" i="2"/>
  <c r="C352" i="2" s="1"/>
  <c r="B353" i="2"/>
  <c r="C353" i="2" s="1"/>
  <c r="B354" i="2"/>
  <c r="C354" i="2" s="1"/>
  <c r="B355" i="2"/>
  <c r="C355" i="2" s="1"/>
  <c r="B356" i="2"/>
  <c r="C356" i="2" s="1"/>
  <c r="B357" i="2"/>
  <c r="C357" i="2" s="1"/>
  <c r="B358" i="2"/>
  <c r="C358" i="2" s="1"/>
  <c r="B359" i="2"/>
  <c r="C359" i="2" s="1"/>
  <c r="B360" i="2"/>
  <c r="C360" i="2" s="1"/>
  <c r="B361" i="2"/>
  <c r="C361" i="2" s="1"/>
  <c r="B362" i="2"/>
  <c r="C362" i="2" s="1"/>
  <c r="B363" i="2"/>
  <c r="C363" i="2" s="1"/>
  <c r="B364" i="2"/>
  <c r="C364" i="2" s="1"/>
  <c r="B365" i="2"/>
  <c r="C365" i="2" s="1"/>
  <c r="B366" i="2"/>
  <c r="C366" i="2" s="1"/>
  <c r="B367" i="2"/>
  <c r="C367" i="2" s="1"/>
  <c r="B368" i="2"/>
  <c r="C368" i="2" s="1"/>
  <c r="B369" i="2"/>
  <c r="C369" i="2" s="1"/>
  <c r="B370" i="2"/>
  <c r="C370" i="2" s="1"/>
  <c r="B371" i="2"/>
  <c r="C371" i="2" s="1"/>
  <c r="B372" i="2"/>
  <c r="C372" i="2" s="1"/>
  <c r="B373" i="2"/>
  <c r="C373" i="2" s="1"/>
  <c r="B374" i="2"/>
  <c r="C374" i="2" s="1"/>
  <c r="B375" i="2"/>
  <c r="C375" i="2" s="1"/>
  <c r="B376" i="2"/>
  <c r="C376" i="2" s="1"/>
  <c r="B377" i="2"/>
  <c r="C377" i="2" s="1"/>
  <c r="B378" i="2"/>
  <c r="C378" i="2" s="1"/>
  <c r="B379" i="2"/>
  <c r="C379" i="2" s="1"/>
  <c r="B380" i="2"/>
  <c r="C380" i="2" s="1"/>
  <c r="B381" i="2"/>
  <c r="C381" i="2" s="1"/>
  <c r="B382" i="2"/>
  <c r="C382" i="2" s="1"/>
  <c r="B383" i="2"/>
  <c r="C383" i="2" s="1"/>
  <c r="B384" i="2"/>
  <c r="C384" i="2" s="1"/>
  <c r="B385" i="2"/>
  <c r="C385" i="2" s="1"/>
  <c r="B386" i="2"/>
  <c r="C386" i="2" s="1"/>
  <c r="B387" i="2"/>
  <c r="C387" i="2" s="1"/>
  <c r="B388" i="2"/>
  <c r="C388" i="2" s="1"/>
  <c r="B389" i="2"/>
  <c r="C389" i="2" s="1"/>
  <c r="B390" i="2"/>
  <c r="C390" i="2" s="1"/>
  <c r="B391" i="2"/>
  <c r="C391" i="2" s="1"/>
  <c r="B392" i="2"/>
  <c r="C392" i="2" s="1"/>
  <c r="B393" i="2"/>
  <c r="C393" i="2" s="1"/>
  <c r="B394" i="2"/>
  <c r="C394" i="2" s="1"/>
  <c r="B395" i="2"/>
  <c r="C395" i="2" s="1"/>
  <c r="B396" i="2"/>
  <c r="C396" i="2" s="1"/>
  <c r="B397" i="2"/>
  <c r="C397" i="2" s="1"/>
  <c r="B398" i="2"/>
  <c r="C398" i="2" s="1"/>
  <c r="B399" i="2"/>
  <c r="C399" i="2" s="1"/>
  <c r="B400" i="2"/>
  <c r="C400" i="2" s="1"/>
  <c r="B401" i="2"/>
  <c r="C401" i="2" s="1"/>
  <c r="B402" i="2"/>
  <c r="C402" i="2" s="1"/>
  <c r="B403" i="2"/>
  <c r="C403" i="2" s="1"/>
  <c r="B404" i="2"/>
  <c r="C404" i="2" s="1"/>
  <c r="B405" i="2"/>
  <c r="C405" i="2" s="1"/>
  <c r="B406" i="2"/>
  <c r="C406" i="2" s="1"/>
  <c r="B407" i="2"/>
  <c r="C407" i="2" s="1"/>
  <c r="B408" i="2"/>
  <c r="C408" i="2" s="1"/>
  <c r="B409" i="2"/>
  <c r="C409" i="2" s="1"/>
  <c r="B410" i="2"/>
  <c r="C410" i="2" s="1"/>
  <c r="B411" i="2"/>
  <c r="C411" i="2" s="1"/>
  <c r="B412" i="2"/>
  <c r="C412" i="2" s="1"/>
  <c r="B413" i="2"/>
  <c r="C413" i="2" s="1"/>
  <c r="B414" i="2"/>
  <c r="C414" i="2" s="1"/>
  <c r="B415" i="2"/>
  <c r="C415" i="2" s="1"/>
  <c r="B416" i="2"/>
  <c r="C416" i="2" s="1"/>
  <c r="B417" i="2"/>
  <c r="C417" i="2" s="1"/>
  <c r="B418" i="2"/>
  <c r="C418" i="2" s="1"/>
  <c r="B419" i="2"/>
  <c r="C419" i="2" s="1"/>
  <c r="B420" i="2"/>
  <c r="C420" i="2" s="1"/>
  <c r="B421" i="2"/>
  <c r="C421" i="2" s="1"/>
  <c r="B422" i="2"/>
  <c r="C422" i="2" s="1"/>
  <c r="B423" i="2"/>
  <c r="C423" i="2" s="1"/>
  <c r="B424" i="2"/>
  <c r="C424" i="2" s="1"/>
  <c r="B425" i="2"/>
  <c r="C425" i="2" s="1"/>
  <c r="B426" i="2"/>
  <c r="C426" i="2" s="1"/>
  <c r="B427" i="2"/>
  <c r="C427" i="2" s="1"/>
  <c r="B428" i="2"/>
  <c r="C428" i="2" s="1"/>
  <c r="B429" i="2"/>
  <c r="C429" i="2" s="1"/>
  <c r="B430" i="2"/>
  <c r="C430" i="2" s="1"/>
  <c r="B431" i="2"/>
  <c r="C431" i="2" s="1"/>
  <c r="B432" i="2"/>
  <c r="C432" i="2" s="1"/>
  <c r="B433" i="2"/>
  <c r="C433" i="2" s="1"/>
  <c r="B434" i="2"/>
  <c r="C434" i="2" s="1"/>
  <c r="B435" i="2"/>
  <c r="C435" i="2" s="1"/>
  <c r="B436" i="2"/>
  <c r="C436" i="2" s="1"/>
  <c r="B437" i="2"/>
  <c r="C437" i="2" s="1"/>
  <c r="B438" i="2"/>
  <c r="C438" i="2" s="1"/>
  <c r="B439" i="2"/>
  <c r="C439" i="2" s="1"/>
  <c r="B440" i="2"/>
  <c r="C440" i="2" s="1"/>
  <c r="B441" i="2"/>
  <c r="C441" i="2" s="1"/>
  <c r="B442" i="2"/>
  <c r="C442" i="2" s="1"/>
  <c r="B443" i="2"/>
  <c r="C443" i="2" s="1"/>
  <c r="B444" i="2"/>
  <c r="C444" i="2" s="1"/>
  <c r="B445" i="2"/>
  <c r="C445" i="2" s="1"/>
  <c r="B446" i="2"/>
  <c r="C446" i="2" s="1"/>
  <c r="B447" i="2"/>
  <c r="C447" i="2" s="1"/>
  <c r="B448" i="2"/>
  <c r="C448" i="2" s="1"/>
  <c r="B449" i="2"/>
  <c r="C449" i="2" s="1"/>
  <c r="B450" i="2"/>
  <c r="C450" i="2" s="1"/>
  <c r="B451" i="2"/>
  <c r="C451" i="2" s="1"/>
  <c r="B452" i="2"/>
  <c r="C452" i="2" s="1"/>
  <c r="B453" i="2"/>
  <c r="C453" i="2" s="1"/>
  <c r="B454" i="2"/>
  <c r="C454" i="2" s="1"/>
  <c r="B455" i="2"/>
  <c r="C455" i="2" s="1"/>
  <c r="B456" i="2"/>
  <c r="C456" i="2" s="1"/>
  <c r="B457" i="2"/>
  <c r="C457" i="2" s="1"/>
  <c r="B458" i="2"/>
  <c r="C458" i="2" s="1"/>
  <c r="B459" i="2"/>
  <c r="C459" i="2" s="1"/>
  <c r="B460" i="2"/>
  <c r="C460" i="2" s="1"/>
  <c r="B461" i="2"/>
  <c r="C461" i="2" s="1"/>
  <c r="B462" i="2"/>
  <c r="C462" i="2" s="1"/>
  <c r="B463" i="2"/>
  <c r="C463" i="2" s="1"/>
  <c r="B464" i="2"/>
  <c r="C464" i="2" s="1"/>
  <c r="B465" i="2"/>
  <c r="C465" i="2" s="1"/>
  <c r="B466" i="2"/>
  <c r="C466" i="2" s="1"/>
  <c r="B467" i="2"/>
  <c r="C467" i="2" s="1"/>
  <c r="B468" i="2"/>
  <c r="C468" i="2" s="1"/>
  <c r="B469" i="2"/>
  <c r="C469" i="2" s="1"/>
  <c r="B470" i="2"/>
  <c r="C470" i="2" s="1"/>
  <c r="B471" i="2"/>
  <c r="C471" i="2" s="1"/>
  <c r="B472" i="2"/>
  <c r="C472" i="2" s="1"/>
  <c r="B473" i="2"/>
  <c r="C473" i="2" s="1"/>
  <c r="B474" i="2"/>
  <c r="C474" i="2" s="1"/>
  <c r="B475" i="2"/>
  <c r="C475" i="2" s="1"/>
  <c r="B476" i="2"/>
  <c r="C476" i="2" s="1"/>
  <c r="B477" i="2"/>
  <c r="C477" i="2" s="1"/>
  <c r="B478" i="2"/>
  <c r="C478" i="2" s="1"/>
  <c r="B479" i="2"/>
  <c r="C479" i="2" s="1"/>
  <c r="B480" i="2"/>
  <c r="C480" i="2" s="1"/>
  <c r="B481" i="2"/>
  <c r="C481" i="2" s="1"/>
  <c r="B482" i="2"/>
  <c r="C482" i="2" s="1"/>
  <c r="B483" i="2"/>
  <c r="C483" i="2" s="1"/>
  <c r="B484" i="2"/>
  <c r="C484" i="2" s="1"/>
  <c r="B485" i="2"/>
  <c r="C485" i="2" s="1"/>
  <c r="B486" i="2"/>
  <c r="C486" i="2" s="1"/>
  <c r="B487" i="2"/>
  <c r="C487" i="2" s="1"/>
  <c r="B488" i="2"/>
  <c r="C488" i="2" s="1"/>
  <c r="B489" i="2"/>
  <c r="C489" i="2" s="1"/>
  <c r="B490" i="2"/>
  <c r="C490" i="2" s="1"/>
  <c r="B491" i="2"/>
  <c r="C491" i="2" s="1"/>
  <c r="B492" i="2"/>
  <c r="C492" i="2" s="1"/>
  <c r="B493" i="2"/>
  <c r="C493" i="2" s="1"/>
  <c r="B494" i="2"/>
  <c r="C494" i="2" s="1"/>
  <c r="B495" i="2"/>
  <c r="C495" i="2" s="1"/>
  <c r="B496" i="2"/>
  <c r="C496" i="2" s="1"/>
  <c r="B497" i="2"/>
  <c r="C497" i="2" s="1"/>
  <c r="B498" i="2"/>
  <c r="C498" i="2" s="1"/>
  <c r="B499" i="2"/>
  <c r="C499" i="2" s="1"/>
  <c r="B500" i="2"/>
  <c r="C500" i="2" s="1"/>
  <c r="B501" i="2"/>
  <c r="C501" i="2" s="1"/>
  <c r="B502" i="2"/>
  <c r="C502" i="2" s="1"/>
  <c r="B503" i="2"/>
  <c r="C503" i="2" s="1"/>
  <c r="B504" i="2"/>
  <c r="C504" i="2" s="1"/>
  <c r="B505" i="2"/>
  <c r="C505" i="2" s="1"/>
  <c r="B506" i="2"/>
  <c r="C506" i="2" s="1"/>
  <c r="B507" i="2"/>
  <c r="C507" i="2" s="1"/>
  <c r="B508" i="2"/>
  <c r="C508" i="2" s="1"/>
  <c r="B509" i="2"/>
  <c r="C509" i="2" s="1"/>
  <c r="B510" i="2"/>
  <c r="C510" i="2" s="1"/>
  <c r="B511" i="2"/>
  <c r="C511" i="2" s="1"/>
  <c r="B512" i="2"/>
  <c r="C512" i="2" s="1"/>
  <c r="B513" i="2"/>
  <c r="C513" i="2" s="1"/>
  <c r="B514" i="2"/>
  <c r="C514" i="2" s="1"/>
  <c r="B515" i="2"/>
  <c r="C515" i="2" s="1"/>
  <c r="B516" i="2"/>
  <c r="C516" i="2" s="1"/>
  <c r="B517" i="2"/>
  <c r="C517" i="2" s="1"/>
  <c r="B518" i="2"/>
  <c r="C518" i="2" s="1"/>
  <c r="B519" i="2"/>
  <c r="C519" i="2" s="1"/>
  <c r="B520" i="2"/>
  <c r="C520" i="2" s="1"/>
  <c r="B521" i="2"/>
  <c r="C521" i="2" s="1"/>
  <c r="B522" i="2"/>
  <c r="C522" i="2" s="1"/>
  <c r="B523" i="2"/>
  <c r="C523" i="2" s="1"/>
  <c r="B524" i="2"/>
  <c r="C524" i="2" s="1"/>
  <c r="B525" i="2"/>
  <c r="C525" i="2" s="1"/>
  <c r="B526" i="2"/>
  <c r="C526" i="2" s="1"/>
  <c r="B527" i="2"/>
  <c r="C527" i="2" s="1"/>
  <c r="B528" i="2"/>
  <c r="C528" i="2" s="1"/>
  <c r="B529" i="2"/>
  <c r="C529" i="2" s="1"/>
  <c r="B530" i="2"/>
  <c r="C530" i="2" s="1"/>
  <c r="B531" i="2"/>
  <c r="C531" i="2" s="1"/>
  <c r="B532" i="2"/>
  <c r="C532" i="2" s="1"/>
  <c r="B533" i="2"/>
  <c r="C533" i="2" s="1"/>
  <c r="B534" i="2"/>
  <c r="C534" i="2" s="1"/>
  <c r="B535" i="2"/>
  <c r="C535" i="2" s="1"/>
  <c r="B536" i="2"/>
  <c r="C536" i="2" s="1"/>
  <c r="B537" i="2"/>
  <c r="C537" i="2" s="1"/>
  <c r="B538" i="2"/>
  <c r="C538" i="2" s="1"/>
  <c r="B539" i="2"/>
  <c r="C539" i="2" s="1"/>
  <c r="B540" i="2"/>
  <c r="C540" i="2" s="1"/>
  <c r="B541" i="2"/>
  <c r="C541" i="2" s="1"/>
  <c r="B542" i="2"/>
  <c r="C542" i="2" s="1"/>
  <c r="B543" i="2"/>
  <c r="C543" i="2" s="1"/>
  <c r="B544" i="2"/>
  <c r="C544" i="2" s="1"/>
  <c r="B545" i="2"/>
  <c r="C545" i="2" s="1"/>
  <c r="B546" i="2"/>
  <c r="C546" i="2" s="1"/>
  <c r="B547" i="2"/>
  <c r="C547" i="2" s="1"/>
  <c r="B548" i="2"/>
  <c r="C548" i="2" s="1"/>
  <c r="B549" i="2"/>
  <c r="C549" i="2" s="1"/>
  <c r="B550" i="2"/>
  <c r="C550" i="2" s="1"/>
  <c r="B551" i="2"/>
  <c r="C551" i="2" s="1"/>
  <c r="B552" i="2"/>
  <c r="C552" i="2" s="1"/>
  <c r="B553" i="2"/>
  <c r="C553" i="2" s="1"/>
  <c r="B554" i="2"/>
  <c r="C554" i="2" s="1"/>
  <c r="B555" i="2"/>
  <c r="C555" i="2" s="1"/>
  <c r="B556" i="2"/>
  <c r="C556" i="2" s="1"/>
  <c r="B557" i="2"/>
  <c r="C557" i="2" s="1"/>
  <c r="B558" i="2"/>
  <c r="C558" i="2" s="1"/>
  <c r="B559" i="2"/>
  <c r="C559" i="2" s="1"/>
  <c r="B560" i="2"/>
  <c r="C560" i="2" s="1"/>
  <c r="B561" i="2"/>
  <c r="C561" i="2" s="1"/>
  <c r="B562" i="2"/>
  <c r="C562" i="2" s="1"/>
  <c r="B563" i="2"/>
  <c r="C563" i="2" s="1"/>
  <c r="B564" i="2"/>
  <c r="C564" i="2" s="1"/>
  <c r="B565" i="2"/>
  <c r="C565" i="2" s="1"/>
  <c r="B566" i="2"/>
  <c r="C566" i="2" s="1"/>
  <c r="B567" i="2"/>
  <c r="C567" i="2" s="1"/>
  <c r="B568" i="2"/>
  <c r="C568" i="2" s="1"/>
  <c r="B569" i="2"/>
  <c r="C569" i="2" s="1"/>
  <c r="B570" i="2"/>
  <c r="C570" i="2" s="1"/>
  <c r="B571" i="2"/>
  <c r="C571" i="2" s="1"/>
  <c r="B572" i="2"/>
  <c r="C572" i="2" s="1"/>
  <c r="B573" i="2"/>
  <c r="C573" i="2" s="1"/>
  <c r="B574" i="2"/>
  <c r="C574" i="2" s="1"/>
  <c r="B575" i="2"/>
  <c r="C575" i="2" s="1"/>
  <c r="B576" i="2"/>
  <c r="C576" i="2" s="1"/>
  <c r="B577" i="2"/>
  <c r="C577" i="2" s="1"/>
  <c r="B578" i="2"/>
  <c r="C578" i="2" s="1"/>
  <c r="B579" i="2"/>
  <c r="C579" i="2" s="1"/>
  <c r="B580" i="2"/>
  <c r="C580" i="2" s="1"/>
  <c r="B581" i="2"/>
  <c r="C581" i="2" s="1"/>
  <c r="B582" i="2"/>
  <c r="C582" i="2" s="1"/>
  <c r="B583" i="2"/>
  <c r="C583" i="2" s="1"/>
  <c r="B584" i="2"/>
  <c r="C584" i="2" s="1"/>
  <c r="B585" i="2"/>
  <c r="C585" i="2" s="1"/>
  <c r="B586" i="2"/>
  <c r="C586" i="2" s="1"/>
  <c r="B587" i="2"/>
  <c r="C587" i="2" s="1"/>
  <c r="B588" i="2"/>
  <c r="C588" i="2" s="1"/>
  <c r="B589" i="2"/>
  <c r="C589" i="2" s="1"/>
  <c r="B590" i="2"/>
  <c r="C590" i="2" s="1"/>
  <c r="B591" i="2"/>
  <c r="C591" i="2" s="1"/>
  <c r="B592" i="2"/>
  <c r="C592" i="2" s="1"/>
  <c r="B593" i="2"/>
  <c r="C593" i="2" s="1"/>
  <c r="B594" i="2"/>
  <c r="C594" i="2" s="1"/>
  <c r="B595" i="2"/>
  <c r="C595" i="2" s="1"/>
  <c r="B596" i="2"/>
  <c r="C596" i="2" s="1"/>
  <c r="B597" i="2"/>
  <c r="C597" i="2" s="1"/>
  <c r="B598" i="2"/>
  <c r="C598" i="2" s="1"/>
  <c r="B599" i="2"/>
  <c r="C599" i="2" s="1"/>
  <c r="B600" i="2"/>
  <c r="C600" i="2" s="1"/>
  <c r="B601" i="2"/>
  <c r="C601" i="2" s="1"/>
  <c r="B602" i="2"/>
  <c r="C602" i="2" s="1"/>
  <c r="B603" i="2"/>
  <c r="C603" i="2" s="1"/>
  <c r="B604" i="2"/>
  <c r="C604" i="2" s="1"/>
  <c r="B605" i="2"/>
  <c r="C605" i="2" s="1"/>
  <c r="B606" i="2"/>
  <c r="C606" i="2" s="1"/>
  <c r="B607" i="2"/>
  <c r="C607" i="2" s="1"/>
  <c r="B608" i="2"/>
  <c r="C608" i="2" s="1"/>
  <c r="B609" i="2"/>
  <c r="C609" i="2" s="1"/>
  <c r="B610" i="2"/>
  <c r="C610" i="2" s="1"/>
  <c r="B611" i="2"/>
  <c r="C611" i="2" s="1"/>
  <c r="B612" i="2"/>
  <c r="C612" i="2" s="1"/>
  <c r="B613" i="2"/>
  <c r="C613" i="2" s="1"/>
  <c r="B614" i="2"/>
  <c r="C614" i="2" s="1"/>
  <c r="B615" i="2"/>
  <c r="C615" i="2" s="1"/>
  <c r="B616" i="2"/>
  <c r="C616" i="2" s="1"/>
  <c r="B617" i="2"/>
  <c r="C617" i="2" s="1"/>
  <c r="B618" i="2"/>
  <c r="C618" i="2" s="1"/>
  <c r="B619" i="2"/>
  <c r="C619" i="2" s="1"/>
  <c r="B620" i="2"/>
  <c r="C620" i="2" s="1"/>
  <c r="B621" i="2"/>
  <c r="C621" i="2" s="1"/>
  <c r="B622" i="2"/>
  <c r="C622" i="2" s="1"/>
  <c r="B623" i="2"/>
  <c r="C623" i="2" s="1"/>
  <c r="B624" i="2"/>
  <c r="C624" i="2" s="1"/>
  <c r="B625" i="2"/>
  <c r="C625" i="2" s="1"/>
  <c r="B626" i="2"/>
  <c r="C626" i="2" s="1"/>
  <c r="B627" i="2"/>
  <c r="C627" i="2" s="1"/>
  <c r="B628" i="2"/>
  <c r="C628" i="2" s="1"/>
  <c r="B629" i="2"/>
  <c r="C629" i="2" s="1"/>
  <c r="B630" i="2"/>
  <c r="C630" i="2" s="1"/>
  <c r="B631" i="2"/>
  <c r="C631" i="2" s="1"/>
  <c r="B632" i="2"/>
  <c r="C632" i="2" s="1"/>
  <c r="B633" i="2"/>
  <c r="C633" i="2" s="1"/>
  <c r="B634" i="2"/>
  <c r="C634" i="2" s="1"/>
  <c r="B635" i="2"/>
  <c r="C635" i="2" s="1"/>
  <c r="B636" i="2"/>
  <c r="C636" i="2" s="1"/>
  <c r="B637" i="2"/>
  <c r="C637" i="2" s="1"/>
  <c r="B638" i="2"/>
  <c r="C638" i="2" s="1"/>
  <c r="B639" i="2"/>
  <c r="C639" i="2" s="1"/>
  <c r="B640" i="2"/>
  <c r="C640" i="2" s="1"/>
  <c r="B641" i="2"/>
  <c r="C641" i="2" s="1"/>
  <c r="B642" i="2"/>
  <c r="C642" i="2" s="1"/>
  <c r="B643" i="2"/>
  <c r="C643" i="2" s="1"/>
  <c r="B644" i="2"/>
  <c r="C644" i="2" s="1"/>
  <c r="B645" i="2"/>
  <c r="C645" i="2" s="1"/>
  <c r="B646" i="2"/>
  <c r="C646" i="2" s="1"/>
  <c r="B647" i="2"/>
  <c r="C647" i="2" s="1"/>
  <c r="B648" i="2"/>
  <c r="C648" i="2" s="1"/>
  <c r="B649" i="2"/>
  <c r="C649" i="2" s="1"/>
  <c r="B650" i="2"/>
  <c r="C650" i="2" s="1"/>
  <c r="B651" i="2"/>
  <c r="C651" i="2" s="1"/>
  <c r="B652" i="2"/>
  <c r="C652" i="2" s="1"/>
  <c r="B653" i="2"/>
  <c r="C653" i="2" s="1"/>
  <c r="B654" i="2"/>
  <c r="C654" i="2" s="1"/>
  <c r="B655" i="2"/>
  <c r="C655" i="2" s="1"/>
  <c r="B656" i="2"/>
  <c r="C656" i="2" s="1"/>
  <c r="B657" i="2"/>
  <c r="C657" i="2" s="1"/>
  <c r="B658" i="2"/>
  <c r="C658" i="2" s="1"/>
  <c r="B659" i="2"/>
  <c r="C659" i="2" s="1"/>
  <c r="B660" i="2"/>
  <c r="C660" i="2" s="1"/>
  <c r="B661" i="2"/>
  <c r="C661" i="2" s="1"/>
  <c r="B662" i="2"/>
  <c r="C662" i="2" s="1"/>
  <c r="B663" i="2"/>
  <c r="C663" i="2" s="1"/>
  <c r="B664" i="2"/>
  <c r="C664" i="2" s="1"/>
  <c r="B665" i="2"/>
  <c r="C665" i="2" s="1"/>
  <c r="B666" i="2"/>
  <c r="C666" i="2" s="1"/>
  <c r="B667" i="2"/>
  <c r="C667" i="2" s="1"/>
  <c r="B668" i="2"/>
  <c r="C668" i="2" s="1"/>
  <c r="B669" i="2"/>
  <c r="C669" i="2" s="1"/>
  <c r="B670" i="2"/>
  <c r="C670" i="2" s="1"/>
  <c r="B671" i="2"/>
  <c r="C671" i="2" s="1"/>
  <c r="B672" i="2"/>
  <c r="C672" i="2" s="1"/>
  <c r="B673" i="2"/>
  <c r="C673" i="2" s="1"/>
  <c r="B674" i="2"/>
  <c r="C674" i="2" s="1"/>
  <c r="B675" i="2"/>
  <c r="C675" i="2" s="1"/>
  <c r="B676" i="2"/>
  <c r="C676" i="2" s="1"/>
  <c r="B677" i="2"/>
  <c r="C677" i="2" s="1"/>
  <c r="B678" i="2"/>
  <c r="C678" i="2" s="1"/>
  <c r="B679" i="2"/>
  <c r="C679" i="2" s="1"/>
  <c r="B680" i="2"/>
  <c r="C680" i="2" s="1"/>
  <c r="B681" i="2"/>
  <c r="C681" i="2" s="1"/>
  <c r="B682" i="2"/>
  <c r="C682" i="2" s="1"/>
  <c r="B683" i="2"/>
  <c r="C683" i="2" s="1"/>
  <c r="B684" i="2"/>
  <c r="C684" i="2" s="1"/>
  <c r="B685" i="2"/>
  <c r="C685" i="2" s="1"/>
  <c r="B686" i="2"/>
  <c r="C686" i="2" s="1"/>
  <c r="B687" i="2"/>
  <c r="C687" i="2" s="1"/>
  <c r="B688" i="2"/>
  <c r="C688" i="2" s="1"/>
  <c r="B689" i="2"/>
  <c r="C689" i="2" s="1"/>
  <c r="B690" i="2"/>
  <c r="C690" i="2" s="1"/>
  <c r="B691" i="2"/>
  <c r="C691" i="2" s="1"/>
  <c r="B692" i="2"/>
  <c r="C692" i="2" s="1"/>
  <c r="B693" i="2"/>
  <c r="C693" i="2" s="1"/>
  <c r="B694" i="2"/>
  <c r="C694" i="2" s="1"/>
  <c r="B695" i="2"/>
  <c r="C695" i="2" s="1"/>
  <c r="B696" i="2"/>
  <c r="C696" i="2" s="1"/>
  <c r="B697" i="2"/>
  <c r="C697" i="2" s="1"/>
  <c r="B698" i="2"/>
  <c r="C698" i="2" s="1"/>
  <c r="B699" i="2"/>
  <c r="C699" i="2" s="1"/>
  <c r="B700" i="2"/>
  <c r="C700" i="2" s="1"/>
  <c r="B701" i="2"/>
  <c r="C701" i="2" s="1"/>
  <c r="B702" i="2"/>
  <c r="C702" i="2" s="1"/>
  <c r="B703" i="2"/>
  <c r="C703" i="2" s="1"/>
  <c r="B704" i="2"/>
  <c r="C704" i="2" s="1"/>
  <c r="B705" i="2"/>
  <c r="C705" i="2" s="1"/>
  <c r="B706" i="2"/>
  <c r="C706" i="2" s="1"/>
  <c r="B707" i="2"/>
  <c r="C707" i="2" s="1"/>
  <c r="B708" i="2"/>
  <c r="C708" i="2" s="1"/>
  <c r="B709" i="2"/>
  <c r="C709" i="2" s="1"/>
  <c r="B710" i="2"/>
  <c r="C710" i="2" s="1"/>
  <c r="B711" i="2"/>
  <c r="C711" i="2" s="1"/>
  <c r="B712" i="2"/>
  <c r="C712" i="2" s="1"/>
  <c r="B713" i="2"/>
  <c r="C713" i="2" s="1"/>
  <c r="B714" i="2"/>
  <c r="C714" i="2" s="1"/>
  <c r="B715" i="2"/>
  <c r="C715" i="2" s="1"/>
  <c r="B716" i="2"/>
  <c r="C716" i="2" s="1"/>
  <c r="B717" i="2"/>
  <c r="C717" i="2" s="1"/>
  <c r="B718" i="2"/>
  <c r="C718" i="2" s="1"/>
  <c r="B719" i="2"/>
  <c r="C719" i="2" s="1"/>
  <c r="B720" i="2"/>
  <c r="C720" i="2" s="1"/>
  <c r="B721" i="2"/>
  <c r="C721" i="2" s="1"/>
  <c r="B722" i="2"/>
  <c r="C722" i="2" s="1"/>
  <c r="B723" i="2"/>
  <c r="C723" i="2" s="1"/>
  <c r="B724" i="2"/>
  <c r="C724" i="2" s="1"/>
  <c r="B725" i="2"/>
  <c r="C725" i="2" s="1"/>
  <c r="B726" i="2"/>
  <c r="C726" i="2" s="1"/>
  <c r="B727" i="2"/>
  <c r="C727" i="2" s="1"/>
  <c r="B728" i="2"/>
  <c r="C728" i="2" s="1"/>
  <c r="B729" i="2"/>
  <c r="C729" i="2" s="1"/>
  <c r="B730" i="2"/>
  <c r="C730" i="2" s="1"/>
  <c r="B731" i="2"/>
  <c r="C731" i="2" s="1"/>
  <c r="B732" i="2"/>
  <c r="C732" i="2" s="1"/>
  <c r="B733" i="2"/>
  <c r="C733" i="2" s="1"/>
  <c r="B734" i="2"/>
  <c r="C734" i="2" s="1"/>
  <c r="B735" i="2"/>
  <c r="C735" i="2" s="1"/>
  <c r="B736" i="2"/>
  <c r="C736" i="2" s="1"/>
  <c r="B737" i="2"/>
  <c r="C737" i="2" s="1"/>
  <c r="B738" i="2"/>
  <c r="C738" i="2" s="1"/>
  <c r="B739" i="2"/>
  <c r="C739" i="2" s="1"/>
  <c r="B740" i="2"/>
  <c r="C740" i="2" s="1"/>
  <c r="B741" i="2"/>
  <c r="C741" i="2" s="1"/>
  <c r="B742" i="2"/>
  <c r="C742" i="2" s="1"/>
  <c r="B743" i="2"/>
  <c r="C743" i="2" s="1"/>
  <c r="B744" i="2"/>
  <c r="C744" i="2" s="1"/>
  <c r="B745" i="2"/>
  <c r="C745" i="2" s="1"/>
  <c r="B746" i="2"/>
  <c r="C746" i="2" s="1"/>
  <c r="B747" i="2"/>
  <c r="C747" i="2" s="1"/>
  <c r="B748" i="2"/>
  <c r="C748" i="2" s="1"/>
  <c r="B749" i="2"/>
  <c r="C749" i="2" s="1"/>
  <c r="B750" i="2"/>
  <c r="C750" i="2" s="1"/>
  <c r="B751" i="2"/>
  <c r="C751" i="2" s="1"/>
  <c r="B752" i="2"/>
  <c r="C752" i="2" s="1"/>
  <c r="B753" i="2"/>
  <c r="C753" i="2" s="1"/>
  <c r="B754" i="2"/>
  <c r="C754" i="2" s="1"/>
  <c r="B755" i="2"/>
  <c r="C755" i="2" s="1"/>
  <c r="B756" i="2"/>
  <c r="C756" i="2" s="1"/>
  <c r="B757" i="2"/>
  <c r="C757" i="2" s="1"/>
  <c r="B758" i="2"/>
  <c r="C758" i="2" s="1"/>
  <c r="B759" i="2"/>
  <c r="C759" i="2" s="1"/>
  <c r="B760" i="2"/>
  <c r="C760" i="2" s="1"/>
  <c r="B761" i="2"/>
  <c r="C761" i="2" s="1"/>
  <c r="B762" i="2"/>
  <c r="C762" i="2" s="1"/>
  <c r="B763" i="2"/>
  <c r="C763" i="2" s="1"/>
  <c r="B764" i="2"/>
  <c r="C764" i="2" s="1"/>
  <c r="B765" i="2"/>
  <c r="C765" i="2" s="1"/>
  <c r="B766" i="2"/>
  <c r="C766" i="2" s="1"/>
  <c r="B767" i="2"/>
  <c r="C767" i="2" s="1"/>
  <c r="B768" i="2"/>
  <c r="C768" i="2" s="1"/>
  <c r="B769" i="2"/>
  <c r="C769" i="2" s="1"/>
  <c r="B770" i="2"/>
  <c r="C770" i="2" s="1"/>
  <c r="B771" i="2"/>
  <c r="C771" i="2" s="1"/>
  <c r="B772" i="2"/>
  <c r="C772" i="2" s="1"/>
  <c r="B773" i="2"/>
  <c r="C773" i="2" s="1"/>
  <c r="B774" i="2"/>
  <c r="C774" i="2" s="1"/>
  <c r="B775" i="2"/>
  <c r="C775" i="2" s="1"/>
  <c r="B776" i="2"/>
  <c r="C776" i="2" s="1"/>
  <c r="B777" i="2"/>
  <c r="C777" i="2" s="1"/>
  <c r="B778" i="2"/>
  <c r="C778" i="2" s="1"/>
  <c r="B779" i="2"/>
  <c r="C779" i="2" s="1"/>
  <c r="B780" i="2"/>
  <c r="C780" i="2" s="1"/>
  <c r="B781" i="2"/>
  <c r="C781" i="2" s="1"/>
  <c r="B782" i="2"/>
  <c r="C782" i="2" s="1"/>
  <c r="B783" i="2"/>
  <c r="C783" i="2" s="1"/>
  <c r="B784" i="2"/>
  <c r="C784" i="2" s="1"/>
  <c r="B785" i="2"/>
  <c r="C785" i="2" s="1"/>
  <c r="B786" i="2"/>
  <c r="C786" i="2" s="1"/>
  <c r="B787" i="2"/>
  <c r="C787" i="2" s="1"/>
  <c r="B788" i="2"/>
  <c r="C788" i="2" s="1"/>
  <c r="B789" i="2"/>
  <c r="C789" i="2" s="1"/>
  <c r="B790" i="2"/>
  <c r="C790" i="2" s="1"/>
  <c r="B791" i="2"/>
  <c r="C791" i="2" s="1"/>
  <c r="B792" i="2"/>
  <c r="C792" i="2" s="1"/>
  <c r="B793" i="2"/>
  <c r="C793" i="2" s="1"/>
  <c r="B794" i="2"/>
  <c r="C794" i="2" s="1"/>
  <c r="B795" i="2"/>
  <c r="C795" i="2" s="1"/>
  <c r="B796" i="2"/>
  <c r="C796" i="2" s="1"/>
  <c r="B797" i="2"/>
  <c r="C797" i="2" s="1"/>
  <c r="B798" i="2"/>
  <c r="C798" i="2" s="1"/>
  <c r="B799" i="2"/>
  <c r="C799" i="2" s="1"/>
  <c r="B800" i="2"/>
  <c r="C800" i="2" s="1"/>
  <c r="B801" i="2"/>
  <c r="C801" i="2" s="1"/>
  <c r="B802" i="2"/>
  <c r="C802" i="2" s="1"/>
  <c r="B803" i="2"/>
  <c r="C803" i="2" s="1"/>
  <c r="B804" i="2"/>
  <c r="C804" i="2" s="1"/>
  <c r="B805" i="2"/>
  <c r="C805" i="2" s="1"/>
  <c r="B806" i="2"/>
  <c r="C806" i="2" s="1"/>
  <c r="B807" i="2"/>
  <c r="C807" i="2" s="1"/>
  <c r="B808" i="2"/>
  <c r="C808" i="2" s="1"/>
  <c r="B809" i="2"/>
  <c r="C809" i="2" s="1"/>
  <c r="B810" i="2"/>
  <c r="C810" i="2" s="1"/>
  <c r="B811" i="2"/>
  <c r="C811" i="2" s="1"/>
  <c r="B812" i="2"/>
  <c r="C812" i="2" s="1"/>
  <c r="B813" i="2"/>
  <c r="C813" i="2" s="1"/>
  <c r="B814" i="2"/>
  <c r="C814" i="2" s="1"/>
  <c r="B815" i="2"/>
  <c r="C815" i="2" s="1"/>
  <c r="B816" i="2"/>
  <c r="C816" i="2" s="1"/>
  <c r="B817" i="2"/>
  <c r="C817" i="2" s="1"/>
  <c r="B818" i="2"/>
  <c r="C818" i="2" s="1"/>
  <c r="B819" i="2"/>
  <c r="C819" i="2" s="1"/>
  <c r="B820" i="2"/>
  <c r="C820" i="2" s="1"/>
  <c r="B821" i="2"/>
  <c r="C821" i="2" s="1"/>
  <c r="B822" i="2"/>
  <c r="C822" i="2" s="1"/>
  <c r="B823" i="2"/>
  <c r="C823" i="2" s="1"/>
  <c r="B824" i="2"/>
  <c r="C824" i="2" s="1"/>
  <c r="B825" i="2"/>
  <c r="C825" i="2" s="1"/>
  <c r="B826" i="2"/>
  <c r="C826" i="2" s="1"/>
  <c r="B827" i="2"/>
  <c r="C827" i="2" s="1"/>
  <c r="B828" i="2"/>
  <c r="C828" i="2" s="1"/>
  <c r="B829" i="2"/>
  <c r="C829" i="2" s="1"/>
  <c r="B830" i="2"/>
  <c r="C830" i="2" s="1"/>
  <c r="B831" i="2"/>
  <c r="C831" i="2" s="1"/>
  <c r="B832" i="2"/>
  <c r="C832" i="2" s="1"/>
  <c r="B833" i="2"/>
  <c r="C833" i="2" s="1"/>
  <c r="B834" i="2"/>
  <c r="C834" i="2" s="1"/>
  <c r="B835" i="2"/>
  <c r="C835" i="2" s="1"/>
  <c r="B836" i="2"/>
  <c r="C836" i="2" s="1"/>
  <c r="B837" i="2"/>
  <c r="C837" i="2" s="1"/>
  <c r="B838" i="2"/>
  <c r="C838" i="2" s="1"/>
  <c r="B839" i="2"/>
  <c r="C839" i="2" s="1"/>
  <c r="B840" i="2"/>
  <c r="C840" i="2" s="1"/>
  <c r="B841" i="2"/>
  <c r="C841" i="2" s="1"/>
  <c r="B842" i="2"/>
  <c r="C842" i="2" s="1"/>
  <c r="B843" i="2"/>
  <c r="C843" i="2" s="1"/>
  <c r="B844" i="2"/>
  <c r="C844" i="2" s="1"/>
  <c r="B845" i="2"/>
  <c r="C845" i="2" s="1"/>
  <c r="B846" i="2"/>
  <c r="C846" i="2" s="1"/>
  <c r="B847" i="2"/>
  <c r="C847" i="2" s="1"/>
  <c r="B848" i="2"/>
  <c r="C848" i="2" s="1"/>
  <c r="B849" i="2"/>
  <c r="C849" i="2" s="1"/>
  <c r="B850" i="2"/>
  <c r="C850" i="2" s="1"/>
  <c r="B851" i="2"/>
  <c r="C851" i="2" s="1"/>
  <c r="B852" i="2"/>
  <c r="C852" i="2" s="1"/>
  <c r="B853" i="2"/>
  <c r="C853" i="2" s="1"/>
  <c r="B854" i="2"/>
  <c r="C854" i="2" s="1"/>
  <c r="B855" i="2"/>
  <c r="C855" i="2" s="1"/>
  <c r="B856" i="2"/>
  <c r="C856" i="2" s="1"/>
  <c r="B857" i="2"/>
  <c r="C857" i="2" s="1"/>
  <c r="B858" i="2"/>
  <c r="C858" i="2" s="1"/>
  <c r="B859" i="2"/>
  <c r="C859" i="2" s="1"/>
  <c r="B860" i="2"/>
  <c r="C860" i="2" s="1"/>
  <c r="B861" i="2"/>
  <c r="C861" i="2" s="1"/>
  <c r="B862" i="2"/>
  <c r="C862" i="2" s="1"/>
  <c r="B863" i="2"/>
  <c r="C863" i="2" s="1"/>
  <c r="B864" i="2"/>
  <c r="C864" i="2" s="1"/>
  <c r="B865" i="2"/>
  <c r="C865" i="2" s="1"/>
  <c r="B866" i="2"/>
  <c r="C866" i="2" s="1"/>
  <c r="B867" i="2"/>
  <c r="C867" i="2" s="1"/>
  <c r="B868" i="2"/>
  <c r="C868" i="2" s="1"/>
  <c r="B869" i="2"/>
  <c r="C869" i="2" s="1"/>
  <c r="B870" i="2"/>
  <c r="C870" i="2" s="1"/>
  <c r="B871" i="2"/>
  <c r="C871" i="2" s="1"/>
  <c r="B872" i="2"/>
  <c r="C872" i="2" s="1"/>
  <c r="B873" i="2"/>
  <c r="C873" i="2" s="1"/>
  <c r="B874" i="2"/>
  <c r="C874" i="2" s="1"/>
  <c r="B875" i="2"/>
  <c r="C875" i="2" s="1"/>
  <c r="B876" i="2"/>
  <c r="C876" i="2" s="1"/>
  <c r="B877" i="2"/>
  <c r="C877" i="2" s="1"/>
  <c r="B878" i="2"/>
  <c r="C878" i="2" s="1"/>
  <c r="B879" i="2"/>
  <c r="C879" i="2" s="1"/>
  <c r="B880" i="2"/>
  <c r="C880" i="2" s="1"/>
  <c r="B881" i="2"/>
  <c r="C881" i="2" s="1"/>
  <c r="B882" i="2"/>
  <c r="C882" i="2" s="1"/>
  <c r="B883" i="2"/>
  <c r="C883" i="2" s="1"/>
  <c r="B884" i="2"/>
  <c r="C884" i="2" s="1"/>
  <c r="B885" i="2"/>
  <c r="C885" i="2" s="1"/>
  <c r="B886" i="2"/>
  <c r="C886" i="2" s="1"/>
  <c r="B887" i="2"/>
  <c r="C887" i="2" s="1"/>
  <c r="B888" i="2"/>
  <c r="C888" i="2" s="1"/>
  <c r="B889" i="2"/>
  <c r="C889" i="2" s="1"/>
  <c r="B890" i="2"/>
  <c r="C890" i="2" s="1"/>
  <c r="B891" i="2"/>
  <c r="C891" i="2" s="1"/>
  <c r="B892" i="2"/>
  <c r="C892" i="2" s="1"/>
  <c r="B893" i="2"/>
  <c r="C893" i="2" s="1"/>
  <c r="B894" i="2"/>
  <c r="C894" i="2" s="1"/>
  <c r="B895" i="2"/>
  <c r="C895" i="2" s="1"/>
  <c r="B896" i="2"/>
  <c r="C896" i="2" s="1"/>
  <c r="B897" i="2"/>
  <c r="C897" i="2" s="1"/>
  <c r="B898" i="2"/>
  <c r="C898" i="2" s="1"/>
  <c r="B899" i="2"/>
  <c r="C899" i="2" s="1"/>
  <c r="B900" i="2"/>
  <c r="C900" i="2" s="1"/>
  <c r="B901" i="2"/>
  <c r="C901" i="2" s="1"/>
  <c r="B902" i="2"/>
  <c r="C902" i="2" s="1"/>
  <c r="B903" i="2"/>
  <c r="C903" i="2" s="1"/>
  <c r="B904" i="2"/>
  <c r="C904" i="2" s="1"/>
  <c r="B905" i="2"/>
  <c r="C905" i="2" s="1"/>
  <c r="B906" i="2"/>
  <c r="C906" i="2" s="1"/>
  <c r="B907" i="2"/>
  <c r="C907" i="2" s="1"/>
  <c r="B908" i="2"/>
  <c r="C908" i="2" s="1"/>
  <c r="B909" i="2"/>
  <c r="C909" i="2" s="1"/>
  <c r="B910" i="2"/>
  <c r="C910" i="2" s="1"/>
  <c r="B911" i="2"/>
  <c r="C911" i="2" s="1"/>
  <c r="B912" i="2"/>
  <c r="C912" i="2" s="1"/>
  <c r="B913" i="2"/>
  <c r="C913" i="2" s="1"/>
  <c r="B914" i="2"/>
  <c r="C914" i="2" s="1"/>
  <c r="B915" i="2"/>
  <c r="C915" i="2" s="1"/>
  <c r="B916" i="2"/>
  <c r="C916" i="2" s="1"/>
  <c r="B917" i="2"/>
  <c r="C917" i="2" s="1"/>
  <c r="B918" i="2"/>
  <c r="C918" i="2" s="1"/>
  <c r="B919" i="2"/>
  <c r="C919" i="2" s="1"/>
  <c r="B920" i="2"/>
  <c r="C920" i="2" s="1"/>
  <c r="B921" i="2"/>
  <c r="C921" i="2" s="1"/>
  <c r="B922" i="2"/>
  <c r="C922" i="2" s="1"/>
  <c r="B923" i="2"/>
  <c r="C923" i="2" s="1"/>
  <c r="B924" i="2"/>
  <c r="C924" i="2" s="1"/>
  <c r="B925" i="2"/>
  <c r="C925" i="2" s="1"/>
  <c r="B926" i="2"/>
  <c r="C926" i="2" s="1"/>
  <c r="B927" i="2"/>
  <c r="C927" i="2" s="1"/>
  <c r="B928" i="2"/>
  <c r="C928" i="2" s="1"/>
  <c r="B929" i="2"/>
  <c r="C929" i="2" s="1"/>
  <c r="B930" i="2"/>
  <c r="C930" i="2" s="1"/>
  <c r="B931" i="2"/>
  <c r="C931" i="2" s="1"/>
  <c r="B932" i="2"/>
  <c r="C932" i="2" s="1"/>
  <c r="B933" i="2"/>
  <c r="C933" i="2" s="1"/>
  <c r="B934" i="2"/>
  <c r="C934" i="2" s="1"/>
  <c r="B935" i="2"/>
  <c r="C935" i="2" s="1"/>
  <c r="B936" i="2"/>
  <c r="C936" i="2" s="1"/>
  <c r="B937" i="2"/>
  <c r="C937" i="2" s="1"/>
  <c r="B938" i="2"/>
  <c r="C938" i="2" s="1"/>
  <c r="B939" i="2"/>
  <c r="C939" i="2" s="1"/>
  <c r="B940" i="2"/>
  <c r="C940" i="2" s="1"/>
  <c r="B941" i="2"/>
  <c r="C941" i="2" s="1"/>
  <c r="B942" i="2"/>
  <c r="C942" i="2" s="1"/>
  <c r="B943" i="2"/>
  <c r="C943" i="2" s="1"/>
  <c r="B944" i="2"/>
  <c r="C944" i="2" s="1"/>
  <c r="B945" i="2"/>
  <c r="C945" i="2" s="1"/>
  <c r="B946" i="2"/>
  <c r="C946" i="2" s="1"/>
  <c r="B947" i="2"/>
  <c r="C947" i="2" s="1"/>
  <c r="B948" i="2"/>
  <c r="C948" i="2" s="1"/>
  <c r="B949" i="2"/>
  <c r="C949" i="2" s="1"/>
  <c r="B950" i="2"/>
  <c r="C950" i="2" s="1"/>
  <c r="B951" i="2"/>
  <c r="C951" i="2" s="1"/>
  <c r="B952" i="2"/>
  <c r="C952" i="2" s="1"/>
  <c r="B953" i="2"/>
  <c r="C953" i="2" s="1"/>
  <c r="B954" i="2"/>
  <c r="C954" i="2" s="1"/>
  <c r="B955" i="2"/>
  <c r="C955" i="2" s="1"/>
  <c r="B956" i="2"/>
  <c r="C956" i="2" s="1"/>
  <c r="B957" i="2"/>
  <c r="C957" i="2" s="1"/>
  <c r="B958" i="2"/>
  <c r="C958" i="2" s="1"/>
  <c r="B959" i="2"/>
  <c r="C959" i="2" s="1"/>
  <c r="B960" i="2"/>
  <c r="C960" i="2" s="1"/>
  <c r="B961" i="2"/>
  <c r="C961" i="2" s="1"/>
  <c r="B962" i="2"/>
  <c r="C962" i="2" s="1"/>
  <c r="B963" i="2"/>
  <c r="C963" i="2" s="1"/>
  <c r="B964" i="2"/>
  <c r="C964" i="2" s="1"/>
  <c r="B965" i="2"/>
  <c r="C965" i="2" s="1"/>
  <c r="B966" i="2"/>
  <c r="C966" i="2" s="1"/>
  <c r="B967" i="2"/>
  <c r="C967" i="2" s="1"/>
  <c r="B968" i="2"/>
  <c r="C968" i="2" s="1"/>
  <c r="B969" i="2"/>
  <c r="C969" i="2" s="1"/>
  <c r="B970" i="2"/>
  <c r="C970" i="2" s="1"/>
  <c r="B971" i="2"/>
  <c r="C971" i="2" s="1"/>
  <c r="B972" i="2"/>
  <c r="C972" i="2" s="1"/>
  <c r="B973" i="2"/>
  <c r="C973" i="2" s="1"/>
  <c r="B974" i="2"/>
  <c r="C974" i="2" s="1"/>
  <c r="B975" i="2"/>
  <c r="C975" i="2" s="1"/>
  <c r="B976" i="2"/>
  <c r="C976" i="2" s="1"/>
  <c r="B977" i="2"/>
  <c r="C977" i="2" s="1"/>
  <c r="B978" i="2"/>
  <c r="C978" i="2" s="1"/>
  <c r="B979" i="2"/>
  <c r="C979" i="2" s="1"/>
  <c r="B980" i="2"/>
  <c r="C980" i="2" s="1"/>
  <c r="B981" i="2"/>
  <c r="C981" i="2" s="1"/>
  <c r="B982" i="2"/>
  <c r="C982" i="2" s="1"/>
  <c r="B983" i="2"/>
  <c r="C983" i="2" s="1"/>
  <c r="B984" i="2"/>
  <c r="C984" i="2" s="1"/>
  <c r="B985" i="2"/>
  <c r="C985" i="2" s="1"/>
  <c r="B986" i="2"/>
  <c r="C986" i="2" s="1"/>
  <c r="B987" i="2"/>
  <c r="C987" i="2" s="1"/>
  <c r="B988" i="2"/>
  <c r="C988" i="2" s="1"/>
  <c r="B989" i="2"/>
  <c r="C989" i="2" s="1"/>
  <c r="B990" i="2"/>
  <c r="C990" i="2" s="1"/>
  <c r="B991" i="2"/>
  <c r="C991" i="2" s="1"/>
  <c r="B992" i="2"/>
  <c r="C992" i="2" s="1"/>
  <c r="B993" i="2"/>
  <c r="C993" i="2" s="1"/>
  <c r="B994" i="2"/>
  <c r="C994" i="2" s="1"/>
  <c r="B995" i="2"/>
  <c r="C995" i="2" s="1"/>
  <c r="B996" i="2"/>
  <c r="C996" i="2" s="1"/>
  <c r="B997" i="2"/>
  <c r="C997" i="2" s="1"/>
  <c r="B998" i="2"/>
  <c r="C998" i="2" s="1"/>
  <c r="B999" i="2"/>
  <c r="C999" i="2" s="1"/>
  <c r="B1000" i="2"/>
  <c r="C1000" i="2" s="1"/>
  <c r="B1001" i="2"/>
  <c r="C1001" i="2" s="1"/>
  <c r="B2" i="2"/>
  <c r="C2" i="2" s="1"/>
</calcChain>
</file>

<file path=xl/sharedStrings.xml><?xml version="1.0" encoding="utf-8"?>
<sst xmlns="http://schemas.openxmlformats.org/spreadsheetml/2006/main" count="12209" uniqueCount="91">
  <si>
    <t>Month</t>
  </si>
  <si>
    <t>State</t>
  </si>
  <si>
    <t>Hospital</t>
  </si>
  <si>
    <t>Department</t>
  </si>
  <si>
    <t>Service</t>
  </si>
  <si>
    <t>Gender</t>
  </si>
  <si>
    <t>Patients Admitted</t>
  </si>
  <si>
    <t>Patients Discharged</t>
  </si>
  <si>
    <t>Mortality Count</t>
  </si>
  <si>
    <t>Avg Stay (Days)</t>
  </si>
  <si>
    <t>2023-04</t>
  </si>
  <si>
    <t>Delta</t>
  </si>
  <si>
    <t>Asaba General Hospital</t>
  </si>
  <si>
    <t>Pediatrics</t>
  </si>
  <si>
    <t>Admission</t>
  </si>
  <si>
    <t>Female</t>
  </si>
  <si>
    <t>FCT</t>
  </si>
  <si>
    <t>National Hospital Abuja</t>
  </si>
  <si>
    <t>Delivery</t>
  </si>
  <si>
    <t>Male</t>
  </si>
  <si>
    <t>2023-06</t>
  </si>
  <si>
    <t>Outpatient</t>
  </si>
  <si>
    <t>Surgery</t>
  </si>
  <si>
    <t>2023-10</t>
  </si>
  <si>
    <t>Anambra</t>
  </si>
  <si>
    <t>Amaku General Hospital</t>
  </si>
  <si>
    <t>Maternity</t>
  </si>
  <si>
    <t>Consultation</t>
  </si>
  <si>
    <t>Lagos</t>
  </si>
  <si>
    <t>LASUTH</t>
  </si>
  <si>
    <t>Lab Test</t>
  </si>
  <si>
    <t>2023-08</t>
  </si>
  <si>
    <t>Internal Medicine</t>
  </si>
  <si>
    <t>2023-01</t>
  </si>
  <si>
    <t>Edo</t>
  </si>
  <si>
    <t>Central Hospital Benin</t>
  </si>
  <si>
    <t>2023-03</t>
  </si>
  <si>
    <t>Kaduna</t>
  </si>
  <si>
    <t>Barau Dikko Hospital</t>
  </si>
  <si>
    <t>St Gerard Hospital</t>
  </si>
  <si>
    <t>Emergency</t>
  </si>
  <si>
    <t>Kano</t>
  </si>
  <si>
    <t>Murtala Mohammed Hospital</t>
  </si>
  <si>
    <t>2023-02</t>
  </si>
  <si>
    <t>Aminu Kano Teaching Hospital</t>
  </si>
  <si>
    <t>2023-05</t>
  </si>
  <si>
    <t>Borno</t>
  </si>
  <si>
    <t>Maiduguri Specialist Hospital</t>
  </si>
  <si>
    <t>Rivers</t>
  </si>
  <si>
    <t>Braithwaite Memorial Hospital</t>
  </si>
  <si>
    <t>2023-07</t>
  </si>
  <si>
    <t>UBTH</t>
  </si>
  <si>
    <t>Warri Central Hospital</t>
  </si>
  <si>
    <t>Medication</t>
  </si>
  <si>
    <t>UMTH</t>
  </si>
  <si>
    <t>2023-12</t>
  </si>
  <si>
    <t>Oyo</t>
  </si>
  <si>
    <t>UCH Ibadan</t>
  </si>
  <si>
    <t>Ikeja General Hospital</t>
  </si>
  <si>
    <t>2023-09</t>
  </si>
  <si>
    <t>Wuse District Hospital</t>
  </si>
  <si>
    <t>2023-11</t>
  </si>
  <si>
    <t>Adeoyo Maternity Hospital</t>
  </si>
  <si>
    <t>UPTH</t>
  </si>
  <si>
    <t>NAUTH Nnewi</t>
  </si>
  <si>
    <t>Month Name</t>
  </si>
  <si>
    <t>Formatted_Month</t>
  </si>
  <si>
    <t>Row Labels</t>
  </si>
  <si>
    <t>January</t>
  </si>
  <si>
    <t>February</t>
  </si>
  <si>
    <t>March</t>
  </si>
  <si>
    <t>April</t>
  </si>
  <si>
    <t>May</t>
  </si>
  <si>
    <t>June</t>
  </si>
  <si>
    <t>July</t>
  </si>
  <si>
    <t>August</t>
  </si>
  <si>
    <t>September</t>
  </si>
  <si>
    <t>October</t>
  </si>
  <si>
    <t>November</t>
  </si>
  <si>
    <t>December</t>
  </si>
  <si>
    <t>Grand Total</t>
  </si>
  <si>
    <t>Sum of Patients Admitted</t>
  </si>
  <si>
    <t xml:space="preserve">  </t>
  </si>
  <si>
    <t>\;['</t>
  </si>
  <si>
    <t xml:space="preserve">Discharge Rate </t>
  </si>
  <si>
    <t xml:space="preserve">Average of Discharge Rate </t>
  </si>
  <si>
    <t>Mortality</t>
  </si>
  <si>
    <t>Average of Mortality</t>
  </si>
  <si>
    <t>Average of Avg Stay (Days)</t>
  </si>
  <si>
    <t>Sum of Patients Discharged</t>
  </si>
  <si>
    <t xml:space="preserve">Overall Mortality Rate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</si>
</sst>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800]dddd\,\ mmmm\ dd\,\ yyyy"/>
    <numFmt numFmtId="165" formatCode="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theme="1"/>
      <name val="Cambria"/>
      <family val="1"/>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4"/>
        <bgColor theme="4"/>
      </patternFill>
    </fill>
    <fill>
      <patternFill patternType="solid">
        <fgColor theme="7" tint="0.79998168889431442"/>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diagonal/>
    </border>
    <border>
      <left style="thin">
        <color theme="4" tint="0.39997558519241921"/>
      </left>
      <right/>
      <top/>
      <bottom/>
      <diagonal/>
    </border>
    <border>
      <left style="thin">
        <color theme="4" tint="0.39997558519241921"/>
      </left>
      <right/>
      <top style="thin">
        <color theme="4" tint="0.39997558519241921"/>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9">
    <xf numFmtId="0" fontId="0" fillId="0" borderId="0" xfId="0"/>
    <xf numFmtId="14" fontId="0" fillId="0" borderId="0" xfId="0" applyNumberFormat="1"/>
    <xf numFmtId="0" fontId="0" fillId="0" borderId="0" xfId="0" pivotButton="1"/>
    <xf numFmtId="0" fontId="0" fillId="0" borderId="0" xfId="0" applyAlignment="1">
      <alignment horizontal="left"/>
    </xf>
    <xf numFmtId="9" fontId="0" fillId="0" borderId="0" xfId="42" applyFont="1"/>
    <xf numFmtId="9" fontId="0" fillId="0" borderId="0" xfId="0" applyNumberFormat="1"/>
    <xf numFmtId="165" fontId="0" fillId="0" borderId="0" xfId="0" applyNumberFormat="1"/>
    <xf numFmtId="2" fontId="0" fillId="0" borderId="0" xfId="0" applyNumberFormat="1"/>
    <xf numFmtId="0" fontId="18" fillId="35" borderId="0" xfId="0" applyFont="1" applyFill="1"/>
    <xf numFmtId="14" fontId="0" fillId="33" borderId="10" xfId="0" applyNumberFormat="1" applyFill="1" applyBorder="1"/>
    <xf numFmtId="0" fontId="0" fillId="33" borderId="10" xfId="0" applyFill="1" applyBorder="1"/>
    <xf numFmtId="9" fontId="0" fillId="33" borderId="12" xfId="42" applyFont="1" applyFill="1" applyBorder="1"/>
    <xf numFmtId="14" fontId="0" fillId="0" borderId="10" xfId="0" applyNumberFormat="1" applyBorder="1"/>
    <xf numFmtId="0" fontId="0" fillId="0" borderId="10" xfId="0" applyBorder="1"/>
    <xf numFmtId="9" fontId="0" fillId="0" borderId="12" xfId="42" applyFont="1" applyBorder="1"/>
    <xf numFmtId="164" fontId="0" fillId="33" borderId="10" xfId="0" applyNumberFormat="1" applyFill="1" applyBorder="1"/>
    <xf numFmtId="14" fontId="13" fillId="34" borderId="0" xfId="0" applyNumberFormat="1" applyFont="1" applyFill="1"/>
    <xf numFmtId="0" fontId="13" fillId="34" borderId="0" xfId="0" applyFont="1" applyFill="1"/>
    <xf numFmtId="0" fontId="13" fillId="34" borderId="11" xfId="0" applyFont="1" applyFill="1" applyBorder="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21">
    <dxf>
      <numFmt numFmtId="166" formatCode="0.0000000"/>
    </dxf>
    <dxf>
      <numFmt numFmtId="2" formatCode="0.00"/>
    </dxf>
    <dxf>
      <numFmt numFmtId="2" formatCode="0.00"/>
    </dxf>
    <dxf>
      <numFmt numFmtId="2" formatCode="0.00"/>
    </dxf>
    <dxf>
      <font>
        <b val="0"/>
        <i val="0"/>
        <strike val="0"/>
        <condense val="0"/>
        <extend val="0"/>
        <outline val="0"/>
        <shadow val="0"/>
        <u val="none"/>
        <vertAlign val="baseline"/>
        <sz val="11"/>
        <color theme="1"/>
        <name val="Aptos Narrow"/>
        <family val="2"/>
        <scheme val="minor"/>
      </font>
      <numFmt numFmtId="13" formatCode="0%"/>
      <border diagonalUp="0" diagonalDown="0">
        <left style="thin">
          <color theme="4" tint="0.39997558519241921"/>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13" formatCode="0%"/>
      <border diagonalUp="0" diagonalDown="0">
        <left style="thin">
          <color theme="4" tint="0.39997558519241921"/>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19" formatCode="m/d/yyyy"/>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19" formatCode="m/d/yyyy"/>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19" formatCode="m/d/yyyy"/>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0"/>
        <name val="Aptos Narrow"/>
        <family val="2"/>
        <scheme val="minor"/>
      </font>
      <fill>
        <patternFill patternType="solid">
          <fgColor theme="4"/>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New Project(Public Hospital Utilization).xlsx]Anaysis_1!PivotTable1</c:name>
    <c:fmtId val="0"/>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Patient</a:t>
            </a:r>
            <a:r>
              <a:rPr lang="en-US" b="1" baseline="0">
                <a:solidFill>
                  <a:sysClr val="windowText" lastClr="000000"/>
                </a:solidFill>
              </a:rPr>
              <a:t> Admission Trend Over Time</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Anaysis_1!$B$3</c:f>
              <c:strCache>
                <c:ptCount val="1"/>
                <c:pt idx="0">
                  <c:v>Total</c:v>
                </c:pt>
              </c:strCache>
            </c:strRef>
          </c:tx>
          <c:spPr>
            <a:ln w="28575" cap="rnd">
              <a:solidFill>
                <a:schemeClr val="accent4"/>
              </a:solidFill>
              <a:round/>
            </a:ln>
            <a:effectLst/>
          </c:spPr>
          <c:marker>
            <c:symbol val="none"/>
          </c:marker>
          <c:cat>
            <c:strRef>
              <c:f>Anaysis_1!$A$4:$A$16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Anaysis_1!$B$4:$B$16</c:f>
              <c:numCache>
                <c:formatCode>General</c:formatCode>
                <c:ptCount val="12"/>
                <c:pt idx="0">
                  <c:v>399</c:v>
                </c:pt>
                <c:pt idx="1">
                  <c:v>349</c:v>
                </c:pt>
                <c:pt idx="2">
                  <c:v>459</c:v>
                </c:pt>
                <c:pt idx="3">
                  <c:v>425</c:v>
                </c:pt>
                <c:pt idx="4">
                  <c:v>410</c:v>
                </c:pt>
                <c:pt idx="5">
                  <c:v>396</c:v>
                </c:pt>
                <c:pt idx="6">
                  <c:v>419</c:v>
                </c:pt>
                <c:pt idx="7">
                  <c:v>311</c:v>
                </c:pt>
                <c:pt idx="8">
                  <c:v>424</c:v>
                </c:pt>
                <c:pt idx="9">
                  <c:v>481</c:v>
                </c:pt>
                <c:pt idx="10">
                  <c:v>371</c:v>
                </c:pt>
                <c:pt idx="11">
                  <c:v>408</c:v>
                </c:pt>
              </c:numCache>
            </c:numRef>
          </c:val>
          <c:smooth val="0"/>
          <c:extLst>
            <c:ext xmlns:c16="http://schemas.microsoft.com/office/drawing/2014/chart" uri="{C3380CC4-5D6E-409C-BE32-E72D297353CC}">
              <c16:uniqueId val="{00000000-B3FE-4747-AD17-F7CE77755E9E}"/>
            </c:ext>
          </c:extLst>
        </c:ser>
        <c:dLbls>
          <c:showLegendKey val="0"/>
          <c:showVal val="0"/>
          <c:showCatName val="0"/>
          <c:showSerName val="0"/>
          <c:showPercent val="0"/>
          <c:showBubbleSize val="0"/>
        </c:dLbls>
        <c:smooth val="0"/>
        <c:axId val="522036216"/>
        <c:axId val="522030816"/>
      </c:lineChart>
      <c:catAx>
        <c:axId val="522036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522030816"/>
        <c:crosses val="autoZero"/>
        <c:auto val="1"/>
        <c:lblAlgn val="ctr"/>
        <c:lblOffset val="100"/>
        <c:noMultiLvlLbl val="0"/>
      </c:catAx>
      <c:valAx>
        <c:axId val="5220308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522036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New Project(Public Hospital Utilization).xlsx]Analysis_2!PivotTable9</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800">
                <a:effectLst/>
              </a:rPr>
              <a:t>State-wise Hospital Utilization</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Analysis_2!$B$3</c:f>
              <c:strCache>
                <c:ptCount val="1"/>
                <c:pt idx="0">
                  <c:v>Total</c:v>
                </c:pt>
              </c:strCache>
            </c:strRef>
          </c:tx>
          <c:spPr>
            <a:solidFill>
              <a:schemeClr val="accent4"/>
            </a:solidFill>
            <a:ln>
              <a:noFill/>
            </a:ln>
            <a:effectLst/>
          </c:spPr>
          <c:invertIfNegative val="0"/>
          <c:cat>
            <c:strRef>
              <c:f>Analysis_2!$A$4:$A$14</c:f>
              <c:strCache>
                <c:ptCount val="10"/>
                <c:pt idx="0">
                  <c:v>Kaduna</c:v>
                </c:pt>
                <c:pt idx="1">
                  <c:v>Edo</c:v>
                </c:pt>
                <c:pt idx="2">
                  <c:v>Rivers</c:v>
                </c:pt>
                <c:pt idx="3">
                  <c:v>Borno</c:v>
                </c:pt>
                <c:pt idx="4">
                  <c:v>Oyo</c:v>
                </c:pt>
                <c:pt idx="5">
                  <c:v>Lagos</c:v>
                </c:pt>
                <c:pt idx="6">
                  <c:v>FCT</c:v>
                </c:pt>
                <c:pt idx="7">
                  <c:v>Kano</c:v>
                </c:pt>
                <c:pt idx="8">
                  <c:v>Delta</c:v>
                </c:pt>
                <c:pt idx="9">
                  <c:v>Anambra</c:v>
                </c:pt>
              </c:strCache>
            </c:strRef>
          </c:cat>
          <c:val>
            <c:numRef>
              <c:f>Analysis_2!$B$4:$B$14</c:f>
              <c:numCache>
                <c:formatCode>General</c:formatCode>
                <c:ptCount val="10"/>
                <c:pt idx="0">
                  <c:v>629</c:v>
                </c:pt>
                <c:pt idx="1">
                  <c:v>572</c:v>
                </c:pt>
                <c:pt idx="2">
                  <c:v>549</c:v>
                </c:pt>
                <c:pt idx="3">
                  <c:v>486</c:v>
                </c:pt>
                <c:pt idx="4">
                  <c:v>469</c:v>
                </c:pt>
                <c:pt idx="5">
                  <c:v>469</c:v>
                </c:pt>
                <c:pt idx="6">
                  <c:v>449</c:v>
                </c:pt>
                <c:pt idx="7">
                  <c:v>444</c:v>
                </c:pt>
                <c:pt idx="8">
                  <c:v>413</c:v>
                </c:pt>
                <c:pt idx="9">
                  <c:v>372</c:v>
                </c:pt>
              </c:numCache>
            </c:numRef>
          </c:val>
          <c:extLst>
            <c:ext xmlns:c16="http://schemas.microsoft.com/office/drawing/2014/chart" uri="{C3380CC4-5D6E-409C-BE32-E72D297353CC}">
              <c16:uniqueId val="{00000000-A42C-4678-A664-B05EC4BB2836}"/>
            </c:ext>
          </c:extLst>
        </c:ser>
        <c:dLbls>
          <c:showLegendKey val="0"/>
          <c:showVal val="0"/>
          <c:showCatName val="0"/>
          <c:showSerName val="0"/>
          <c:showPercent val="0"/>
          <c:showBubbleSize val="0"/>
        </c:dLbls>
        <c:gapWidth val="219"/>
        <c:overlap val="-27"/>
        <c:axId val="560817392"/>
        <c:axId val="560812352"/>
      </c:barChart>
      <c:catAx>
        <c:axId val="560817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60812352"/>
        <c:crosses val="autoZero"/>
        <c:auto val="1"/>
        <c:lblAlgn val="ctr"/>
        <c:lblOffset val="100"/>
        <c:noMultiLvlLbl val="0"/>
      </c:catAx>
      <c:valAx>
        <c:axId val="5608123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60817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New Project(Public Hospital Utilization).xlsx]Analysis_3!PivotTable8</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 10 </a:t>
            </a:r>
            <a:r>
              <a:rPr lang="en-US" sz="1400" b="1" i="0" u="none" strike="noStrike" baseline="0">
                <a:effectLst/>
              </a:rPr>
              <a:t>Hospital-level Utilization  Analysis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Analysis_3!$B$3</c:f>
              <c:strCache>
                <c:ptCount val="1"/>
                <c:pt idx="0">
                  <c:v>Total</c:v>
                </c:pt>
              </c:strCache>
            </c:strRef>
          </c:tx>
          <c:spPr>
            <a:solidFill>
              <a:schemeClr val="accent1"/>
            </a:solidFill>
            <a:ln>
              <a:noFill/>
            </a:ln>
            <a:effectLst/>
          </c:spPr>
          <c:invertIfNegative val="0"/>
          <c:cat>
            <c:strRef>
              <c:f>Analysis_3!$A$4:$A$14</c:f>
              <c:strCache>
                <c:ptCount val="10"/>
                <c:pt idx="0">
                  <c:v>Central Hospital Benin</c:v>
                </c:pt>
                <c:pt idx="1">
                  <c:v>St Gerard Hospital</c:v>
                </c:pt>
                <c:pt idx="2">
                  <c:v>Barau Dikko Hospital</c:v>
                </c:pt>
                <c:pt idx="3">
                  <c:v>Braithwaite Memorial Hospital</c:v>
                </c:pt>
                <c:pt idx="4">
                  <c:v>National Hospital Abuja</c:v>
                </c:pt>
                <c:pt idx="5">
                  <c:v>Maiduguri Specialist Hospital</c:v>
                </c:pt>
                <c:pt idx="6">
                  <c:v>Ikeja General Hospital</c:v>
                </c:pt>
                <c:pt idx="7">
                  <c:v>UBTH</c:v>
                </c:pt>
                <c:pt idx="8">
                  <c:v>UPTH</c:v>
                </c:pt>
                <c:pt idx="9">
                  <c:v>Adeoyo Maternity Hospital</c:v>
                </c:pt>
              </c:strCache>
            </c:strRef>
          </c:cat>
          <c:val>
            <c:numRef>
              <c:f>Analysis_3!$B$4:$B$14</c:f>
              <c:numCache>
                <c:formatCode>General</c:formatCode>
                <c:ptCount val="10"/>
                <c:pt idx="0">
                  <c:v>318</c:v>
                </c:pt>
                <c:pt idx="1">
                  <c:v>318</c:v>
                </c:pt>
                <c:pt idx="2">
                  <c:v>311</c:v>
                </c:pt>
                <c:pt idx="3">
                  <c:v>300</c:v>
                </c:pt>
                <c:pt idx="4">
                  <c:v>280</c:v>
                </c:pt>
                <c:pt idx="5">
                  <c:v>259</c:v>
                </c:pt>
                <c:pt idx="6">
                  <c:v>255</c:v>
                </c:pt>
                <c:pt idx="7">
                  <c:v>254</c:v>
                </c:pt>
                <c:pt idx="8">
                  <c:v>249</c:v>
                </c:pt>
                <c:pt idx="9">
                  <c:v>237</c:v>
                </c:pt>
              </c:numCache>
            </c:numRef>
          </c:val>
          <c:extLst>
            <c:ext xmlns:c16="http://schemas.microsoft.com/office/drawing/2014/chart" uri="{C3380CC4-5D6E-409C-BE32-E72D297353CC}">
              <c16:uniqueId val="{00000000-8039-4024-8A45-2A89624E5865}"/>
            </c:ext>
          </c:extLst>
        </c:ser>
        <c:dLbls>
          <c:showLegendKey val="0"/>
          <c:showVal val="0"/>
          <c:showCatName val="0"/>
          <c:showSerName val="0"/>
          <c:showPercent val="0"/>
          <c:showBubbleSize val="0"/>
        </c:dLbls>
        <c:gapWidth val="182"/>
        <c:axId val="560820632"/>
        <c:axId val="560821352"/>
      </c:barChart>
      <c:catAx>
        <c:axId val="560820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60821352"/>
        <c:crosses val="autoZero"/>
        <c:auto val="1"/>
        <c:lblAlgn val="ctr"/>
        <c:lblOffset val="100"/>
        <c:noMultiLvlLbl val="0"/>
      </c:catAx>
      <c:valAx>
        <c:axId val="5608213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60820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New Project(Public Hospital Utilization).xlsx]Anaylsis_4!PivotTable1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Patient distribution</a:t>
            </a:r>
            <a:r>
              <a:rPr lang="en-US" baseline="0"/>
              <a:t> by Department</a:t>
            </a:r>
            <a:endParaRPr lang="en-US"/>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hade val="50000"/>
            </a:schemeClr>
          </a:solidFill>
          <a:ln w="19050">
            <a:solidFill>
              <a:schemeClr val="lt1"/>
            </a:solidFill>
          </a:ln>
          <a:effectLst/>
        </c:spPr>
      </c:pivotFmt>
      <c:pivotFmt>
        <c:idx val="2"/>
        <c:spPr>
          <a:solidFill>
            <a:schemeClr val="accent4">
              <a:shade val="70000"/>
            </a:schemeClr>
          </a:solidFill>
          <a:ln w="19050">
            <a:solidFill>
              <a:schemeClr val="lt1"/>
            </a:solidFill>
          </a:ln>
          <a:effectLst/>
        </c:spPr>
      </c:pivotFmt>
      <c:pivotFmt>
        <c:idx val="3"/>
        <c:spPr>
          <a:solidFill>
            <a:schemeClr val="accent4">
              <a:shade val="90000"/>
            </a:schemeClr>
          </a:solidFill>
          <a:ln w="19050">
            <a:solidFill>
              <a:schemeClr val="lt1"/>
            </a:solidFill>
          </a:ln>
          <a:effectLst/>
        </c:spPr>
      </c:pivotFmt>
      <c:pivotFmt>
        <c:idx val="4"/>
        <c:spPr>
          <a:solidFill>
            <a:schemeClr val="accent4"/>
          </a:solidFill>
          <a:ln w="19050">
            <a:solidFill>
              <a:schemeClr val="lt1"/>
            </a:solidFill>
          </a:ln>
          <a:effectLst/>
        </c:spPr>
      </c:pivotFmt>
      <c:pivotFmt>
        <c:idx val="5"/>
        <c:spPr>
          <a:solidFill>
            <a:schemeClr val="accent4">
              <a:tint val="70000"/>
            </a:schemeClr>
          </a:solidFill>
          <a:ln w="19050">
            <a:solidFill>
              <a:schemeClr val="lt1"/>
            </a:solidFill>
          </a:ln>
          <a:effectLst/>
        </c:spPr>
      </c:pivotFmt>
      <c:pivotFmt>
        <c:idx val="6"/>
        <c:spPr>
          <a:solidFill>
            <a:schemeClr val="accent4"/>
          </a:solidFill>
          <a:ln w="19050">
            <a:solidFill>
              <a:schemeClr val="lt1"/>
            </a:solidFill>
          </a:ln>
          <a:effectLst/>
        </c:spPr>
      </c:pivotFmt>
    </c:pivotFmts>
    <c:plotArea>
      <c:layout/>
      <c:pieChart>
        <c:varyColors val="1"/>
        <c:ser>
          <c:idx val="0"/>
          <c:order val="0"/>
          <c:tx>
            <c:strRef>
              <c:f>Anaylsis_4!$B$3</c:f>
              <c:strCache>
                <c:ptCount val="1"/>
                <c:pt idx="0">
                  <c:v>Total</c:v>
                </c:pt>
              </c:strCache>
            </c:strRef>
          </c:tx>
          <c:dPt>
            <c:idx val="0"/>
            <c:bubble3D val="0"/>
            <c:spPr>
              <a:solidFill>
                <a:schemeClr val="accent4">
                  <a:shade val="50000"/>
                </a:schemeClr>
              </a:solidFill>
              <a:ln w="19050">
                <a:solidFill>
                  <a:schemeClr val="lt1"/>
                </a:solidFill>
              </a:ln>
              <a:effectLst/>
            </c:spPr>
            <c:extLst>
              <c:ext xmlns:c16="http://schemas.microsoft.com/office/drawing/2014/chart" uri="{C3380CC4-5D6E-409C-BE32-E72D297353CC}">
                <c16:uniqueId val="{00000001-29E9-4EC0-9EAE-AAE2DEA4A41B}"/>
              </c:ext>
            </c:extLst>
          </c:dPt>
          <c:dPt>
            <c:idx val="1"/>
            <c:bubble3D val="0"/>
            <c:spPr>
              <a:solidFill>
                <a:schemeClr val="accent4">
                  <a:shade val="70000"/>
                </a:schemeClr>
              </a:solidFill>
              <a:ln w="19050">
                <a:solidFill>
                  <a:schemeClr val="lt1"/>
                </a:solidFill>
              </a:ln>
              <a:effectLst/>
            </c:spPr>
            <c:extLst>
              <c:ext xmlns:c16="http://schemas.microsoft.com/office/drawing/2014/chart" uri="{C3380CC4-5D6E-409C-BE32-E72D297353CC}">
                <c16:uniqueId val="{00000003-29E9-4EC0-9EAE-AAE2DEA4A41B}"/>
              </c:ext>
            </c:extLst>
          </c:dPt>
          <c:dPt>
            <c:idx val="2"/>
            <c:bubble3D val="0"/>
            <c:spPr>
              <a:solidFill>
                <a:schemeClr val="accent4">
                  <a:shade val="90000"/>
                </a:schemeClr>
              </a:solidFill>
              <a:ln w="19050">
                <a:solidFill>
                  <a:schemeClr val="lt1"/>
                </a:solidFill>
              </a:ln>
              <a:effectLst/>
            </c:spPr>
            <c:extLst>
              <c:ext xmlns:c16="http://schemas.microsoft.com/office/drawing/2014/chart" uri="{C3380CC4-5D6E-409C-BE32-E72D297353CC}">
                <c16:uniqueId val="{00000005-29E9-4EC0-9EAE-AAE2DEA4A41B}"/>
              </c:ext>
            </c:extLst>
          </c:dPt>
          <c:dPt>
            <c:idx val="3"/>
            <c:bubble3D val="0"/>
            <c:spPr>
              <a:solidFill>
                <a:schemeClr val="accent4">
                  <a:tint val="90000"/>
                </a:schemeClr>
              </a:solidFill>
              <a:ln w="19050">
                <a:solidFill>
                  <a:schemeClr val="lt1"/>
                </a:solidFill>
              </a:ln>
              <a:effectLst/>
            </c:spPr>
            <c:extLst>
              <c:ext xmlns:c16="http://schemas.microsoft.com/office/drawing/2014/chart" uri="{C3380CC4-5D6E-409C-BE32-E72D297353CC}">
                <c16:uniqueId val="{00000007-29E9-4EC0-9EAE-AAE2DEA4A41B}"/>
              </c:ext>
            </c:extLst>
          </c:dPt>
          <c:dPt>
            <c:idx val="4"/>
            <c:bubble3D val="0"/>
            <c:spPr>
              <a:solidFill>
                <a:schemeClr val="accent4">
                  <a:tint val="70000"/>
                </a:schemeClr>
              </a:solidFill>
              <a:ln w="19050">
                <a:solidFill>
                  <a:schemeClr val="lt1"/>
                </a:solidFill>
              </a:ln>
              <a:effectLst/>
            </c:spPr>
            <c:extLst>
              <c:ext xmlns:c16="http://schemas.microsoft.com/office/drawing/2014/chart" uri="{C3380CC4-5D6E-409C-BE32-E72D297353CC}">
                <c16:uniqueId val="{00000009-29E9-4EC0-9EAE-AAE2DEA4A41B}"/>
              </c:ext>
            </c:extLst>
          </c:dPt>
          <c:dPt>
            <c:idx val="5"/>
            <c:bubble3D val="0"/>
            <c:spPr>
              <a:solidFill>
                <a:schemeClr val="accent4">
                  <a:tint val="50000"/>
                </a:schemeClr>
              </a:solidFill>
              <a:ln w="19050">
                <a:solidFill>
                  <a:schemeClr val="lt1"/>
                </a:solidFill>
              </a:ln>
              <a:effectLst/>
            </c:spPr>
            <c:extLst>
              <c:ext xmlns:c16="http://schemas.microsoft.com/office/drawing/2014/chart" uri="{C3380CC4-5D6E-409C-BE32-E72D297353CC}">
                <c16:uniqueId val="{0000000B-29E9-4EC0-9EAE-AAE2DEA4A41B}"/>
              </c:ext>
            </c:extLst>
          </c:dPt>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Anaylsis_4!$A$4:$A$10</c:f>
              <c:strCache>
                <c:ptCount val="6"/>
                <c:pt idx="0">
                  <c:v>Emergency</c:v>
                </c:pt>
                <c:pt idx="1">
                  <c:v>Internal Medicine</c:v>
                </c:pt>
                <c:pt idx="2">
                  <c:v>Maternity</c:v>
                </c:pt>
                <c:pt idx="3">
                  <c:v>Outpatient</c:v>
                </c:pt>
                <c:pt idx="4">
                  <c:v>Pediatrics</c:v>
                </c:pt>
                <c:pt idx="5">
                  <c:v>Surgery</c:v>
                </c:pt>
              </c:strCache>
            </c:strRef>
          </c:cat>
          <c:val>
            <c:numRef>
              <c:f>Anaylsis_4!$B$4:$B$10</c:f>
              <c:numCache>
                <c:formatCode>General</c:formatCode>
                <c:ptCount val="6"/>
                <c:pt idx="0">
                  <c:v>820</c:v>
                </c:pt>
                <c:pt idx="1">
                  <c:v>772</c:v>
                </c:pt>
                <c:pt idx="2">
                  <c:v>819</c:v>
                </c:pt>
                <c:pt idx="3">
                  <c:v>689</c:v>
                </c:pt>
                <c:pt idx="4">
                  <c:v>900</c:v>
                </c:pt>
                <c:pt idx="5">
                  <c:v>852</c:v>
                </c:pt>
              </c:numCache>
            </c:numRef>
          </c:val>
          <c:extLst>
            <c:ext xmlns:c16="http://schemas.microsoft.com/office/drawing/2014/chart" uri="{C3380CC4-5D6E-409C-BE32-E72D297353CC}">
              <c16:uniqueId val="{00000000-0CE1-457B-A4A1-390282D323D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New Project(Public Hospital Utilization).xlsx]Analysis_5!PivotTable2</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Service Type Utilization Analysis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Analysis_5!$B$3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Analysis_5!$A$4:$A$10</c:f>
              <c:strCache>
                <c:ptCount val="6"/>
                <c:pt idx="0">
                  <c:v>Consultation</c:v>
                </c:pt>
                <c:pt idx="1">
                  <c:v>Medication</c:v>
                </c:pt>
                <c:pt idx="2">
                  <c:v>Lab Test</c:v>
                </c:pt>
                <c:pt idx="3">
                  <c:v>Admission</c:v>
                </c:pt>
                <c:pt idx="4">
                  <c:v>Delivery</c:v>
                </c:pt>
                <c:pt idx="5">
                  <c:v>Surgery</c:v>
                </c:pt>
              </c:strCache>
            </c:strRef>
          </c:cat>
          <c:val>
            <c:numRef>
              <c:f>Analysis_5!$B$4:$B$10</c:f>
              <c:numCache>
                <c:formatCode>General</c:formatCode>
                <c:ptCount val="6"/>
                <c:pt idx="0">
                  <c:v>734</c:v>
                </c:pt>
                <c:pt idx="1">
                  <c:v>735</c:v>
                </c:pt>
                <c:pt idx="2">
                  <c:v>763</c:v>
                </c:pt>
                <c:pt idx="3">
                  <c:v>814</c:v>
                </c:pt>
                <c:pt idx="4">
                  <c:v>891</c:v>
                </c:pt>
                <c:pt idx="5">
                  <c:v>915</c:v>
                </c:pt>
              </c:numCache>
            </c:numRef>
          </c:val>
          <c:extLst>
            <c:ext xmlns:c16="http://schemas.microsoft.com/office/drawing/2014/chart" uri="{C3380CC4-5D6E-409C-BE32-E72D297353CC}">
              <c16:uniqueId val="{00000000-9018-43DA-8B69-F04A678D9D25}"/>
            </c:ext>
          </c:extLst>
        </c:ser>
        <c:dLbls>
          <c:showLegendKey val="0"/>
          <c:showVal val="0"/>
          <c:showCatName val="0"/>
          <c:showSerName val="0"/>
          <c:showPercent val="0"/>
          <c:showBubbleSize val="0"/>
        </c:dLbls>
        <c:gapWidth val="182"/>
        <c:axId val="612423792"/>
        <c:axId val="612421632"/>
      </c:barChart>
      <c:catAx>
        <c:axId val="61242379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612421632"/>
        <c:crosses val="autoZero"/>
        <c:auto val="1"/>
        <c:lblAlgn val="ctr"/>
        <c:lblOffset val="100"/>
        <c:noMultiLvlLbl val="0"/>
      </c:catAx>
      <c:valAx>
        <c:axId val="612421632"/>
        <c:scaling>
          <c:orientation val="minMax"/>
        </c:scaling>
        <c:delete val="1"/>
        <c:axPos val="b"/>
        <c:numFmt formatCode="General" sourceLinked="1"/>
        <c:majorTickMark val="none"/>
        <c:minorTickMark val="none"/>
        <c:tickLblPos val="nextTo"/>
        <c:crossAx val="612423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New Project(Public Hospital Utilization).xlsx]Analysis_6!PivotTable7</c:name>
    <c:fmtId val="0"/>
  </c:pivotSource>
  <c:chart>
    <c:title>
      <c:tx>
        <c:rich>
          <a:bodyPr rot="0" spcFirstLastPara="1" vertOverflow="ellipsis" vert="horz" wrap="square" anchor="ctr" anchorCtr="1"/>
          <a:lstStyle/>
          <a:p>
            <a:pPr>
              <a:defRPr sz="1100" b="1" i="0" u="none" strike="noStrike" kern="1200" cap="all" spc="50" baseline="0">
                <a:solidFill>
                  <a:schemeClr val="tx1">
                    <a:lumMod val="65000"/>
                    <a:lumOff val="35000"/>
                  </a:schemeClr>
                </a:solidFill>
                <a:latin typeface="+mn-lt"/>
                <a:ea typeface="+mn-ea"/>
                <a:cs typeface="+mn-cs"/>
              </a:defRPr>
            </a:pPr>
            <a:r>
              <a:rPr lang="en-US" sz="1100" b="1" i="0" u="none" strike="noStrike" cap="all" baseline="0">
                <a:effectLst/>
              </a:rPr>
              <a:t>Gender-based Utilization Analysis</a:t>
            </a:r>
            <a:endParaRPr lang="en-US" sz="1100"/>
          </a:p>
        </c:rich>
      </c:tx>
      <c:overlay val="0"/>
      <c:spPr>
        <a:noFill/>
        <a:ln>
          <a:noFill/>
        </a:ln>
        <a:effectLst/>
      </c:spPr>
      <c:txPr>
        <a:bodyPr rot="0" spcFirstLastPara="1" vertOverflow="ellipsis" vert="horz" wrap="square" anchor="ctr" anchorCtr="1"/>
        <a:lstStyle/>
        <a:p>
          <a:pPr>
            <a:defRPr sz="11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4">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4">
              <a:tint val="77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Analysis_6!$B$3</c:f>
              <c:strCache>
                <c:ptCount val="1"/>
                <c:pt idx="0">
                  <c:v>Total</c:v>
                </c:pt>
              </c:strCache>
            </c:strRef>
          </c:tx>
          <c:spPr>
            <a:ln>
              <a:noFill/>
            </a:ln>
          </c:spPr>
          <c:dPt>
            <c:idx val="0"/>
            <c:bubble3D val="0"/>
            <c:spPr>
              <a:solidFill>
                <a:schemeClr val="accent4">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13A-4DAB-AB51-4C86370C2B1C}"/>
              </c:ext>
            </c:extLst>
          </c:dPt>
          <c:dPt>
            <c:idx val="1"/>
            <c:bubble3D val="0"/>
            <c:spPr>
              <a:solidFill>
                <a:schemeClr val="accent4">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13A-4DAB-AB51-4C86370C2B1C}"/>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Analysis_6!$A$4:$A$6</c:f>
              <c:strCache>
                <c:ptCount val="2"/>
                <c:pt idx="0">
                  <c:v>Female</c:v>
                </c:pt>
                <c:pt idx="1">
                  <c:v>Male</c:v>
                </c:pt>
              </c:strCache>
            </c:strRef>
          </c:cat>
          <c:val>
            <c:numRef>
              <c:f>Analysis_6!$B$4:$B$6</c:f>
              <c:numCache>
                <c:formatCode>General</c:formatCode>
                <c:ptCount val="2"/>
                <c:pt idx="0">
                  <c:v>2551</c:v>
                </c:pt>
                <c:pt idx="1">
                  <c:v>2301</c:v>
                </c:pt>
              </c:numCache>
            </c:numRef>
          </c:val>
          <c:extLst>
            <c:ext xmlns:c16="http://schemas.microsoft.com/office/drawing/2014/chart" uri="{C3380CC4-5D6E-409C-BE32-E72D297353CC}">
              <c16:uniqueId val="{00000000-9385-4333-A59F-21D7F5B591B1}"/>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New Project(Public Hospital Utilization).xlsx]Analysis_7!PivotTable1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Discharge Performance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Analysis_7!$B$3</c:f>
              <c:strCache>
                <c:ptCount val="1"/>
                <c:pt idx="0">
                  <c:v>Total</c:v>
                </c:pt>
              </c:strCache>
            </c:strRef>
          </c:tx>
          <c:spPr>
            <a:solidFill>
              <a:schemeClr val="accent1"/>
            </a:solidFill>
            <a:ln>
              <a:noFill/>
            </a:ln>
            <a:effectLst/>
          </c:spPr>
          <c:invertIfNegative val="0"/>
          <c:cat>
            <c:strRef>
              <c:f>Analysis_7!$A$4:$A$14</c:f>
              <c:strCache>
                <c:ptCount val="10"/>
                <c:pt idx="0">
                  <c:v>NAUTH Nnewi</c:v>
                </c:pt>
                <c:pt idx="1">
                  <c:v>Barau Dikko Hospital</c:v>
                </c:pt>
                <c:pt idx="2">
                  <c:v>Wuse District Hospital</c:v>
                </c:pt>
                <c:pt idx="3">
                  <c:v>Amaku General Hospital</c:v>
                </c:pt>
                <c:pt idx="4">
                  <c:v>Braithwaite Memorial Hospital</c:v>
                </c:pt>
                <c:pt idx="5">
                  <c:v>St Gerard Hospital</c:v>
                </c:pt>
                <c:pt idx="6">
                  <c:v>UBTH</c:v>
                </c:pt>
                <c:pt idx="7">
                  <c:v>UCH Ibadan</c:v>
                </c:pt>
                <c:pt idx="8">
                  <c:v>Ikeja General Hospital</c:v>
                </c:pt>
                <c:pt idx="9">
                  <c:v>National Hospital Abuja</c:v>
                </c:pt>
              </c:strCache>
            </c:strRef>
          </c:cat>
          <c:val>
            <c:numRef>
              <c:f>Analysis_7!$B$4:$B$14</c:f>
              <c:numCache>
                <c:formatCode>0%</c:formatCode>
                <c:ptCount val="10"/>
                <c:pt idx="0">
                  <c:v>0.89381166881166896</c:v>
                </c:pt>
                <c:pt idx="1">
                  <c:v>0.90240519029581523</c:v>
                </c:pt>
                <c:pt idx="2">
                  <c:v>0.91663359788359799</c:v>
                </c:pt>
                <c:pt idx="3">
                  <c:v>0.91722037652270205</c:v>
                </c:pt>
                <c:pt idx="4">
                  <c:v>0.91918650793650769</c:v>
                </c:pt>
                <c:pt idx="5">
                  <c:v>0.922118437118437</c:v>
                </c:pt>
                <c:pt idx="6">
                  <c:v>0.92840136054421751</c:v>
                </c:pt>
                <c:pt idx="7">
                  <c:v>0.92850529100529122</c:v>
                </c:pt>
                <c:pt idx="8">
                  <c:v>0.93340476190476196</c:v>
                </c:pt>
                <c:pt idx="9">
                  <c:v>0.94247275712792944</c:v>
                </c:pt>
              </c:numCache>
            </c:numRef>
          </c:val>
          <c:extLst>
            <c:ext xmlns:c16="http://schemas.microsoft.com/office/drawing/2014/chart" uri="{C3380CC4-5D6E-409C-BE32-E72D297353CC}">
              <c16:uniqueId val="{00000000-E10F-4E74-806B-AB3E23088DF0}"/>
            </c:ext>
          </c:extLst>
        </c:ser>
        <c:dLbls>
          <c:showLegendKey val="0"/>
          <c:showVal val="0"/>
          <c:showCatName val="0"/>
          <c:showSerName val="0"/>
          <c:showPercent val="0"/>
          <c:showBubbleSize val="0"/>
        </c:dLbls>
        <c:gapWidth val="182"/>
        <c:axId val="451918952"/>
        <c:axId val="451925432"/>
      </c:barChart>
      <c:catAx>
        <c:axId val="45191895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51925432"/>
        <c:crosses val="autoZero"/>
        <c:auto val="1"/>
        <c:lblAlgn val="ctr"/>
        <c:lblOffset val="100"/>
        <c:noMultiLvlLbl val="0"/>
      </c:catAx>
      <c:valAx>
        <c:axId val="451925432"/>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51918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New Project(Public Hospital Utilization).xlsx]Analysis_8!PivotTable2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Mortality Analysis by Department</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Analysis_8!$B$3</c:f>
              <c:strCache>
                <c:ptCount val="1"/>
                <c:pt idx="0">
                  <c:v>Total</c:v>
                </c:pt>
              </c:strCache>
            </c:strRef>
          </c:tx>
          <c:spPr>
            <a:solidFill>
              <a:schemeClr val="accent1"/>
            </a:solidFill>
            <a:ln>
              <a:noFill/>
            </a:ln>
            <a:effectLst/>
          </c:spPr>
          <c:invertIfNegative val="0"/>
          <c:cat>
            <c:strRef>
              <c:f>Analysis_8!$A$4:$A$10</c:f>
              <c:strCache>
                <c:ptCount val="6"/>
                <c:pt idx="0">
                  <c:v>Emergency</c:v>
                </c:pt>
                <c:pt idx="1">
                  <c:v>Internal Medicine</c:v>
                </c:pt>
                <c:pt idx="2">
                  <c:v>Maternity</c:v>
                </c:pt>
                <c:pt idx="3">
                  <c:v>Outpatient</c:v>
                </c:pt>
                <c:pt idx="4">
                  <c:v>Pediatrics</c:v>
                </c:pt>
                <c:pt idx="5">
                  <c:v>Surgery</c:v>
                </c:pt>
              </c:strCache>
            </c:strRef>
          </c:cat>
          <c:val>
            <c:numRef>
              <c:f>Analysis_8!$B$4:$B$10</c:f>
              <c:numCache>
                <c:formatCode>0.0%</c:formatCode>
                <c:ptCount val="6"/>
                <c:pt idx="0">
                  <c:v>4.6375152625152634E-2</c:v>
                </c:pt>
                <c:pt idx="1">
                  <c:v>5.5079890675917176E-2</c:v>
                </c:pt>
                <c:pt idx="2">
                  <c:v>4.6354311705188903E-2</c:v>
                </c:pt>
                <c:pt idx="3">
                  <c:v>6.8281584316067068E-2</c:v>
                </c:pt>
                <c:pt idx="4">
                  <c:v>4.5951558516325368E-2</c:v>
                </c:pt>
                <c:pt idx="5">
                  <c:v>3.8808793719508003E-2</c:v>
                </c:pt>
              </c:numCache>
            </c:numRef>
          </c:val>
          <c:extLst>
            <c:ext xmlns:c16="http://schemas.microsoft.com/office/drawing/2014/chart" uri="{C3380CC4-5D6E-409C-BE32-E72D297353CC}">
              <c16:uniqueId val="{00000000-B79C-4A54-BFE2-A6763297E291}"/>
            </c:ext>
          </c:extLst>
        </c:ser>
        <c:dLbls>
          <c:showLegendKey val="0"/>
          <c:showVal val="0"/>
          <c:showCatName val="0"/>
          <c:showSerName val="0"/>
          <c:showPercent val="0"/>
          <c:showBubbleSize val="0"/>
        </c:dLbls>
        <c:gapWidth val="219"/>
        <c:overlap val="-27"/>
        <c:axId val="533122256"/>
        <c:axId val="533116496"/>
      </c:barChart>
      <c:catAx>
        <c:axId val="53312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116496"/>
        <c:crosses val="autoZero"/>
        <c:auto val="1"/>
        <c:lblAlgn val="ctr"/>
        <c:lblOffset val="100"/>
        <c:noMultiLvlLbl val="0"/>
      </c:catAx>
      <c:valAx>
        <c:axId val="533116496"/>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122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New Project(Public Hospital Utilization).xlsx]Analysis_8!PivotTable3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Mortality </a:t>
            </a:r>
            <a:r>
              <a:rPr lang="en-US" sz="1400" b="1" i="0" u="none" strike="noStrike" baseline="0">
                <a:effectLst/>
              </a:rPr>
              <a:t>Analysis</a:t>
            </a:r>
            <a:r>
              <a:rPr lang="en-US" sz="1400" b="0" i="0" u="none" strike="noStrike" baseline="0">
                <a:effectLst/>
              </a:rPr>
              <a:t> by Hospital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Analysis_8!$F$3</c:f>
              <c:strCache>
                <c:ptCount val="1"/>
                <c:pt idx="0">
                  <c:v>Total</c:v>
                </c:pt>
              </c:strCache>
            </c:strRef>
          </c:tx>
          <c:spPr>
            <a:solidFill>
              <a:schemeClr val="accent1"/>
            </a:solidFill>
            <a:ln>
              <a:noFill/>
            </a:ln>
            <a:effectLst/>
          </c:spPr>
          <c:invertIfNegative val="0"/>
          <c:cat>
            <c:strRef>
              <c:f>Analysis_8!$E$4:$E$14</c:f>
              <c:strCache>
                <c:ptCount val="10"/>
                <c:pt idx="0">
                  <c:v>Adeoyo Maternity Hospital</c:v>
                </c:pt>
                <c:pt idx="1">
                  <c:v>Amaku General Hospital</c:v>
                </c:pt>
                <c:pt idx="2">
                  <c:v>Barau Dikko Hospital</c:v>
                </c:pt>
                <c:pt idx="3">
                  <c:v>Braithwaite Memorial Hospital</c:v>
                </c:pt>
                <c:pt idx="4">
                  <c:v>Maiduguri Specialist Hospital</c:v>
                </c:pt>
                <c:pt idx="5">
                  <c:v>NAUTH Nnewi</c:v>
                </c:pt>
                <c:pt idx="6">
                  <c:v>UBTH</c:v>
                </c:pt>
                <c:pt idx="7">
                  <c:v>UCH Ibadan</c:v>
                </c:pt>
                <c:pt idx="8">
                  <c:v>UMTH</c:v>
                </c:pt>
                <c:pt idx="9">
                  <c:v>UPTH</c:v>
                </c:pt>
              </c:strCache>
            </c:strRef>
          </c:cat>
          <c:val>
            <c:numRef>
              <c:f>Analysis_8!$F$4:$F$14</c:f>
              <c:numCache>
                <c:formatCode>0%</c:formatCode>
                <c:ptCount val="10"/>
                <c:pt idx="0">
                  <c:v>5.7733873691320506E-2</c:v>
                </c:pt>
                <c:pt idx="1">
                  <c:v>5.567552602436323E-2</c:v>
                </c:pt>
                <c:pt idx="2">
                  <c:v>6.8552150974025977E-2</c:v>
                </c:pt>
                <c:pt idx="3">
                  <c:v>4.9900793650793647E-2</c:v>
                </c:pt>
                <c:pt idx="4">
                  <c:v>5.8625336927223722E-2</c:v>
                </c:pt>
                <c:pt idx="5">
                  <c:v>5.1555126555126549E-2</c:v>
                </c:pt>
                <c:pt idx="6">
                  <c:v>5.6568877551020413E-2</c:v>
                </c:pt>
                <c:pt idx="7">
                  <c:v>5.5869708994709E-2</c:v>
                </c:pt>
                <c:pt idx="8">
                  <c:v>7.3412698412698416E-2</c:v>
                </c:pt>
                <c:pt idx="9">
                  <c:v>4.9885531135531146E-2</c:v>
                </c:pt>
              </c:numCache>
            </c:numRef>
          </c:val>
          <c:extLst>
            <c:ext xmlns:c16="http://schemas.microsoft.com/office/drawing/2014/chart" uri="{C3380CC4-5D6E-409C-BE32-E72D297353CC}">
              <c16:uniqueId val="{00000000-AFFD-44BA-8791-AC98CC4ADF70}"/>
            </c:ext>
          </c:extLst>
        </c:ser>
        <c:dLbls>
          <c:showLegendKey val="0"/>
          <c:showVal val="0"/>
          <c:showCatName val="0"/>
          <c:showSerName val="0"/>
          <c:showPercent val="0"/>
          <c:showBubbleSize val="0"/>
        </c:dLbls>
        <c:gapWidth val="182"/>
        <c:axId val="533128736"/>
        <c:axId val="533130176"/>
      </c:barChart>
      <c:catAx>
        <c:axId val="533128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130176"/>
        <c:crosses val="autoZero"/>
        <c:auto val="1"/>
        <c:lblAlgn val="ctr"/>
        <c:lblOffset val="100"/>
        <c:noMultiLvlLbl val="0"/>
      </c:catAx>
      <c:valAx>
        <c:axId val="533130176"/>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128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New Project(Public Hospital Utilization).xlsx]Analysis_9!PivotTable5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Length of Stay Analysis by Hospital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Analysis_9!$B$3</c:f>
              <c:strCache>
                <c:ptCount val="1"/>
                <c:pt idx="0">
                  <c:v>Total</c:v>
                </c:pt>
              </c:strCache>
            </c:strRef>
          </c:tx>
          <c:spPr>
            <a:solidFill>
              <a:schemeClr val="accent1"/>
            </a:solidFill>
            <a:ln>
              <a:noFill/>
            </a:ln>
            <a:effectLst/>
          </c:spPr>
          <c:invertIfNegative val="0"/>
          <c:cat>
            <c:strRef>
              <c:f>Analysis_9!$A$4:$A$14</c:f>
              <c:strCache>
                <c:ptCount val="10"/>
                <c:pt idx="0">
                  <c:v>Asaba General Hospital</c:v>
                </c:pt>
                <c:pt idx="1">
                  <c:v>LASUTH</c:v>
                </c:pt>
                <c:pt idx="2">
                  <c:v>UBTH</c:v>
                </c:pt>
                <c:pt idx="3">
                  <c:v>Braithwaite Memorial Hospital</c:v>
                </c:pt>
                <c:pt idx="4">
                  <c:v>Maiduguri Specialist Hospital</c:v>
                </c:pt>
                <c:pt idx="5">
                  <c:v>St Gerard Hospital</c:v>
                </c:pt>
                <c:pt idx="6">
                  <c:v>Amaku General Hospital</c:v>
                </c:pt>
                <c:pt idx="7">
                  <c:v>NAUTH Nnewi</c:v>
                </c:pt>
                <c:pt idx="8">
                  <c:v>Ikeja General Hospital</c:v>
                </c:pt>
                <c:pt idx="9">
                  <c:v>UPTH</c:v>
                </c:pt>
              </c:strCache>
            </c:strRef>
          </c:cat>
          <c:val>
            <c:numRef>
              <c:f>Analysis_9!$B$4:$B$14</c:f>
              <c:numCache>
                <c:formatCode>0.00</c:formatCode>
                <c:ptCount val="10"/>
                <c:pt idx="0">
                  <c:v>3.2302325581395341</c:v>
                </c:pt>
                <c:pt idx="1">
                  <c:v>3.2023809523809526</c:v>
                </c:pt>
                <c:pt idx="2">
                  <c:v>3.121428571428571</c:v>
                </c:pt>
                <c:pt idx="3">
                  <c:v>3.08</c:v>
                </c:pt>
                <c:pt idx="4">
                  <c:v>3.0471698113207548</c:v>
                </c:pt>
                <c:pt idx="5">
                  <c:v>3.046153846153846</c:v>
                </c:pt>
                <c:pt idx="6">
                  <c:v>3.0441860465116286</c:v>
                </c:pt>
                <c:pt idx="7">
                  <c:v>2.9918918918918909</c:v>
                </c:pt>
                <c:pt idx="8">
                  <c:v>2.99</c:v>
                </c:pt>
                <c:pt idx="9">
                  <c:v>2.9596153846153834</c:v>
                </c:pt>
              </c:numCache>
            </c:numRef>
          </c:val>
          <c:extLst>
            <c:ext xmlns:c16="http://schemas.microsoft.com/office/drawing/2014/chart" uri="{C3380CC4-5D6E-409C-BE32-E72D297353CC}">
              <c16:uniqueId val="{00000000-D039-4ECE-8D67-4440BF1EDA1E}"/>
            </c:ext>
          </c:extLst>
        </c:ser>
        <c:dLbls>
          <c:showLegendKey val="0"/>
          <c:showVal val="0"/>
          <c:showCatName val="0"/>
          <c:showSerName val="0"/>
          <c:showPercent val="0"/>
          <c:showBubbleSize val="0"/>
        </c:dLbls>
        <c:gapWidth val="182"/>
        <c:axId val="560809472"/>
        <c:axId val="560819192"/>
      </c:barChart>
      <c:catAx>
        <c:axId val="560809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819192"/>
        <c:crosses val="autoZero"/>
        <c:auto val="1"/>
        <c:lblAlgn val="ctr"/>
        <c:lblOffset val="100"/>
        <c:noMultiLvlLbl val="0"/>
      </c:catAx>
      <c:valAx>
        <c:axId val="560819192"/>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809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New Project(Public Hospital Utilization).xlsx]Analysis_9!PivotTable6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Length of Stay Analysis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Analysis_9!$I$3</c:f>
              <c:strCache>
                <c:ptCount val="1"/>
                <c:pt idx="0">
                  <c:v>Total</c:v>
                </c:pt>
              </c:strCache>
            </c:strRef>
          </c:tx>
          <c:spPr>
            <a:solidFill>
              <a:schemeClr val="accent1"/>
            </a:solidFill>
            <a:ln>
              <a:noFill/>
            </a:ln>
            <a:effectLst/>
          </c:spPr>
          <c:invertIfNegative val="0"/>
          <c:cat>
            <c:strRef>
              <c:f>Analysis_9!$H$4:$H$10</c:f>
              <c:strCache>
                <c:ptCount val="6"/>
                <c:pt idx="0">
                  <c:v>Outpatient</c:v>
                </c:pt>
                <c:pt idx="1">
                  <c:v>Pediatrics</c:v>
                </c:pt>
                <c:pt idx="2">
                  <c:v>Surgery</c:v>
                </c:pt>
                <c:pt idx="3">
                  <c:v>Emergency</c:v>
                </c:pt>
                <c:pt idx="4">
                  <c:v>Maternity</c:v>
                </c:pt>
                <c:pt idx="5">
                  <c:v>Internal Medicine</c:v>
                </c:pt>
              </c:strCache>
            </c:strRef>
          </c:cat>
          <c:val>
            <c:numRef>
              <c:f>Analysis_9!$I$4:$I$10</c:f>
              <c:numCache>
                <c:formatCode>0.00</c:formatCode>
                <c:ptCount val="6"/>
                <c:pt idx="0">
                  <c:v>3.097931034482758</c:v>
                </c:pt>
                <c:pt idx="1">
                  <c:v>2.9839378238341974</c:v>
                </c:pt>
                <c:pt idx="2">
                  <c:v>2.963690476190477</c:v>
                </c:pt>
                <c:pt idx="3">
                  <c:v>2.9180232558139534</c:v>
                </c:pt>
                <c:pt idx="4">
                  <c:v>2.905263157894737</c:v>
                </c:pt>
                <c:pt idx="5">
                  <c:v>2.8125827814569555</c:v>
                </c:pt>
              </c:numCache>
            </c:numRef>
          </c:val>
          <c:extLst>
            <c:ext xmlns:c16="http://schemas.microsoft.com/office/drawing/2014/chart" uri="{C3380CC4-5D6E-409C-BE32-E72D297353CC}">
              <c16:uniqueId val="{00000000-35CD-41A4-87F9-582A2044A879}"/>
            </c:ext>
          </c:extLst>
        </c:ser>
        <c:dLbls>
          <c:showLegendKey val="0"/>
          <c:showVal val="0"/>
          <c:showCatName val="0"/>
          <c:showSerName val="0"/>
          <c:showPercent val="0"/>
          <c:showBubbleSize val="0"/>
        </c:dLbls>
        <c:gapWidth val="219"/>
        <c:overlap val="-27"/>
        <c:axId val="560816312"/>
        <c:axId val="560810912"/>
      </c:barChart>
      <c:catAx>
        <c:axId val="560816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810912"/>
        <c:crosses val="autoZero"/>
        <c:auto val="1"/>
        <c:lblAlgn val="ctr"/>
        <c:lblOffset val="100"/>
        <c:noMultiLvlLbl val="0"/>
      </c:catAx>
      <c:valAx>
        <c:axId val="56081091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816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[Excel New Project(Public Hospital Utilization).xlsx]Anaysis_1!PivotTable1</c:name>
    <c:fmtId val="10"/>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Patient</a:t>
            </a:r>
            <a:r>
              <a:rPr lang="en-US" b="1" baseline="0">
                <a:solidFill>
                  <a:sysClr val="windowText" lastClr="000000"/>
                </a:solidFill>
              </a:rPr>
              <a:t> Admission Trend Over Time</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dk1">
                <a:tint val="885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Anaysis_1!$B$3</c:f>
              <c:strCache>
                <c:ptCount val="1"/>
                <c:pt idx="0">
                  <c:v>Total</c:v>
                </c:pt>
              </c:strCache>
            </c:strRef>
          </c:tx>
          <c:spPr>
            <a:ln w="28575" cap="rnd">
              <a:solidFill>
                <a:schemeClr val="dk1">
                  <a:tint val="88500"/>
                </a:schemeClr>
              </a:solidFill>
              <a:round/>
            </a:ln>
            <a:effectLst/>
          </c:spPr>
          <c:marker>
            <c:symbol val="none"/>
          </c:marker>
          <c:cat>
            <c:strRef>
              <c:f>Anaysis_1!$A$4:$A$16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Anaysis_1!$B$4:$B$16</c:f>
              <c:numCache>
                <c:formatCode>General</c:formatCode>
                <c:ptCount val="12"/>
                <c:pt idx="0">
                  <c:v>399</c:v>
                </c:pt>
                <c:pt idx="1">
                  <c:v>349</c:v>
                </c:pt>
                <c:pt idx="2">
                  <c:v>459</c:v>
                </c:pt>
                <c:pt idx="3">
                  <c:v>425</c:v>
                </c:pt>
                <c:pt idx="4">
                  <c:v>410</c:v>
                </c:pt>
                <c:pt idx="5">
                  <c:v>396</c:v>
                </c:pt>
                <c:pt idx="6">
                  <c:v>419</c:v>
                </c:pt>
                <c:pt idx="7">
                  <c:v>311</c:v>
                </c:pt>
                <c:pt idx="8">
                  <c:v>424</c:v>
                </c:pt>
                <c:pt idx="9">
                  <c:v>481</c:v>
                </c:pt>
                <c:pt idx="10">
                  <c:v>371</c:v>
                </c:pt>
                <c:pt idx="11">
                  <c:v>408</c:v>
                </c:pt>
              </c:numCache>
            </c:numRef>
          </c:val>
          <c:smooth val="0"/>
          <c:extLst>
            <c:ext xmlns:c16="http://schemas.microsoft.com/office/drawing/2014/chart" uri="{C3380CC4-5D6E-409C-BE32-E72D297353CC}">
              <c16:uniqueId val="{00000000-2075-4345-8663-A47F1C06AB4A}"/>
            </c:ext>
          </c:extLst>
        </c:ser>
        <c:dLbls>
          <c:showLegendKey val="0"/>
          <c:showVal val="0"/>
          <c:showCatName val="0"/>
          <c:showSerName val="0"/>
          <c:showPercent val="0"/>
          <c:showBubbleSize val="0"/>
        </c:dLbls>
        <c:smooth val="0"/>
        <c:axId val="522036216"/>
        <c:axId val="522030816"/>
      </c:lineChart>
      <c:catAx>
        <c:axId val="52203621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522030816"/>
        <c:crosses val="autoZero"/>
        <c:auto val="1"/>
        <c:lblAlgn val="ctr"/>
        <c:lblOffset val="100"/>
        <c:noMultiLvlLbl val="0"/>
      </c:catAx>
      <c:valAx>
        <c:axId val="5220308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522036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New Project(Public Hospital Utilization).xlsx]Analysis_2!PivotTable9</c:name>
    <c:fmtId val="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solidFill>
                <a:latin typeface="+mn-lt"/>
                <a:ea typeface="+mn-ea"/>
                <a:cs typeface="+mn-cs"/>
              </a:defRPr>
            </a:pPr>
            <a:r>
              <a:rPr lang="en-US" sz="1800">
                <a:solidFill>
                  <a:sysClr val="windowText" lastClr="000000"/>
                </a:solidFill>
                <a:effectLst/>
              </a:rPr>
              <a:t>State-wise Hospital Utilization</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Analysis_2!$B$3</c:f>
              <c:strCache>
                <c:ptCount val="1"/>
                <c:pt idx="0">
                  <c:v>Total</c:v>
                </c:pt>
              </c:strCache>
            </c:strRef>
          </c:tx>
          <c:spPr>
            <a:solidFill>
              <a:schemeClr val="accent4"/>
            </a:solidFill>
            <a:ln>
              <a:noFill/>
            </a:ln>
            <a:effectLst/>
          </c:spPr>
          <c:invertIfNegative val="0"/>
          <c:cat>
            <c:strRef>
              <c:f>Analysis_2!$A$4:$A$14</c:f>
              <c:strCache>
                <c:ptCount val="10"/>
                <c:pt idx="0">
                  <c:v>Kaduna</c:v>
                </c:pt>
                <c:pt idx="1">
                  <c:v>Edo</c:v>
                </c:pt>
                <c:pt idx="2">
                  <c:v>Rivers</c:v>
                </c:pt>
                <c:pt idx="3">
                  <c:v>Borno</c:v>
                </c:pt>
                <c:pt idx="4">
                  <c:v>Oyo</c:v>
                </c:pt>
                <c:pt idx="5">
                  <c:v>Lagos</c:v>
                </c:pt>
                <c:pt idx="6">
                  <c:v>FCT</c:v>
                </c:pt>
                <c:pt idx="7">
                  <c:v>Kano</c:v>
                </c:pt>
                <c:pt idx="8">
                  <c:v>Delta</c:v>
                </c:pt>
                <c:pt idx="9">
                  <c:v>Anambra</c:v>
                </c:pt>
              </c:strCache>
            </c:strRef>
          </c:cat>
          <c:val>
            <c:numRef>
              <c:f>Analysis_2!$B$4:$B$14</c:f>
              <c:numCache>
                <c:formatCode>General</c:formatCode>
                <c:ptCount val="10"/>
                <c:pt idx="0">
                  <c:v>629</c:v>
                </c:pt>
                <c:pt idx="1">
                  <c:v>572</c:v>
                </c:pt>
                <c:pt idx="2">
                  <c:v>549</c:v>
                </c:pt>
                <c:pt idx="3">
                  <c:v>486</c:v>
                </c:pt>
                <c:pt idx="4">
                  <c:v>469</c:v>
                </c:pt>
                <c:pt idx="5">
                  <c:v>469</c:v>
                </c:pt>
                <c:pt idx="6">
                  <c:v>449</c:v>
                </c:pt>
                <c:pt idx="7">
                  <c:v>444</c:v>
                </c:pt>
                <c:pt idx="8">
                  <c:v>413</c:v>
                </c:pt>
                <c:pt idx="9">
                  <c:v>372</c:v>
                </c:pt>
              </c:numCache>
            </c:numRef>
          </c:val>
          <c:extLst>
            <c:ext xmlns:c16="http://schemas.microsoft.com/office/drawing/2014/chart" uri="{C3380CC4-5D6E-409C-BE32-E72D297353CC}">
              <c16:uniqueId val="{00000000-AF5E-445D-855D-D700A8AA6632}"/>
            </c:ext>
          </c:extLst>
        </c:ser>
        <c:dLbls>
          <c:showLegendKey val="0"/>
          <c:showVal val="0"/>
          <c:showCatName val="0"/>
          <c:showSerName val="0"/>
          <c:showPercent val="0"/>
          <c:showBubbleSize val="0"/>
        </c:dLbls>
        <c:gapWidth val="219"/>
        <c:overlap val="-27"/>
        <c:axId val="560817392"/>
        <c:axId val="560812352"/>
      </c:barChart>
      <c:catAx>
        <c:axId val="56081739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560812352"/>
        <c:crosses val="autoZero"/>
        <c:auto val="1"/>
        <c:lblAlgn val="ctr"/>
        <c:lblOffset val="100"/>
        <c:noMultiLvlLbl val="0"/>
      </c:catAx>
      <c:valAx>
        <c:axId val="5608123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560817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New Project(Public Hospital Utilization).xlsx]Analysis_5!PivotTable2</c:name>
    <c:fmtId val="10"/>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sz="1400" b="1" i="0" u="none" strike="noStrike" baseline="0">
                <a:solidFill>
                  <a:sysClr val="windowText" lastClr="000000"/>
                </a:solidFill>
                <a:effectLst/>
              </a:rPr>
              <a:t>Service Type Utilization Analysis</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Analysis_5!$B$3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Analysis_5!$A$4:$A$10</c:f>
              <c:strCache>
                <c:ptCount val="6"/>
                <c:pt idx="0">
                  <c:v>Consultation</c:v>
                </c:pt>
                <c:pt idx="1">
                  <c:v>Medication</c:v>
                </c:pt>
                <c:pt idx="2">
                  <c:v>Lab Test</c:v>
                </c:pt>
                <c:pt idx="3">
                  <c:v>Admission</c:v>
                </c:pt>
                <c:pt idx="4">
                  <c:v>Delivery</c:v>
                </c:pt>
                <c:pt idx="5">
                  <c:v>Surgery</c:v>
                </c:pt>
              </c:strCache>
            </c:strRef>
          </c:cat>
          <c:val>
            <c:numRef>
              <c:f>Analysis_5!$B$4:$B$10</c:f>
              <c:numCache>
                <c:formatCode>General</c:formatCode>
                <c:ptCount val="6"/>
                <c:pt idx="0">
                  <c:v>734</c:v>
                </c:pt>
                <c:pt idx="1">
                  <c:v>735</c:v>
                </c:pt>
                <c:pt idx="2">
                  <c:v>763</c:v>
                </c:pt>
                <c:pt idx="3">
                  <c:v>814</c:v>
                </c:pt>
                <c:pt idx="4">
                  <c:v>891</c:v>
                </c:pt>
                <c:pt idx="5">
                  <c:v>915</c:v>
                </c:pt>
              </c:numCache>
            </c:numRef>
          </c:val>
          <c:extLst>
            <c:ext xmlns:c16="http://schemas.microsoft.com/office/drawing/2014/chart" uri="{C3380CC4-5D6E-409C-BE32-E72D297353CC}">
              <c16:uniqueId val="{00000000-1A5A-440B-B15A-4E31C8A771E6}"/>
            </c:ext>
          </c:extLst>
        </c:ser>
        <c:dLbls>
          <c:showLegendKey val="0"/>
          <c:showVal val="0"/>
          <c:showCatName val="0"/>
          <c:showSerName val="0"/>
          <c:showPercent val="0"/>
          <c:showBubbleSize val="0"/>
        </c:dLbls>
        <c:gapWidth val="182"/>
        <c:axId val="612423792"/>
        <c:axId val="612421632"/>
      </c:barChart>
      <c:catAx>
        <c:axId val="61242379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crossAx val="612421632"/>
        <c:crosses val="autoZero"/>
        <c:auto val="1"/>
        <c:lblAlgn val="ctr"/>
        <c:lblOffset val="100"/>
        <c:noMultiLvlLbl val="0"/>
      </c:catAx>
      <c:valAx>
        <c:axId val="612421632"/>
        <c:scaling>
          <c:orientation val="minMax"/>
        </c:scaling>
        <c:delete val="1"/>
        <c:axPos val="b"/>
        <c:numFmt formatCode="General" sourceLinked="1"/>
        <c:majorTickMark val="none"/>
        <c:minorTickMark val="none"/>
        <c:tickLblPos val="nextTo"/>
        <c:crossAx val="612423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New Project(Public Hospital Utilization).xlsx]Anaylsis_4!PivotTable1</c:name>
    <c:fmtId val="7"/>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Patient distribution</a:t>
            </a:r>
            <a:r>
              <a:rPr lang="en-US" b="1" baseline="0">
                <a:solidFill>
                  <a:sysClr val="windowText" lastClr="000000"/>
                </a:solidFill>
              </a:rPr>
              <a:t> by Department</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pivotFmt>
      <c:pivotFmt>
        <c:idx val="2"/>
        <c:spPr>
          <a:solidFill>
            <a:schemeClr val="accent4"/>
          </a:solidFill>
          <a:ln w="19050">
            <a:solidFill>
              <a:schemeClr val="lt1"/>
            </a:solidFill>
          </a:ln>
          <a:effectLst/>
        </c:spPr>
      </c:pivotFmt>
      <c:pivotFmt>
        <c:idx val="3"/>
        <c:spPr>
          <a:solidFill>
            <a:schemeClr val="accent4"/>
          </a:solidFill>
          <a:ln w="19050">
            <a:solidFill>
              <a:schemeClr val="lt1"/>
            </a:solidFill>
          </a:ln>
          <a:effectLst/>
        </c:spPr>
      </c:pivotFmt>
      <c:pivotFmt>
        <c:idx val="4"/>
        <c:spPr>
          <a:solidFill>
            <a:schemeClr val="accent4"/>
          </a:solidFill>
          <a:ln w="19050">
            <a:solidFill>
              <a:schemeClr val="lt1"/>
            </a:solidFill>
          </a:ln>
          <a:effectLst/>
        </c:spPr>
      </c:pivotFmt>
      <c:pivotFmt>
        <c:idx val="5"/>
        <c:spPr>
          <a:solidFill>
            <a:schemeClr val="accent4"/>
          </a:solidFill>
          <a:ln w="19050">
            <a:solidFill>
              <a:schemeClr val="lt1"/>
            </a:solidFill>
          </a:ln>
          <a:effectLst/>
        </c:spPr>
      </c:pivotFmt>
      <c:pivotFmt>
        <c:idx val="6"/>
        <c:spPr>
          <a:solidFill>
            <a:schemeClr val="accent4"/>
          </a:solidFill>
          <a:ln w="19050">
            <a:solidFill>
              <a:schemeClr val="lt1"/>
            </a:solidFill>
          </a:ln>
          <a:effectLst/>
        </c:spPr>
      </c:pivotFmt>
      <c:pivotFmt>
        <c:idx val="7"/>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shade val="50000"/>
            </a:schemeClr>
          </a:solidFill>
          <a:ln w="19050">
            <a:solidFill>
              <a:schemeClr val="lt1"/>
            </a:solidFill>
          </a:ln>
          <a:effectLst/>
        </c:spPr>
      </c:pivotFmt>
      <c:pivotFmt>
        <c:idx val="9"/>
        <c:spPr>
          <a:solidFill>
            <a:schemeClr val="accent4">
              <a:shade val="70000"/>
            </a:schemeClr>
          </a:solidFill>
          <a:ln w="19050">
            <a:solidFill>
              <a:schemeClr val="lt1"/>
            </a:solidFill>
          </a:ln>
          <a:effectLst/>
        </c:spPr>
      </c:pivotFmt>
      <c:pivotFmt>
        <c:idx val="10"/>
        <c:spPr>
          <a:solidFill>
            <a:schemeClr val="accent4">
              <a:shade val="90000"/>
            </a:schemeClr>
          </a:solidFill>
          <a:ln w="19050">
            <a:solidFill>
              <a:schemeClr val="lt1"/>
            </a:solidFill>
          </a:ln>
          <a:effectLst/>
        </c:spPr>
      </c:pivotFmt>
      <c:pivotFmt>
        <c:idx val="11"/>
        <c:spPr>
          <a:solidFill>
            <a:schemeClr val="accent4"/>
          </a:solidFill>
          <a:ln w="19050">
            <a:solidFill>
              <a:schemeClr val="lt1"/>
            </a:solidFill>
          </a:ln>
          <a:effectLst/>
        </c:spPr>
      </c:pivotFmt>
      <c:pivotFmt>
        <c:idx val="12"/>
        <c:spPr>
          <a:solidFill>
            <a:schemeClr val="accent4">
              <a:tint val="70000"/>
            </a:schemeClr>
          </a:solidFill>
          <a:ln w="19050">
            <a:solidFill>
              <a:schemeClr val="lt1"/>
            </a:solidFill>
          </a:ln>
          <a:effectLst/>
        </c:spPr>
      </c:pivotFmt>
      <c:pivotFmt>
        <c:idx val="13"/>
        <c:spPr>
          <a:solidFill>
            <a:schemeClr val="accent4"/>
          </a:solidFill>
          <a:ln w="19050">
            <a:solidFill>
              <a:schemeClr val="lt1"/>
            </a:solidFill>
          </a:ln>
          <a:effectLst/>
        </c:spPr>
      </c:pivotFmt>
      <c:pivotFmt>
        <c:idx val="14"/>
        <c:spPr>
          <a:solidFill>
            <a:schemeClr val="accent4"/>
          </a:solidFill>
          <a:ln w="19050">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4">
              <a:shade val="50000"/>
            </a:schemeClr>
          </a:solidFill>
          <a:ln w="19050">
            <a:noFill/>
          </a:ln>
          <a:effectLst/>
        </c:spPr>
      </c:pivotFmt>
      <c:pivotFmt>
        <c:idx val="16"/>
        <c:spPr>
          <a:solidFill>
            <a:schemeClr val="accent4">
              <a:shade val="70000"/>
            </a:schemeClr>
          </a:solidFill>
          <a:ln w="19050">
            <a:noFill/>
          </a:ln>
          <a:effectLst/>
        </c:spPr>
      </c:pivotFmt>
      <c:pivotFmt>
        <c:idx val="17"/>
        <c:spPr>
          <a:solidFill>
            <a:schemeClr val="accent4">
              <a:shade val="90000"/>
            </a:schemeClr>
          </a:solidFill>
          <a:ln w="19050">
            <a:noFill/>
          </a:ln>
          <a:effectLst/>
        </c:spPr>
      </c:pivotFmt>
      <c:pivotFmt>
        <c:idx val="18"/>
        <c:spPr>
          <a:solidFill>
            <a:schemeClr val="accent4"/>
          </a:solidFill>
          <a:ln w="19050">
            <a:noFill/>
          </a:ln>
          <a:effectLst/>
        </c:spPr>
      </c:pivotFmt>
      <c:pivotFmt>
        <c:idx val="19"/>
        <c:spPr>
          <a:solidFill>
            <a:schemeClr val="accent4">
              <a:tint val="70000"/>
            </a:schemeClr>
          </a:solidFill>
          <a:ln w="19050">
            <a:noFill/>
          </a:ln>
          <a:effectLst/>
        </c:spPr>
      </c:pivotFmt>
      <c:pivotFmt>
        <c:idx val="20"/>
        <c:spPr>
          <a:solidFill>
            <a:schemeClr val="accent4"/>
          </a:solidFill>
          <a:ln w="19050">
            <a:noFill/>
          </a:ln>
          <a:effectLst/>
        </c:spPr>
      </c:pivotFmt>
    </c:pivotFmts>
    <c:plotArea>
      <c:layout/>
      <c:pieChart>
        <c:varyColors val="1"/>
        <c:ser>
          <c:idx val="0"/>
          <c:order val="0"/>
          <c:tx>
            <c:strRef>
              <c:f>Anaylsis_4!$B$3</c:f>
              <c:strCache>
                <c:ptCount val="1"/>
                <c:pt idx="0">
                  <c:v>Total</c:v>
                </c:pt>
              </c:strCache>
            </c:strRef>
          </c:tx>
          <c:spPr>
            <a:ln>
              <a:noFill/>
            </a:ln>
          </c:spPr>
          <c:dPt>
            <c:idx val="0"/>
            <c:bubble3D val="0"/>
            <c:spPr>
              <a:solidFill>
                <a:schemeClr val="accent4">
                  <a:shade val="50000"/>
                </a:schemeClr>
              </a:solidFill>
              <a:ln w="19050">
                <a:noFill/>
              </a:ln>
              <a:effectLst/>
            </c:spPr>
            <c:extLst>
              <c:ext xmlns:c16="http://schemas.microsoft.com/office/drawing/2014/chart" uri="{C3380CC4-5D6E-409C-BE32-E72D297353CC}">
                <c16:uniqueId val="{00000001-19D0-49D0-BFA4-1D13FF304413}"/>
              </c:ext>
            </c:extLst>
          </c:dPt>
          <c:dPt>
            <c:idx val="1"/>
            <c:bubble3D val="0"/>
            <c:spPr>
              <a:solidFill>
                <a:schemeClr val="accent4">
                  <a:shade val="70000"/>
                </a:schemeClr>
              </a:solidFill>
              <a:ln w="19050">
                <a:noFill/>
              </a:ln>
              <a:effectLst/>
            </c:spPr>
            <c:extLst>
              <c:ext xmlns:c16="http://schemas.microsoft.com/office/drawing/2014/chart" uri="{C3380CC4-5D6E-409C-BE32-E72D297353CC}">
                <c16:uniqueId val="{00000003-19D0-49D0-BFA4-1D13FF304413}"/>
              </c:ext>
            </c:extLst>
          </c:dPt>
          <c:dPt>
            <c:idx val="2"/>
            <c:bubble3D val="0"/>
            <c:spPr>
              <a:solidFill>
                <a:schemeClr val="accent4">
                  <a:shade val="90000"/>
                </a:schemeClr>
              </a:solidFill>
              <a:ln w="19050">
                <a:noFill/>
              </a:ln>
              <a:effectLst/>
            </c:spPr>
            <c:extLst>
              <c:ext xmlns:c16="http://schemas.microsoft.com/office/drawing/2014/chart" uri="{C3380CC4-5D6E-409C-BE32-E72D297353CC}">
                <c16:uniqueId val="{00000005-19D0-49D0-BFA4-1D13FF304413}"/>
              </c:ext>
            </c:extLst>
          </c:dPt>
          <c:dPt>
            <c:idx val="3"/>
            <c:bubble3D val="0"/>
            <c:spPr>
              <a:solidFill>
                <a:schemeClr val="accent4">
                  <a:tint val="90000"/>
                </a:schemeClr>
              </a:solidFill>
              <a:ln w="19050">
                <a:noFill/>
              </a:ln>
              <a:effectLst/>
            </c:spPr>
            <c:extLst>
              <c:ext xmlns:c16="http://schemas.microsoft.com/office/drawing/2014/chart" uri="{C3380CC4-5D6E-409C-BE32-E72D297353CC}">
                <c16:uniqueId val="{00000007-19D0-49D0-BFA4-1D13FF304413}"/>
              </c:ext>
            </c:extLst>
          </c:dPt>
          <c:dPt>
            <c:idx val="4"/>
            <c:bubble3D val="0"/>
            <c:spPr>
              <a:solidFill>
                <a:schemeClr val="accent4">
                  <a:tint val="70000"/>
                </a:schemeClr>
              </a:solidFill>
              <a:ln w="19050">
                <a:noFill/>
              </a:ln>
              <a:effectLst/>
            </c:spPr>
            <c:extLst>
              <c:ext xmlns:c16="http://schemas.microsoft.com/office/drawing/2014/chart" uri="{C3380CC4-5D6E-409C-BE32-E72D297353CC}">
                <c16:uniqueId val="{00000009-19D0-49D0-BFA4-1D13FF304413}"/>
              </c:ext>
            </c:extLst>
          </c:dPt>
          <c:dPt>
            <c:idx val="5"/>
            <c:bubble3D val="0"/>
            <c:spPr>
              <a:solidFill>
                <a:schemeClr val="accent4">
                  <a:tint val="50000"/>
                </a:schemeClr>
              </a:solidFill>
              <a:ln w="19050">
                <a:noFill/>
              </a:ln>
              <a:effectLst/>
            </c:spPr>
            <c:extLst>
              <c:ext xmlns:c16="http://schemas.microsoft.com/office/drawing/2014/chart" uri="{C3380CC4-5D6E-409C-BE32-E72D297353CC}">
                <c16:uniqueId val="{0000000B-19D0-49D0-BFA4-1D13FF304413}"/>
              </c:ext>
            </c:extLst>
          </c:dPt>
          <c:dLbls>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Anaylsis_4!$A$4:$A$10</c:f>
              <c:strCache>
                <c:ptCount val="6"/>
                <c:pt idx="0">
                  <c:v>Emergency</c:v>
                </c:pt>
                <c:pt idx="1">
                  <c:v>Internal Medicine</c:v>
                </c:pt>
                <c:pt idx="2">
                  <c:v>Maternity</c:v>
                </c:pt>
                <c:pt idx="3">
                  <c:v>Outpatient</c:v>
                </c:pt>
                <c:pt idx="4">
                  <c:v>Pediatrics</c:v>
                </c:pt>
                <c:pt idx="5">
                  <c:v>Surgery</c:v>
                </c:pt>
              </c:strCache>
            </c:strRef>
          </c:cat>
          <c:val>
            <c:numRef>
              <c:f>Anaylsis_4!$B$4:$B$10</c:f>
              <c:numCache>
                <c:formatCode>General</c:formatCode>
                <c:ptCount val="6"/>
                <c:pt idx="0">
                  <c:v>820</c:v>
                </c:pt>
                <c:pt idx="1">
                  <c:v>772</c:v>
                </c:pt>
                <c:pt idx="2">
                  <c:v>819</c:v>
                </c:pt>
                <c:pt idx="3">
                  <c:v>689</c:v>
                </c:pt>
                <c:pt idx="4">
                  <c:v>900</c:v>
                </c:pt>
                <c:pt idx="5">
                  <c:v>852</c:v>
                </c:pt>
              </c:numCache>
            </c:numRef>
          </c:val>
          <c:extLst>
            <c:ext xmlns:c16="http://schemas.microsoft.com/office/drawing/2014/chart" uri="{C3380CC4-5D6E-409C-BE32-E72D297353CC}">
              <c16:uniqueId val="{0000000C-19D0-49D0-BFA4-1D13FF30441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New Project(Public Hospital Utilization).xlsx]Analysis_7!PivotTable1</c:name>
    <c:fmtId val="3"/>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sz="1400" b="0" i="0" u="none" strike="noStrike" baseline="0">
                <a:solidFill>
                  <a:sysClr val="windowText" lastClr="000000"/>
                </a:solidFill>
                <a:effectLst/>
              </a:rPr>
              <a:t>Discharge Performance Analysis</a:t>
            </a:r>
            <a:endParaRPr lang="en-US">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Analysis_7!$B$3</c:f>
              <c:strCache>
                <c:ptCount val="1"/>
                <c:pt idx="0">
                  <c:v>Total</c:v>
                </c:pt>
              </c:strCache>
            </c:strRef>
          </c:tx>
          <c:spPr>
            <a:solidFill>
              <a:schemeClr val="accent1"/>
            </a:solidFill>
            <a:ln>
              <a:noFill/>
            </a:ln>
            <a:effectLst/>
          </c:spPr>
          <c:invertIfNegative val="0"/>
          <c:cat>
            <c:strRef>
              <c:f>Analysis_7!$A$4:$A$14</c:f>
              <c:strCache>
                <c:ptCount val="10"/>
                <c:pt idx="0">
                  <c:v>NAUTH Nnewi</c:v>
                </c:pt>
                <c:pt idx="1">
                  <c:v>Barau Dikko Hospital</c:v>
                </c:pt>
                <c:pt idx="2">
                  <c:v>Wuse District Hospital</c:v>
                </c:pt>
                <c:pt idx="3">
                  <c:v>Amaku General Hospital</c:v>
                </c:pt>
                <c:pt idx="4">
                  <c:v>Braithwaite Memorial Hospital</c:v>
                </c:pt>
                <c:pt idx="5">
                  <c:v>St Gerard Hospital</c:v>
                </c:pt>
                <c:pt idx="6">
                  <c:v>UBTH</c:v>
                </c:pt>
                <c:pt idx="7">
                  <c:v>UCH Ibadan</c:v>
                </c:pt>
                <c:pt idx="8">
                  <c:v>Ikeja General Hospital</c:v>
                </c:pt>
                <c:pt idx="9">
                  <c:v>National Hospital Abuja</c:v>
                </c:pt>
              </c:strCache>
            </c:strRef>
          </c:cat>
          <c:val>
            <c:numRef>
              <c:f>Analysis_7!$B$4:$B$14</c:f>
              <c:numCache>
                <c:formatCode>0%</c:formatCode>
                <c:ptCount val="10"/>
                <c:pt idx="0">
                  <c:v>0.89381166881166896</c:v>
                </c:pt>
                <c:pt idx="1">
                  <c:v>0.90240519029581523</c:v>
                </c:pt>
                <c:pt idx="2">
                  <c:v>0.91663359788359799</c:v>
                </c:pt>
                <c:pt idx="3">
                  <c:v>0.91722037652270205</c:v>
                </c:pt>
                <c:pt idx="4">
                  <c:v>0.91918650793650769</c:v>
                </c:pt>
                <c:pt idx="5">
                  <c:v>0.922118437118437</c:v>
                </c:pt>
                <c:pt idx="6">
                  <c:v>0.92840136054421751</c:v>
                </c:pt>
                <c:pt idx="7">
                  <c:v>0.92850529100529122</c:v>
                </c:pt>
                <c:pt idx="8">
                  <c:v>0.93340476190476196</c:v>
                </c:pt>
                <c:pt idx="9">
                  <c:v>0.94247275712792944</c:v>
                </c:pt>
              </c:numCache>
            </c:numRef>
          </c:val>
          <c:extLst>
            <c:ext xmlns:c16="http://schemas.microsoft.com/office/drawing/2014/chart" uri="{C3380CC4-5D6E-409C-BE32-E72D297353CC}">
              <c16:uniqueId val="{00000000-6F77-4BDC-A607-48161F7FE597}"/>
            </c:ext>
          </c:extLst>
        </c:ser>
        <c:dLbls>
          <c:showLegendKey val="0"/>
          <c:showVal val="0"/>
          <c:showCatName val="0"/>
          <c:showSerName val="0"/>
          <c:showPercent val="0"/>
          <c:showBubbleSize val="0"/>
        </c:dLbls>
        <c:gapWidth val="182"/>
        <c:axId val="451918952"/>
        <c:axId val="451925432"/>
      </c:barChart>
      <c:catAx>
        <c:axId val="45191895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451925432"/>
        <c:crosses val="autoZero"/>
        <c:auto val="1"/>
        <c:lblAlgn val="ctr"/>
        <c:lblOffset val="100"/>
        <c:noMultiLvlLbl val="0"/>
      </c:catAx>
      <c:valAx>
        <c:axId val="451925432"/>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451918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New Project(Public Hospital Utilization).xlsx]Analysis_6!PivotTable7</c:name>
    <c:fmtId val="10"/>
  </c:pivotSource>
  <c:chart>
    <c:title>
      <c:tx>
        <c:rich>
          <a:bodyPr rot="0" spcFirstLastPara="1" vertOverflow="ellipsis" vert="horz" wrap="square" anchor="ctr" anchorCtr="1"/>
          <a:lstStyle/>
          <a:p>
            <a:pPr>
              <a:defRPr sz="1100" b="1" i="0" u="none" strike="noStrike" kern="1200" cap="all" spc="50" baseline="0">
                <a:solidFill>
                  <a:sysClr val="windowText" lastClr="000000"/>
                </a:solidFill>
                <a:latin typeface="+mn-lt"/>
                <a:ea typeface="+mn-ea"/>
                <a:cs typeface="+mn-cs"/>
              </a:defRPr>
            </a:pPr>
            <a:r>
              <a:rPr lang="en-US" sz="1100" b="1" i="0" u="none" strike="noStrike" cap="all" baseline="0">
                <a:solidFill>
                  <a:sysClr val="windowText" lastClr="000000"/>
                </a:solidFill>
                <a:effectLst/>
              </a:rPr>
              <a:t>Gender-based Utilization Analysis</a:t>
            </a:r>
            <a:endParaRPr lang="en-US" sz="1100" b="1">
              <a:solidFill>
                <a:sysClr val="windowText" lastClr="000000"/>
              </a:solidFill>
            </a:endParaRPr>
          </a:p>
        </c:rich>
      </c:tx>
      <c:overlay val="0"/>
      <c:spPr>
        <a:noFill/>
        <a:ln>
          <a:noFill/>
        </a:ln>
        <a:effectLst/>
      </c:spPr>
      <c:txPr>
        <a:bodyPr rot="0" spcFirstLastPara="1" vertOverflow="ellipsis" vert="horz" wrap="square" anchor="ctr" anchorCtr="1"/>
        <a:lstStyle/>
        <a:p>
          <a:pPr>
            <a:defRPr sz="1100" b="1" i="0" u="none" strike="noStrike" kern="1200" cap="all" spc="50" baseline="0">
              <a:solidFill>
                <a:sysClr val="windowText" lastClr="000000"/>
              </a:solidFill>
              <a:latin typeface="+mn-lt"/>
              <a:ea typeface="+mn-ea"/>
              <a:cs typeface="+mn-cs"/>
            </a:defRPr>
          </a:pPr>
          <a:endParaRPr lang="en-US"/>
        </a:p>
      </c:txPr>
    </c:title>
    <c:autoTitleDeleted val="0"/>
    <c:pivotFmts>
      <c:pivotFmt>
        <c:idx val="0"/>
        <c:spPr>
          <a:solidFill>
            <a:schemeClr val="accent4"/>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4"/>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4">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4">
              <a:tint val="77000"/>
            </a:schemeClr>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4"/>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4">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4">
              <a:tint val="77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Analysis_6!$B$3</c:f>
              <c:strCache>
                <c:ptCount val="1"/>
                <c:pt idx="0">
                  <c:v>Total</c:v>
                </c:pt>
              </c:strCache>
            </c:strRef>
          </c:tx>
          <c:spPr>
            <a:ln>
              <a:noFill/>
            </a:ln>
          </c:spPr>
          <c:dPt>
            <c:idx val="0"/>
            <c:bubble3D val="0"/>
            <c:spPr>
              <a:solidFill>
                <a:schemeClr val="accent4">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6ED7-40B1-B537-36BA9E9E879D}"/>
              </c:ext>
            </c:extLst>
          </c:dPt>
          <c:dPt>
            <c:idx val="1"/>
            <c:bubble3D val="0"/>
            <c:spPr>
              <a:solidFill>
                <a:schemeClr val="accent4">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6ED7-40B1-B537-36BA9E9E879D}"/>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Analysis_6!$A$4:$A$6</c:f>
              <c:strCache>
                <c:ptCount val="2"/>
                <c:pt idx="0">
                  <c:v>Female</c:v>
                </c:pt>
                <c:pt idx="1">
                  <c:v>Male</c:v>
                </c:pt>
              </c:strCache>
            </c:strRef>
          </c:cat>
          <c:val>
            <c:numRef>
              <c:f>Analysis_6!$B$4:$B$6</c:f>
              <c:numCache>
                <c:formatCode>General</c:formatCode>
                <c:ptCount val="2"/>
                <c:pt idx="0">
                  <c:v>2551</c:v>
                </c:pt>
                <c:pt idx="1">
                  <c:v>2301</c:v>
                </c:pt>
              </c:numCache>
            </c:numRef>
          </c:val>
          <c:extLst>
            <c:ext xmlns:c16="http://schemas.microsoft.com/office/drawing/2014/chart" uri="{C3380CC4-5D6E-409C-BE32-E72D297353CC}">
              <c16:uniqueId val="{00000004-6ED7-40B1-B537-36BA9E9E879D}"/>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_xlchart.v5.2</cx:f>
      </cx:numDim>
    </cx:data>
  </cx:chartData>
  <cx:chart>
    <cx:title pos="t" align="ctr" overlay="0">
      <cx:tx>
        <cx:rich>
          <a:bodyPr spcFirstLastPara="1" vertOverflow="ellipsis" horzOverflow="overflow" wrap="square" lIns="0" tIns="0" rIns="0" bIns="0" anchor="ctr" anchorCtr="1"/>
          <a:lstStyle/>
          <a:p>
            <a:pPr algn="ctr" rtl="0">
              <a:defRPr>
                <a:solidFill>
                  <a:sysClr val="windowText" lastClr="000000"/>
                </a:solidFill>
              </a:defRPr>
            </a:pPr>
            <a:r>
              <a:rPr lang="en-US" sz="1400" b="0" i="0" u="none" strike="noStrike" baseline="0">
                <a:solidFill>
                  <a:sysClr val="windowText" lastClr="000000"/>
                </a:solidFill>
                <a:effectLst/>
                <a:latin typeface="Aptos Narrow" panose="02110004020202020204"/>
                <a:ea typeface="Calibri" panose="020F0502020204030204" pitchFamily="34" charset="0"/>
                <a:cs typeface="Calibri" panose="020F0502020204030204" pitchFamily="34" charset="0"/>
              </a:rPr>
              <a:t>Geographic Distribution (Map Analysis)</a:t>
            </a:r>
          </a:p>
          <a:p>
            <a:pPr algn="ctr" rtl="0">
              <a:defRPr>
                <a:solidFill>
                  <a:sysClr val="windowText" lastClr="000000"/>
                </a:solidFill>
              </a:defRPr>
            </a:pPr>
            <a:endParaRPr lang="en-US" sz="1400" b="0" i="0" u="none" strike="noStrike" baseline="0">
              <a:solidFill>
                <a:sysClr val="windowText" lastClr="000000"/>
              </a:solidFill>
              <a:latin typeface="Aptos Narrow" panose="02110004020202020204"/>
            </a:endParaRPr>
          </a:p>
        </cx:rich>
      </cx:tx>
    </cx:title>
    <cx:plotArea>
      <cx:plotAreaRegion>
        <cx:series layoutId="regionMap" uniqueId="{7776D54B-2C70-41E2-9982-779BE6E0BD6D}">
          <cx:dataLabels>
            <cx:txPr>
              <a:bodyPr spcFirstLastPara="1" vertOverflow="ellipsis" horzOverflow="overflow" wrap="square" lIns="0" tIns="0" rIns="0" bIns="0" anchor="ctr" anchorCtr="1"/>
              <a:lstStyle/>
              <a:p>
                <a:pPr algn="ctr" rtl="0">
                  <a:defRPr b="1">
                    <a:solidFill>
                      <a:sysClr val="windowText" lastClr="000000"/>
                    </a:solidFill>
                  </a:defRPr>
                </a:pPr>
                <a:endParaRPr lang="en-US" sz="850" b="1" i="0" u="none" strike="noStrike" baseline="0">
                  <a:solidFill>
                    <a:sysClr val="windowText" lastClr="000000"/>
                  </a:solidFill>
                  <a:latin typeface="Aptos Narrow" panose="02110004020202020204"/>
                </a:endParaRPr>
              </a:p>
            </cx:txPr>
            <cx:visibility seriesName="0" categoryName="0" value="1"/>
          </cx:dataLabels>
          <cx:dataId val="0"/>
          <cx:layoutPr>
            <cx:geography cultureLanguage="en-US" cultureRegion="US" attribution="Powered by Bing">
              <cx:geoCache provider="{E9337A44-BEBE-4D9F-B70C-5C5E7DAFC167}">
                <cx:binary>3HtZc9y2tu5fSeX5UgFATNy1s6sOyB40y5Is23lhyZIMggQJDuCEX39Wy0Mk72TfSiqn6uToQVY3
iCaaC2utb4D/+bD848E+3fc/LLVthn88LD//WHjf/uOnn4aH4qm+H45q89C7wX3yRw+u/sl9+mQe
nn567O9n0+ifCML0p4fivvdPy4//+id8mn5yZ+7h3hvXvBmf+vX6aRitH/7D2G8O/XD/WJsmM4Pv
zYPHP/94et+4H394arzx6+3aPv3846srfvzhp+8/59/u+YOFZfnxEeZifCQTKuOEJD/+YF2jv7wv
j1jMKY6xTD7/xF/veXFfw7zDKn648ff+6ev7v7WW55XcPz72T8MAX+T539dzX6399dCDGxt/eG4a
HuHPP14Y/dSb+x9/MINLPw+l7vAVLnbP3/mn18/8X//87g14Ct+98yIs3z+y/9/Qv0Xlv5r7+mMP
q/urAsOPCJYxjvnXAPBX8eFHCYPgQITQ5x/69daf4/NlPX82RN9N/y5K343+rQKlXP+X5g85wlKw
OMGvwoPjoxhJhGJKvuTP6/A8r+LPBufV5O9C82rsbxWY7Mn6vzB/2BEjIkYciS8BkK8CxI+wgOzh
cMlv5s/zav5sgF5N/i5Ar8b+VgHaPP6FfYcfQWQ4E9/yQ7wKDztKBCECU/olPJBenyvr5/IGa/mz
wXkx9bvQvBj5WwXmcv0LAyOh7zBMGHqdL/ER45TIRH4XCLj3nw3Ei6nfBeLFyN8qENv09us2/S00
dEBm/4MQ5PT+cWz+wgqK0VEsCYsJJq9yUxxJFscEtsiXygrI8WVufl7Hn90Vr2d/tzFeD/6t9sbZ
vXbD1wf1e7vjNYT9T7idQ3vjCYox/TUIL+A7pKsQUDvp12HI5pcxel7Nnw3Rq8nfRejV2N8qQNdm
eur/wgjRowO+QARQ4DeE8SJC/EhyRJEUX8chyV5G6PNy/myIXs/+LkavB/9XB+n3Fvf5SX1Oo1fX
/EH6mwAMAZTOuPgSJPZdqTtklwCE/2sMXwbpGyf9/fX8NgX+NvHV4v/HSe7vd59vtSa79/ebZ3Hh
BQf+z6NfyfN3U79s59+sdZ+f1/EjCBAcc0IoQy8id/igV8nwX9V8/8PxR1e/zofv5j/dD/7nH+VR
TDHGiJCEJsChBYR0fjqMiCMK+Qh8gGLGpIwFNK7G9b74+UdgC7AMCDJnHMMloHYMbjyM0CMqEEsQ
xpQlMYM/v8k7V86u2jXfHs6X1z80Y33lTOMHWAzApfbzZYfFAtsgkjIOt2IIE1gBLKF9uL8GCQmu
xv8visI4thSlK6CtebN2IRo3eesoV+0Scnkz5fkYLnHcdvF2mrBs91W3DKcon8ezaWHhAQ9tKFRT
xegyln0ypX6IolPpVt9uFlGgm7VdivJ4jEnsjxkS8ZOdwjIoPPVYngyza+NdW+fLPnH5chmPrR1S
uvoeZ1EfppO6iNcpRWx0SaZRlz9RNsdvZEs6rMaCy6ueTtSpYhyNSWctpFCdYMspx2OMVFFVwqva
xp4oTjWZ9r5ybpsTioMKtu/v8rGxJh1yLbnieTN9FHXZL+lQ9ItTxpbNhUW4jRXS6yTTvq65VN1E
8jqNkcGVKkK3Lwo8nzIX4SFj8doaVQrazptpxL5PfbR4pEbXUaREjco3QehpVHI2dlBOj3pn21VH
acv1UiuoDIPMvGnmc8FaRFQfOodSOQ0NUyMeKc1cWyybIZL2algxKjLi5ukTzdHw6aUs9WqvPLh2
7Y0uvqiB317+67J9am58//Tkz+/bZ6z469jrl7DpviTzIVlevfi37P2d/PwsSP7O4B9KXvofk3fn
6o9Pv5u4h7mfE/cgRTIhGUKCCi4RB8Xrc+ICEqUixiQhgkAKJzGgmS+JC5NggMoE0CgDtApd9Evi
JkeMQllJpBT8oJUR9kcSlySwrpeZSyQsKeFSELgRNPYYBLeXmVvWcqr6KdqLMhabwncua/xiTwle
hl092dqppWaNmqsIZUM8PuKlwllDRHOR4zo+FmtMt5OYtFUkX/tdWAJ71xaxv2gmXx/HFF6KQUy7
CkdYTXnpjWqwn3Zl4atTT+CavkrWTgkytXcBcDvkNB7mWuHIX5QOzVuC9GxVbku0a91UpEPNxl1I
YObQMsg0mhR9GlPWbPzUIrX2SfcxqfhoU2mF21Szu6qN+GiL6mQd7Rktul2Bp33BaPi4tk15B8L5
krmx8wonsMgoTP1pcIylordCVXPZpGyN7oeoltsGjeOmm10aFqk3k4saokTlfa8cSTZF2cyKtgvK
WJOcTDR5lNPYpDTMPI0DFCbL5tuchpuV1Wc4d0Q1upwzKaN1I6rEZKOVbRro3J2ChnrHBEdw62JR
UW9QNk/WqXosfMq8xBupu2Q3xvO6r+Op3Eekm9M65Hw7hokpq3OTFnqNtsRRqhpaXq0zjS66pTwp
o+oyRPmGFv5E1gFlZubw5Ukxj2pyU6xgqdWdS9r23iCpFRIYRypph+ICFY6USie1vGUJqc9aE43Z
uNatVY0pQuYWKMSB9M0mit2g8jwmTzYfhlOWR9XtsvgkHdm4PhC0JJt8gbJnGIprtY5toeJgh6t1
aB7mec3VUPo4ReUCnWTAw/Egx2RjhgWrtZuSY92Nw27QgU3K9yFotcplSWk5lBktWnszcld1ypC4
OI1oZDvVmga90SWCSDUxu0mQuY76vrmNcW9OGi3x2yUuI5aRles9XWdyt651ftEMa7eqvtRrvIvI
SN5Eep0HZblk53Vn9KlA8max9ZX2tj4xqLFnghYunb2kmdG9VmPgvcqnye9sOTUqmImtaiQy2ocy
SJ9GXRN/GMd4JMpPonobkhlvZU1mpLqGFFvS6f7Y29zve3j4aWeH/MYGOV6gcabX2CG8a/na7hvh
lklRXtDHpV+QTfEAc/w8jnuADu0ZEeNw7VrpTvhahF2TQBexTQEJV+tuPvdlmZ9VsKcu8nXpj41d
191oKrRhNg9bG/klZV3fb+aJiq2sijWta/LIKW2H3dLiftMmmCuxjH2n1lDH6DRh47wrJvhqasnd
fC95Mz42Sfw4DRW07tyw5GwuzbCNaRl4KmPvrhJORJ2Bc9Lcmqb0TuVLPrepz0d5yUda389JWx5X
cTTbVMdYM2USRDaL1frG52ExEJmObRsXd8f54OzGOTttpqLxpywkMrNjpC99vohdHzfkpB8KmoGe
Fy1qLNfmFpV9dUwKjntFl7XYDDS3ceriepq3Pm94Whb6zdpHxV0zsuHE4cl0yrZF/3as2PIxknXr
VD+YNvMcsFeKOuacih0ABxRWDLUvX1yXtUUQaFeapIdyNeKLYWzbs6ZpzSknrLiJfd1ddxbPBkpw
Qn+p+FQWqrTsYl0sfkd555Rt2HLdSbI26QCdxWT/99s2wE6eHBrcN6vw3xD3Kx/hV7T+beaXlk2P
uBDgHQKNJTGVHHDzl5aNQaBI4jgRIFJQSl627PhI4CSRiRCcYxwT6OZfejY0esDtWCQcOBmM8j/S
shn+vmVDHkkR84OKhRFPKACKly0bx0bHSc+PvTdDk1pW4Q9jk0PL7Iemv3CuLEQKpSlEJzOK/Ha0
GLawqGSvSkSbKSXFaPOUNybUKimSYI+pDGLJIjFF8Vabgl0sZO3SqI2vRjrXd/EQzapa83gbh3aQ
aY6X9rZydjjH66BzVfgoftMaxCIVQpFUl4vl/c00D8ae2D5awnmoWzKqZIrCqcjbCKd2jXj+AP24
3/IxRHvTtcKdyahA13PRxVJJXoz0KurWvtkX7YwyG5dMHJtxHnZz5MbNwGdogq4rWgDlOefvRh9H
baqxrq6RrBq4NAmqbyN6ueRcNikfEqI3jBq/86TvLpiTOMMSwDHg5w2hHWASWZ6ipMuMicimGniu
qjKQ6ypMIp0CvUS2dRuCsd6uPuBjM1exin3IhlKMaWl0lVLsvfJ5ko3NAMDcy0ZFwHaKRPKziDp7
1rXRW4rsrmamVQ3D58M44q3V0XGHSL4pUZURUsFUuRZ7yYY6Leo4USaO2XFTA56ZEqYI9jaNp+Y4
kcu9HKOToZhL1bVr1vv5rgT4eEqM3KC6c5uuai4n0p3iaWBKRtOucPZ4imSfDUOos3qgWbzyWpnK
LO/bSKyXpuin41rI4h1bK5NneWzZL3mBimNsbPU4doX52GEfbf20snQGuHE69r2+hu5ZvJGWGZ0G
JEl0qhvbr2e2pYVWBdNRrxphmrNI1Itqm6iuU9oKPaoqsLLe9k1S4S0U2f7YksYLNRq9NKnvEnE9
5FEe1GqjZoeKpv4lQhPZJwfK1s8Ae+LZsx3z81AqU6x0H5XGv0emqt6SsrKnZdQOJq3m1p/Bt7JX
01IBzgs9K1tVi7Vy6Sqp3K5jQgolkUaVWioPCVXxsj7va6OhFWM0YjXHnGmlueOqC2huVAdNLVtz
3L/nlsSp7Itlz20TPY1jP14D3xzTXJv2rM3jJVaSjNO+R25ImWZjZgsPT2JGQ5yOwwB70Dty2sy4
ufa2HM9QWy+Zpm2ZIeeqfU60vcmj0posikx0URXtcBs3zmasM0sqmZZ7p+s+Tq3LTdYz1N8AHDen
yxKGK9hE7DTwclZmXSNFgKKrYZjEBq1Vt7ELL7YIwPdTPK5BMbsk78va0seS0rE/9z2pRLHFAx0m
Ndmlr9ZbNPNp8GqJVn7KE9ltvekGFeINbUy5AzAGcHuiOu3bKnmfUwDusbUiBQG+TJOaoAyEjlgV
XdXdm6Tdxu7W1J6edni1W1uR/lLXbt0uXfmx78KNmf1JX647ov2mNGNWk+EC9f3e01bNS20uoko0
+7of2CZo0afBFN1FS8V4nhsbssj6G4h8uMY9r9KO2P60SkK0GadePDXFkJy0VJd7lq+3lI9APoq8
g9wvxkfeNPNVVYzdydSbzSybi2Ye6e1UzsUnpKf1aV6syNjSaOjDSJ+GFRDC4EQL9UCQs7yJ1nsg
YYkF2Jp3+2725Qb0gDZDvSFpAOx3DOUTCEeDiZJQ1LYhbwoDVH8gt2HhLI2EbHcyx8V27Sk/w0ay
t3oJ7XnF12Szhpm9y0nUbRm9nZOTetRXBe6TzLSd2CSjvYos8ZcCFAb4kKI4IzrptnRGc1axuH7D
7cQuZi+iN46M7d5BaFJtp3wP+FlfQk8DQaSy45RWIo6VGIV+1yey308hmjLRrPQNXZt5W0wiuXSB
hlXlBIebcsLVpmsKu4unBA3KE5S/NW2L035Zk20H22xH51IDWdHVcVzr6IT0y3ISN75KcaUz3bg0
8aLYFDOvoehRmuKiik6o9PwS88jtIsDzxneLKvDyOJa+UnNh9kNV7qY5viytvq31ch4B8j4NI1AV
CfxkZ7DrUr8UWOllKLYtSto0r2S5EdSPWxGhBYSftt2UYYREj4IZlGiGeU/WpExlMa1Zxyq9GXV5
p3OWpKIcxFuxtieUQRInzZr5KO+dmvVhKzKi+6wJvN3Ow1BX0HOjAafNVIrTuu95DnoZWvILM+Na
ZI7pvFfDvE5RBlsMf2RiqY/LxlTJsSlyZu5wR8NuzF0n06nT04YBtN51E6vScl4GYLZEHqNpDWcT
W2Z3u4jI1Jsi6S1XutWeZHhYkwToHNP+RhfUPdY492/4Yuz16LUXwP1RV6dzafNSVZUvK1WN7TTv
AzCzIePlGN/LUsrzummsop6JJz7lukhDCblwYapDbwHuXaQrGbqQJn08HI9tkiPFurbBAE7gdBrU
jCg/6Zeho4rGhSaqrovAVIsr1qq2rOMPE8iW/dYOa10Bf4V9sMd5qe+dWIDwRybBWQXV2qkAhf5y
qqU8XUDg2FOJpVGxARqQYzNc4T48RlV10xV8atN4pcVHNDnm1QRqZb+D/SSvLdLFfi1yBw3VhDZb
F9ELlVPUVNuE+1XJukTt2dJqm7kApG5uubjNF5AhTp0X7j6vWW7U4kfQ42xrLxY2AINmVquGxE2u
0FxUowpNPae5deWezHTdI+2jdwAZq32UzMXdTMXwjgTTXE1Nb06LMiwbchAM/Bz7O7Qir8oW0cwL
YOo7Uy98w9Yhfiz9UB2vB61ihmveoqoaT5aDpqEP6kail32ERrRtnffBqP/7FOGLLE9A5fp9kvDB
ffx2/O+FFn+Y9IUfkCMQJRIMeP5wlIN+owfgu4jDqcNEADlIBILTH18FPTg5BdofiGygj5MEdPyX
7ACMGg5sA1NMBcj7f4QegCL2WtGLEViocDzrsBIQHcEWeE0P5lI2zlsJCC4GVWbsJ/vRlYZlvrM2
qzQDKUAe9nWumau24Xm7iyWCrR8OWeCFx2mibQGIENJjfs6UCmqGV6FtAPm1KxByEHHuWhH/klM/
XNFDws2hTozycPJyPx4SshGDvyyfszQmRQ6i4SF522HV93nZTWJfIAIpNj5nurco/uBzAvnfPNcC
9lwXhucasR7KRftcOfxUtfiilkuEVLtGwzGf6z6krM6L1AhQ/Y9jPprpQjxXJXYoUM2hVCWHogWM
Kr5Hz5UMrYmf9/a5wi3P1a6vhr5Ocx5BFeRutNd11Y1vaNe0j/i5XpLn2lk811E/FTVXGFpXvRGa
ru62qmQ4o1Muj6tDKTYoAS5wKM+irUF/eK7ZS4jCrpsbae6maLHJMT8UeLgF+TiM6xyBeBagA5TP
3SA8d4bmuUv0bBCn3cAgMJqWTZW6Q0vhh+YyF6NnGwDQ4e3UBV6pOhnHbbxKnJpm4Dsyz0CVBg3l
BFTXjBVeQs1ti8xMeP6l74A10AoEUSeaNyBemWMyTWwPLQWdFx43J6YJ68ncEpNpzwE3OtdXtzY0
q0rcweCQvD22+ZKozvRdiuwKhkvZf0L1WAIqBCIarMPVuY4DtmlOhF62wOFzvI+0nNcKREUTiVNw
/Jf+zdQ2XXxPejcHqLJE18tVCDVbWkXCsBZQXSuQfn9Zhpm0Wa5B1L2ZFgR/t21oZdpGXL9Popq0
GwIbR9eKDQW6hTodH8cONy2QqJ7uypA4o5ImgiqPdJ7QTZhRK7aoZNMJt4V7mDtRMjUVusXKJjO/
4TUjJwMpZGo17AUVREFv+yivz+Y1DkhFtp7uyISmOuM4pqeOilmBwUTfAq6RD5wHd1mbtb4WjK/H
OWbdlQZh53J2etZb8Ac44K5puSfaQH8pVlJqVRoyGMWcoe+M68kDMMT5RKwAsetm6VMOGl2bWTkl
2zgp8fskmWu/sXRurxYvq7fC6SW1gTabpBnolauagz6Qx2u1mwWxH2tgehcEAFg4GeMmblViwpy1
K2Cde7RGWg0SXMIrY8oR6C0YU0tfijNrJhs2K+n699oloG5HwgCpqxAuQNv3a5rPkd1CeJftouko
9oF0RKeSaETSGnP9yTY0blRRFPoe9LAOuiMV3mXRSssL3vtSp+Wy2A+h4nEE7Vvzq3hxt3FU8bCx
B7m1JSs7z5812Pwgx3bPyiydB4ezGZzTO83NGrb1QdAdAfCaFGDU/NZWQMG3NjEoZPFBJAZvrOl2
ujWmSpODvgwVehrSbq0LVa+Lk1mMqmlQ9KBbTyGnQxo8eG3rqNFdfZC6/3g3Pf96FP+1KfbsZf3q
mP0vddMeXp5r/3ro47l9Hqzq3++2384M/CrHQUH91mqfpTgMHvXBHwOXClrqZymOQK+V8G6CxeE4
EPTVl81WSsYPHRrBUVj5QoqjR0SAWX2Q6ZLD+QeY9dUqfOVlwn9z+PL6pe8Nlv73zRZOjFFGOdwP
IwG+8OtmK+xAaDnmyk6laZfdiqCbqJg4lBwHi1Z5AQJHA+hwAmx8PkJv9VnsbT8cl3qRFZBjDqLy
Qnh/K8bGDFlbzXq+TBwDySRipiNG6bFD8qSFalwmihJCrIMZFYoBzh9M865GkdlWRPTlXkAesbRF
pePnFHIZHHntIlBJDBqZqn20YuU4nBBIp6UUJSBx7BrFY0wXNVhXeTUOVXxOWRH9EiLDmerGGVnF
mFjP6ZDoX6rSxGUa1wT89IbXUCJdTXNwvebKWFVJLdo9jXxRK1rNdUjLnJQGBJoy6bOVL75TRSlm
0MiAoIOeOIGUsuHItA58ECC0e9pQ+z4RFbmgQFDwxmurL/vgk/sCS/beaS8f25wkfTqsbDSq6Iep
gqwcMX+fE7jlO407z1RJQRY4X4lN6pN5quykGkdykY0MUXlMbbO6mziU3GehDTOofSIkQypaIcMG
TUUOejsb5Z1zQ4xvmCvGcM7KfjxLeC4XiGFk20aZYQwnFnj9cDkMObLHpBylVy0n1Snh8eKVG+bl
faNzOW67RBbgHE1Lk9+5opzodk6iot4PedHHoCl1ZbzpzNB97NfGgTzVSfFQ8AaQDSIrvZtr5j8g
4yO2wQBcdqPs2i4t2kY+DDm05aycDWijfajYnCJcOzD9JKuRklL3pyVjoOFiPq5s25dcrGlFzWAV
WvkkFBz9iEW6YFjWjg0cbKQe7LW9d1H0WEyRmdUyG3OK86G4jkB1/gSw+K03uoWTCwNg3dR62bbK
ltLcjLNrDDygqttai5c4jULfR4oHEr8jDtxjVVFUr0qsjF2PdCqJmsoR6dSAPtOCusSTCDSEeQA7
bKmX90vDY5Qu3dg8EB+Z/uAT4VoFzsKbznIGa8PY1FsSOxBbbTOFKo0T1D8VpM4fQBZvLgGt449Q
+Uu7HbRbZjWKrpkyoK6sgt9m/kVC5ncKqBLpdznKR8AKaxI7NS5NuKcRay+nmI1adV2/BFVNTnoQ
cEAAULLoXFAFMaU7IR74rjKIOJNqYIGzggMuK1LEBBze20rnD/UMFABOqjjSnDI56ha2bt0ON40m
tMhEDnKLmjyprnDJyHW+ttUZjoLPs6Kv0GMHZ0YCKPQczngMUynfl0zzN5775L0TwjZqarEwxw5O
qrjjYrb1ZWcdqJm1JTmFlBNlC6KK1E8AZpFWrO8kgsE5kHTo5AqIKXazTnNowW/nQhcJlLIijG9L
Z/WHsTzEJ7GloWoFnI8yvs5Q+kA9IACU+OKsKmLZQZHCujtPZFm/RQTutslFud6FdY4L4OpDD8iZ
87G67hfa59BmI15luQzgupKim3eccOY3uueL3bBy7td07BzVWQwwCxKq4z0Cr5laAHF5rQdQKMDK
UVEyxm1GG1zXWQt2GdrC4STAjNpVh2+XmAhQBnVTB993MudDBMaPcpgnFeB42eaZ7GPwzlcRTR8i
JNyHmnZgWcxz1E4qAhQzZ34xcVB2lGsJv7VfFBcDv7RDM38cpO9P20UHC+Y4azzYJe3SZgOn8TVs
2AVv1ry2idKUFvPGrB23GfifIIO2kHCNiuPgQR+gAMZAFJLlvBEgQxWXz7J7X40VHDQC9HxtunoC
ASUP47YhHdTkjkIIJCjj9cHGHerzPPDGnfralrXq1hKsjZciu8xrn2x4Xje/GNnBpvg3kZ21vOCZ
9dDvYFsv5oMxyIwpeEtIZgmk2i2l3IPSm8fuJK8JHjaVliDqglKdHzhiQAg0bTuCt9kRJpWPaq8h
SW3UZVY7UNRcSeo7MxR5kwmPGFYd/FpTtKD2jhiXRGk/Al5TEzCSIrVNzT4Uvqj0F2Gbl6HYdLgt
WoWFALcbUB0cIEG4/CBZzlFzDHCQzfNdzmtIaMWLHj/Ovm4uxhBMBe5JEMdsqOpplxtSfSoXYi8Y
SK1vSWTCBzuS/qGIoBamq3P8EQ9jlKvVIXS3uDJZVTz07hPVrNgtQbhTi0P4xWAyngPwBWcWSDQY
Nm1X9i7rOgv40nQOXx8co3eclRrwpXBVArJ1EO/zLp6dAtwarisThU9V5KeTz6prb6jfzRaUyPRZ
XaUEOARYeAgDOelJVyjUFQ6OPxQTPmajgD0zzhU4OQGSBgSwcYaTHI2Z+G2lI1Sl1X+Td2bLdeNa
k36VfgE6ABIkiFuSe9IsS7Is3yDkQSABcABJcHr6zm3XYLujTkfddf/nrirsbU2bwFqZX6Z6yafM
YmOH/qtV5wssXdgKfix71pVfhiUwaba4LmJ5bO2a3v/Y24YqiaKbAblSlf+xty26qQXFHT9V0asR
ZCzxwm2k/vLXxS2ZfXqlBJ3MVaKCSeNmwZLbPCa2Gk0xp5rhPWD4Io/eBD2ZM6FqQk9rEFty368O
eyxnva0LxG5EU2At6K5TCKD2shlLcBV80/QLT9U8f6XrqtxVa6UNQLNVNU4mK3xVrLOR0fmV6wbb
sYw+KxtoeEZkrQeJo4jJsXC+krLYwNjJE3ZxXz4n2xgwAHJDox/HdWraApoo0UdZzdgwsgSnPM3r
eMU3Rozhih/7NkzyE9C6IdrBGRLs2Po25W02CTuxFAeXFa7Z93E8kW9wPfDJB2kUksOa6GDeCvh6
bMTamNYsvRLVKNe3USzE3Aw4IPr9GNVpf10Z1fbXkhgtTjBa6RbvaswWy1xspCF2X86d55fK6EiB
OlKtugonZtXntg9gCZTjQvBj0nE95hWT+ERhBcv5uEjPoiWrFxWxrx5Kpr1QZlrNHQdBuuU9xung
0AxuJBeyWyfs+Sveu0frApfsHdmMzfE2bSMwTklFPwxkC6uDwhYN4aWq4uUpnXSTwu2MZ+ASOnSO
vwByoR8XGSzhoU69fCM+jZJDY3Sy4pQwK0RhSYjG6o83czFOtR/3KWSj8QhT0awnfM+Nz1cyVUOe
9NpBa8LBYyGdhv5bgDH6Ol0k/wSHgvA9TWFk7mk/DOEhws687uamamC/cCq3vI0TFRfbxqsU37Sp
venSIYh2q6eky1sYfuoqwBdmcx5EFHowRu0FxjJ3n3EmVH4fT0MKjYKSioFJmaf0duQejzlNbdTu
GMYOh2nNqwj3e+j8LgGS9+awXmKCF1WD+dtsLtolHssy4KTSSMgIfLGYQabRHjAgsD5z8YLnTYoY
px60a/nEBGyzDI+qe2wZpum9X/kY5/08Y1WtsYInu45X+n3Xr+VbEyba5HY6e1tiYevl2MnaZQNG
6rFoG84UyInBt9ngkllkvQCgekFLhW9xz0n5HNAOjpZPlCH5GPW6zpvYG4wqzpDyLvK98qcGYsWC
8Xb17SWbLaQlqOorSLk50M1RANHluWn0xqC+e9Ncu6VPyqy1qQthxrXrGegBWQPglU9VrlsKRSwg
+ClkvExMvGNQ38vc4B+zBYEJLfORQbWDML42PlfzsPJi1uW8ZmQQ8xewBhZT9FC237DlW7FzsoGZ
2MGOXvvCqQDLxQpSZyu2hA7tlruWT6nPIwhdvcnaafSLg47POzrtsXaI2BYQf8JYZs0SgZ5bV/DA
uTEN57cpznx5sTWj7m94Xy/6mcfz4mXe9JGmXd5j+GePGD11hAGh7+pxy//L9INf0hy/6Ac/UPoQ
Ovc/qwifXuu31/71f/2S3f9ZvMerf4j3/B1g2zgRuLIg1adp8peigGgL0pvQ7REVhEoACf1nRQEk
CHSGCNmWEPmkX+R7AEKMAsYNOY9T4Pf/QlHA5/K7opAg4JTgg4RpGgKp/43uGfGWjnGM79cO4mSm
dTLBrcfCMWVlMIErTIZAYKPwTGTLqoCXl42xF8AFQYI0hnkwjwOQAImhuopkmMW6oi+GgMXJWM2X
iwmweJNLMPZY7slKv5nKrQ8CT/NebfivIRj7qyTywH8jwo9uWtR1CmSRgo5Pol3ZC36ZNim7E5Kl
qihDDRIeQGh1FAvXsBt9yPJ5oGbJaZ2QfbOK6oJpy8ICG3+izpKvf8GyysCiEqv2dTt+JSlI9mxM
Ce8Oa01bnTWOQUIXpKxP3EwY5KWuCw3PZdjJgFVXGNywvhoakr0yTF9jPpV3eAxbAaikql672k+f
xmbsDNwBA9SoNO6rgrfwNuKEzSgGVOxocVl048xPTCT+XuH8iXIAT1jx2JTKggxjfIUrazyyuWzr
S2D10d0EE/1ags4JDiJYY3cMpoVXwEZcVT0PY5R89ixRn+mMizXBkRpmFjd8WOi1GkA+jC5ZcqAA
wQcKc+S01bhYdoB91ZdQxvwmNXN1Eu3YPLQhH/Kq1dORePzMMdu1Gjv2CIXCHCoRCJFraof3Nef1
W8U7F13boPTfqlBgPunoJsedD8xwS5ib8jlIlp0Ai37dGrZdRVEQHMCrhSvQjwUkUkWm8QK35nKn
q7neVYtqVNZ14/gYlTwac7/K5rZ3DXlcvcQ4Vq7TZj9XzqRfyngkV30aYZFvZ58IWK8zPoO6Fz09
WarOu6r0HCBDO7bjfihV9LY2TfkosHI+tsGy9lmfbnMJCgr7wm5zqppzbdvwXiPq4PdSQv7J+GD5
V8MtK/eBkfppms8COaCm5IEbhg9b9WZ6BEwGB3jFnD8UfUt9f1HKZPwwTLQMCqx/c5MH4SyXvIxq
cqfHLbG5l2szHZqtMc/45nUBGNqGamjZGFRfojHZ0qsOQpfPdLPBssbV2l/IQOH68wQ47d5BWFJA
PVvZ75jx6Vw0roUB5oBt5vjAlkEl2EqgWGGr7seylHdqqUo8OyRS6UWzGQW3SfYYrge+fJ0Cmx6B
kvS5TNtJFlCyoyMcLzg+Fm/wDOJJcqc1bObdFswriOBtAU4L21Hfwijx15Wo5ZumZssnNpkpS/p6
eIpaP1e7sZXTvoza7rJnDDJPypseWnkLfjoJXXoZtbIGpc0HloELp08979bTunUc8AO+kKSYcMsO
GZ6D9gVvLn3jS2ZYQf1cu2KkatPFLOYREZqN1bmqRTuBlFexecC9vLSHDs/+89aW3Y73izrGjqkU
r/iObidb43eR2XoCbj3WUOo4jjTN4BJhskN7ytTF6iPl4QKwWsfBhi+5s/NhXCQe8S6oTyZEbU2u
GSAdUw3T3b+/Yf8f1d7/b3fn+ZL557vzl+6Gn1T4H/fu+bU/bs7kHYepHGFSgcjMKDjHP7V4hl4D
ngqsnixhKYvO+v0fxjcSvRDZQ8Gh0kWUnINmf2Kx8TtC8VcRjIFfHQkQMv/m5qQxANufoywIoSW4
TvHv8BATNIoWftXiI6z0A3PV2c6pbyIjxFtIVjYjmTGPUwYKDzGS0QxEwi+dQ4gUwOkf+o3KpTCD
wM5P9PQxDkckvmzbGcyvQTx9bZu4bLHOD9XrhBgZ1F1QQMOFRngBss1ggyBTeu0eR4N3ZiaDAGff
RsePm0mHGbR/4p4a5tVe8HpucbglU50DykgNqNVavlZJWNJd1cjxSoUB57nscDflSy+wU1Idmat2
YtCTyl51zQFrnLwOIKfhjOupK/NlCLd0R1eDzXqNo9RnCAliRdhAQpxMNwUARoOUXLTaJmFR15MG
YuQBee2IrMomnyfANAcZb6Y/jCZw9zGmE6g1Q8PDfaj0gm8TkmUfw7kFz0qxTNL9GrZnbanxA9Ba
SPM0D4Ox+6ZWPvV53awzvuVypbs4AA9R0LhZ5M676mUAGAHLeJSVyJKm9keCfXRBeg1qNRBHg9HY
Jdjldtiwog35lkrMeWMgDe6st4HPhnj96PDgY9cwIuiuSm94kuFTakpEg9agg484QjVgfMs8SIG3
eXBVW2yzxufeldxFN6MC9Qu9pezyQTfkxCV+LB/x2czvBxNuX8Kkji4X5eBcTH5oXtQQ0mv4ncMG
+w9xkTwKyunRObHpbFIieegU8oq7MOz4CynFeFI+YZflAjjyAHOIf9WSfG5xY7a7PonmIjIJ7QoH
xcLl2xpxhaVydJ+bStgu04mOry1nBs4CvK9Pq5Irvxwg2VQ3Q5fQNxP7Idq33SYazBb8vFwJ4SnW
qg6ZkHQL24OrAmRK+rLEH2IHAZed8BqyrWHt6ceusoIeKPM4bjg2qG3RQWZnCrqT6SowpxSicJMb
gjBFrtY43PDSKPogpmEEGwuI7Owi1LjrlUUgc0fL5TbRSQSgBgfQH9m+X5y2v4zNH4HTv/73/7vU
4DnxDuH6P520vzVM/X3W/vXaP3cURAxwVKY4NykV4IL+PGlRMIM/wo5yTtuG8OV+PmlTQgX+JZom
FGdgiMVm+JH2jd9hp8E/lmLCI9h62L86aPlvpifgonMDUYqIxPmjxL8ftNouden7OK/tMR4qiAmC
qakI4tF9SxqrDnIl4snZ0VyEfg7utrIrcxHpewx9K4bK5JEttMYJlugyZyW0E6SRo2zuYNNleuuf
VNOsuStdf2H12sIfTcVwOQKwM1nkYetBq5jKw+ZrclMGiF+1E9K4AbQ9en7K69tgjN8gKJefOXD6
F5wVJLe1CS+3buWnyAbbUVKqd4Nww66yMySpGSwwvpfdvoN+vCs56PIOJuQuIu0EwLjCp7c0Kfms
SniwcxV/VtOwfWMo5dpDgU4e6dKGO6EI3Bu7keVq1Am5XIVSJxIv0Z6303A1ST8WYwyO1AvicmfM
soOrph7Yura7CAhxmfUmASsLCXzXNh09InghnkjN2Mded20RxpOH/dWPGWkEx+PYlkplVdwMt4oK
f1vBY7s1XdM+NJiTv0BxuR3TlOHLI/Zouh4b4zQQgDI9tOPJDCrjPfxAV8fsylcs3ivd4X9nHB12
7sNTWff1R5UglgApRBZiXOJ9LZb+aiaYg+cUMchEmsYgxegnnByAulJWxxc9DtEPOsVBGEbr8NSD
53ktGw/D05nokMi5/LJA64xxvyXlRQhtv3BbuV6WbdLNiFO223WUSiOzOIhhxaXIRO+ghbodqWfe
FAN4y0NrOmh5XLILQMblej2X03hpXJx87Llyn5MFUbW+26tgkzSfu23c0Wksd1535oT9sD5NDVX3
ZPLqYUSgyxQpCmNUFpXbeJu6rdtjYk+Pfna6iKs23i2AYp6qCpq+aXuPd+AWP4tgro7jOrfFhD6G
I+Wtv6WOhwc3LuMlt7b/GoJ1vdhi5b/iFh2ajANY3iMHFx+xMcEUwFpyaKUJ35PWIuDHjQMYC1hc
BZDcciij4r8I24z+owT0S0fL30crBh2clOz82h+HK3uHvgPUD54loDMgyf8SgMJ3HPFslGKwOAVE
iRTXT2Ms/nqM1gxEuM4FXimoyj8O1+RdhD/D4Yo/xseBYfBvTtcEB/jPUyxOfMhMOMNZEqZRHJ6D
5D+nu8agmxfk+XIXE9gtsAL9dbO1AdSRSHmz6+I5PUk1X6FLQbEcKyE4skG5dccoCGhc7uQGaqq5
ipGZ3E/IW0OvlAL6LE6V8vuERWo4HTbCm3jCmzITvQClnMbwy9/PBEjg+0jC8n8izRmT13oO82mS
7BoB7KXMlohDSaibbRjx8NcNRAMxvIxInGLIUP1yE9BkhpyUsgbmEzDR3bk0Ys2sg+eRr/OE2Itd
AigKQ92WHxj24iifMcetRUOi5JYhxLlPRtJ+nVQU8Lz0cBzwzBGNqa9K7Jvo3aXv9BpdQYkY1kdk
00Rz+7Oei7TMnOZ17+rkpsTcFN1sU7r4HEZzYA7dFEf9R9sJXR8g7Sfzzf/80eWPZ4ThTf3Pa+JP
PXL/x9N1fuVfSyKGjwT7HnKQYJ0J3t8/gC2se3jYQHfSJP4tO8nfxech5/xIYnHD+IKH9e/RhQHM
RT4O0ioeB4xC/0JeZfS3JRGzS4ymEkSZMGCh+yD+bUkc1042qLrIbR/WF3Ebbtd9DOQqq2burkib
tE921fWlm79gSUMQkgOfd0itQSVRBAx1aK6FRQI9k1GPt7VLq24frsN0bIdtfMG0MmFqGOInL6Zo
OhNXFW7oCfIIno7zPqNFTYEmGMgXcxCuh/77xoOOuhkwbFUC0un62V8u1bIh0R0OD16FLc8YbKST
nNOyLlI/0Z1q/XqEIVK/tFG8IdCYUFFEaZAUPaIFG0wq0xU9VrLbCNPUpatduqv7Fe6V7DCqRfNc
6BLGIrx48iBpG1/GaAlGa8CmrhI6dqRQiI3snUMqiqNCZl+mEJARyKYnmc7EFz0KGZ47VfKCeTZe
suAM6eChKvNurug3wTa5ryq5jFdR1fOtsLBsPgKrqhCrouKhTGJEstzaqgEnQSV28ZDKC6TnNToN
as4+BqxE50DtjLibpqWab6agNkiW0iX4hEkMCEYfJabPWySvbhoczQdguxFWb0aXQ1nyHd/i5iYO
CMUHsGfzSladuPdBMF5aoKgXTRun+D5BRr7Ylr5b8mRGVDAMRIL0WLhMLcamqF8L7e3ymZKtegI9
LABq8YHLQiMOO+yHzW+oKKD+BLWEXFJx9t2rtcuhGdKMtmzYdQwNEWuA/hhMeO5D6bAJTnGrc2u7
ENCxWUFcreGNHHFgVhJvi3pZjg1pvkJQANDjkdEc2i45VJ6H+WKb9JIN0t4kMbMGXRM8OAG63m4h
aDxxp6/izdWZb1hy6WwMU2us6Y5UUuNL3YBxANU/SINWj4mKu3YtCd6caXjTdL48tuBrbxtsD6+Q
Bj6EJWCwcmD3zhEDSA0BmjjeSmgIzSfkiEwWlOZMOY9H2ZLu1ap5A7bldR4DWftcpmBliQZpsI6o
3Xjwekgeqk5eoNkmOZ1F0QJfp9klToCAsxLU7Tgx+t4FInr0foveo6tmOogwTt43VbXeRZ0SV1tt
oW0YYssrxNZwe0yIi2U+mdIj0ML4eqGmOfBVf5NeRmMR8uqxF0N4t2wEVyXTUb4NkuXLvMEo5fDg
UouBqx5W4D+JbwAxTvF1KBwtkP5xuzipr0MVW5gabQephZGdt2V4F85mPUakQb1PVqq6u6xgptgM
SHcEAtBOBbjr6ltQi2avIDo8sHENP4In4l/AEYtHVCytgCVWdhuy9ZOqx5Nn3Q4kPWkzzoblBlkr
xC/E5NKXoE/ngxrwtpjqbULIk+1UORwrOnxCbBT5yeUzb4cdF4EqyKjop6Hv1j2etQJX+9MYQF+Y
5dcIhUoIUG27WGI/y1Kv0z0Bi1esPrrrwzTOVt5+9LwCrz+M9c7OEhRr0g/51G8IgdPmja6j2iFV
2ealDqYTIoIX2GouJzi8Vwgdp4VnYSaxSwEibS8W1AijKSK6g/92waryWweEPh9n9DXYIVF5PQ/m
Djxkgz1kvBkMwsQl9J9jX6WXUzA1u4nbh3WUpw6kIxnsB7vCDBH1JZRidzUINGgQ2kNXb/uXuAT4
pVQaZW1H97FZd0Rve0QR7pHIjjLXr3u6rflMmiYvy/TN2JS/b6QKCu7iC0nt64z+mWhg0IW2EYte
kAwwnhaa1ZXYw0J85M0TX8YHDDpxLkK4x0OXPvix/uTtvI+Z2y6SZrvDFrFf4uoCgEHhjXpCngBc
sMSjDqYgRkR0Egh7xdXBIof+HNZxhtWBfw24xL8qygjzD7hB07EbOmvIRWrin4IEy8Uyl5+mtF/i
bGiXts5supjLks/qgkXruDMLDQ5IqEtUqTh2rQw8l1yndo/Lke2Rsq5eUaY15g4EVw58xO7kLNi+
iyVS9hJQjQ7K9IbPABHCxiERpOi2W+IQwlkXw5TxygCLsx4uoIyv3NTy3ZICjor19lDLeg+OiuT1
2o830tK1iFi/c5s4hnUAshM4bKGsLHc9NvcDHSJMo/V00fSrxdY/rwd4Imkh+zF8HwUN8JoxDrsM
+JfIEZvTxeZm8rpW6/xe+TQespkTGQD9nbaoGMaJgOMSFcceK0Xeflf4FObel0DCHlNDEnyC829O
EK2bW818EVSQtTwUwgtIeNVhDWh/+J8//vHz7kIgzP/z8PdrRenf899fL/0x/aXvUJgRU9iwCUR4
mOkYr35Mf8k77Fz8XJwB9Qq0PsXW9Wc27lyqgbVBRBj9ElyUf1sEAjMjAcgvaMwSOAjpv6rOiKLf
qjPQih0RRlHJg8I8OBjfLYSfeupCQB/N5te9Q4fD3UaU+ERTiGbZsKSNRC2USNqTRqtMbmLmg5sK
Ou89WCCrs9E1gclUjSA4q6jLdUxTlS+xr/vc1UBNgXb2oMmx1NFbTDTdLQvIcEZa/HGziI6AgHa4
sWtRT9i8Go6TFBVZ40NAt+ATMTV/MstSPsQNLOx7xyzUjtCvzc0mMDPkVe/HA2NrGReYjsqnUaPd
AD05RhwjGkBfmxHggxCTbqdysMORd8g5M76S6oDwTVTuMW8hlCQ0TXAV9DP/qBHkRa9XQPql0LGE
qFa1Ed31eCSuwpraD0vn2jkH1VsPgGKC6GaO1xDctpxwmZJhjYLTxtR2s7TG7roGgreRtjxJ0tGi
4q27RAsI/TB3agY6wHmUjbNJ+ZFzf46RzfwhsAuvIe6ZqrsEodM8bGEAWbALiX2ZWmEeU5jqe0Nk
/56I2gOv9aqoyEymw0TMuocv7Z8tgaADVafG/etiJApI0F+DpCtv62ir7lbkK8ZsBXAz7BBIsqDZ
8DCcIlKjuQMK7DPeqvObnHz7XMmpKSDUQ6ZaovWDCwPElgd4HdO+q1d93IxrXhEK3NQu4l1CENGy
7kaA/HmBMYQpf0uSm1jx9FxeyJc94Hl9LR1Y057T+Ytsou0kpDYf7NjE0Amp5LemAbXQ6HCSh5qj
zaUAltynBWxvdlExxb+hUjB5i7dATAW2dZSDlEjPCeC5o/4Cp9VPgKDDoDj7VUiBdylKBLwWMGDm
0YoctRZFEnRgQjtAfCekIDp8BysfPk5yau90Wg79vgHPlg2RBS9ry4UcRjD1zTFuuv4jpjuUrnGr
L4EMrkDbE7eEiHPFyVMruAbh0cISBC8O8COcVlsd6XnoabTGhWtDHXyiioBHPIMjA25m6LNnnATV
SfxYbQ3SCmfYBCf28iDPAIpJxfJQBdgfQtGAT5m/sypqWpcL+51gsbDw75QVJdBrvKmtd0BdaiJ1
3pwBGItA9QUwUFAx1nQAaylk3yivzuAMRFfgr8GiwdNQGO8E3yNXfYjOz5hqcB4UyHzz6yWh7sMS
TCw3VLx1rSlfmcAQnkUMvzElH6sKNZdRurV+v9Bwynxdz4e10gPmUhnEH8E627ZY0fj0YYg79jwP
KXvflchpAHxBYLMc1+YW5Sgwu8RS8W8VzMFzShOZCTiHCNmK3ow3Uw10+rAuKz4YmZrtOojn8pVo
Ru4M3E2dAWxGf5nW7mTLhF05SEBdFngZNAB+ZHLfRqjPKZAfENUO8GOQg2x2d1Uqxpt41NiD0O6w
5Zi0gpOG9gIqcBNLkW6rKcZVmG88cpCWQV3OB5ky0OdDz8M6X+NlWPdnCvHkQPb3O7zDzA1hOnwk
JdpxMm3Sri6s2ADmz8AI3lOfzMcgSVuosOFc5RI/tzs1IZ3StWwp83FFm8uGujcw5Ch/0+gh0ssq
97JP4CkAplWvqOFrUdrRSI1uj3RhOXCgbiygQbD9hpbSZ0eCJQVPLSLo2ikSSjnOsuZprHFAZISP
wGYmVtfDI62ioEg7Z17aypaFTNZh77tGQnDa5qdUBSgsLaX3t86gjPVK1D0LdqgfpNcE1pzODZIZ
fD8QgsBOPaJw79g34friKslADKKn4yqibYWCvc3hJxmiviO6BCWlJ+AOaxWBylLxN3QytXejrewJ
n+qE5CwnyFXMoLh2KFnzZ2qod4cR3KooFpxkLY55zrrnQKkS2YwI7RLNake3S1FW5o8zWlYBUaXN
gg0gLisUJqRhOeSmHqc3uKWqvOIIA9BDWaeThYSOurP/gpnnT1kYY8h/mnp+/3VAPyGFEV76Y+oR
UIAxWEAbJkgkQsD6y67jCCmighczD7o/8YttItiDf049CDBCaIakDKkZInT8t6KMvrAYgnV8dvkA
NHA4ef9C8wrPROPPkvLZrKNgIyLMVzH6BX6fevoAaUGonodWb2i6jPB5Yu86zwCotmgvZbKU6PtT
TYcOI76E2KXkJjPu6GuJPi64/hUhb2OKGsPDug2XjttzsM1pd6NxBQ9H7NriZqtG7HVimezzMqDS
94TM0/nxnvunrdUS8HRcV89KBZV+EEOktxz1OhB9/TSEh4S2wcHinbll2qG8agQodhyjoTIFinaW
3YbrH3yDDYa2YCroD2JYMX0xbFjXnFedzdcO0q5V+IKylmCFpmUFktCjbcVWy3wRohVN4vCf/B1n
Z7yYVUhgZwrQ+s2AOege84QtShzYr6rTyVupB/fNNJsd9w7n3/1gCTLuAUUPDogLoAiWBsn9gKuX
7hsWN0eHmk6TWSz6O8jb7GvkFrQhqsrhwyJdZ548SzH3kcYtV7go0Uuou22PPjn2JU5t8iyQb3FZ
HA70qjUEX2zMK6DWlgCRJiNO4alaP4HfJsvlhIDfWnBi5D38LwiGfsPcA1Bqek5QqvZiwQvkVKOm
FZd+92Z1f17Kw+Y0t1bfbqRPb1Ml67sQebTjhg6hzHkAl66cECkJpondqnBK0Ogz1veYeeKjA4B5
iwwXfup+48MrpFw9ZkldmSfTpOY5UcPyJCaRHjY2xF8jM0Kta1S8ZzEOxgzNl+obQAaF8OWiwicb
205mrbARO3R4ZJ6QZU+fNOohPoJK11eDipBkgzvjMcDMEldN4+pyhxLY6RKxMXPsALP4C8EdQTgo
RX9U2M/ldeykPnYq6W5r31PU1krdRFmI4Orz2Jg0L9M1ukc8Rnw2mADZvuma8NNUTuZr6KvgM1pY
+Fua6PWIVBraVTZmUcI50efOpPR2jkuGaqV2vZmHpX2Z4wVNT/MGTmeK1PW4aN3m5OxG4p6NUoiZ
KxieoWrnZ45vGcvcSOk9KH8oZkkzsk/DiOVYJar3KBVtmg8QqpMP1ONQLzuCGjGdmG9+RXNlimvn
bk4SVaRAQx85HdP3UzdET0yNvS6CEvCNCJNLDIXda4QCsdsqwKqHcg9EJjKGKkrIcGHUPiOAIYEC
3bNuHW/QFI0ysqRuL6atZ7elWNIjnMrt5M6Tqmecn+akM9fDeY4VHYF8lGjLbzRCWAjvR5h4h8nd
IJeIMZgMnqhdg2rB1/Y8J6ODxmBk/j4+T+dJGv4u25fn6VqiIOgZSer5rdeDeA7PUzjIeMzj30fz
5fuY7oIEI7s9T+/U6vI2PE/0tVZsP34f88154k/Os78+azvl94WgPe8Gc2Ls9erT7g6/nsDtUfZt
HtF7U780dsJigTu/eZi/rxvy++rRBhoVEqkLMpCYCT+q85aCERkLi1Uj/VCetxiUlEAOFEKd2vOO
M5+3HeQBV+ShqjA4Jd/XIfDRWI3C85ZEpcDCNH9fnuh5j6pQkbZBm8GK9d8gNfA44ljL//nSvf39
d++c71ygJj9e96eHG3//DXJwmYAVQhqAzfNDZzjXAiTibPOglRhD2tlK+uPGFfidZufGgASMIFoz
0QLwl8vEoU4Q0InY+FCOCI7/X6GI0bkG9NcbF58TPhIq9nG3hyz9zWVq0TcbozMvZ06Y6w1v4CZX
ISZ7LGo2uUfpnESXB4I5uXGa7xMyVm/CAasOaKT3kMD0PkYUJm8DIvdDNfd5M3CyN5LKK+6X/03e
mS3HjWRb9lf6B5CG2YHXCMTAIIMzJVIvMIkUMc+AY/j6Xg4NOVSqrqXdfuqseiiVMcmkyAjH8bP3
XjtvgYCg8rAZJO07meSOucxWGfcdzqPj4nndo8MD7t2XvOjA2/Hhss0/2plVHL2oZNxMfDs9GT3X
v0xGzi0nbg6N0amXQ+2F5R77sdilc14dLG0QpNj5aRLIalkQ935lX5WZsG/A77IkJShqPrV90+xc
zRu+ZN14l3VtFKID2S7435nDnMRs8aCPmmwCGdudATLEbd6jRq8u9Zq3UiayVCgKWLjs0hSb3S4N
fS4ltgv/P0gWzwVGGlftxkd3rrd1U5Bjqn2zeoE8bR8drPXoSlOkX5V5bN+heYcfpOsvwAa8AcuR
KPzokIIRSk6dLCcuh+lymlKIOvdLmmrWpQ9abyRn3GbAzCaipNZFZcY1ekFTh8N2KucMnF0hE+OS
hF92CT8su8QDkr027ozneGqH6nPE+9w6FjLqqo+WtC3z3NZuDUnYh/IQID8RiaonvH87HN51iuOa
Lc0Op7Lpg6pJdR36dmKNy5uB5jSctUzWINRkwWPMxTp/l4sku9S0vAQHHYNfOdm1kUYfncoy8+Nc
sFp156F3A2dGVHO0dEJRVFmvpuryl0qME/4brwpcgoJf53qUF+lYGpfWUIVbVLE7y+PGB464Pi2L
lz1ja3IvDJK6PTnxwXwZHGTNfRONPIu0uEx2eSzNHQ/ZqN+UMpx2vBujN9AESZDamXEaB6faQVOB
OGOPEdDjLl64GMd1dVhmmezmfKgvJtynN5PlVF+l05PuQg0wz9nA+tj3qvHW6CBRZzXfiBxaQQhh
io9j1svdHPXWjisPQWwydRd14YMCLSfhvZSWvBsT7WwIv01JIwsMrAvr8sbwYKHNDmJff3THqd6B
yqhu5niE0OfWx3TMtZs8L4No1D5HZnLdoyMddEMYH4p0vqsYPctt4ZpPsWWLjVnrLVepcnrMJPRy
i35Vd0yiYNHQZMI5izG/JnLaz+7y4uked8Gye7Ojyfyi9f1x/a600k4AzuPvGVNMWKM/uRsrqz+o
fyDux7tUM166BMJFYuUDlqGq3YdNLC7C1k4PIkTBHK3yCkWlvW9ER3gex6AKOgLWbJo7ia2i3Rg5
kT6O0DNzFsn1PAN6m13nZIf3VSLfSot1QFjZ1kXtRddDwiC6caBi270D7BuwpEqQGxaiS57vwySR
lx6a5pXRkNWxWOZ9dtrCeCnbpr/jndG9uYU5bae4OQ65jvTh9uZXt1mW3YhT9R5NeTpEaRzeEP+2
j6T4HgynC491YXkB5/jHLlvSO8OdLMIl+gczlGdHn45CfYEIlYBlBApphRS3sefI+tCW5Akd9h3q
//Q0bEzgjE7l0I5bafX6DsSoe7TipsFhmw6UDhBtdgf7Rev9MJhMG0u1CN9aFnwM6Pk1S5FhY2th
fsnFZX5iE4wV2/ShyZcjdxVXv2MWJ9Ui9WifGuJtVqOPlSTWY9EM2n3R+Xlg4og+4I5/KTtCuQeC
Nfz6HCvCJgD6U+YsuKbM/4TmaQVkdfB3FZnYqJ99Ku3bdKlJ2YaOyR1jboi2qFgRzmw0qkk2u7aY
A5Znn7gJoWc1oH6XeLI3ECvdbUJGOKiM2TuEtnY3G/kIg22cQBGO8SOslmFjkvo5lfA7QGTEtrEr
2EDv08pBEfI7GTCuupucOGX5L5hRvq8GlH/211PK/dqr9eu84c/lgPK2EHDAlssFQP2RFcAPSYQs
hbK2YFCjVIsR5+eogmFXdepgtHVVdw8Mo5+jCvY1A/eKzoeVicVy/lEBCD6Ev44qrIMEOx/HVh5h
hqM/+80mi4Ae2dat7Ev9gUdD/1SUiXe20jR5ygXD9kaakBkuvoGMShaX1VUkNf1jBHSPtWoyg8r6
e6RRlixAUSaBdvtHrtGAMbbfkDyoXzUZme7elB4obuw20yfKGKaH3nbsEHVU9dIQeKdboSmnnVx7
a3QvrhwWYFlNn41T022DVWY8T0zkyQmz5QLyyIqWbsNr32YHbcFAGiQwje0M+ZuYduZAlqiRYmZk
/TR5DlPX+qwNLaScpdBp5xGzIPsQm2bRbJ0YLWlrR7WLixZ3LINTGcJDAZyQs9vQ0CoxM+nRhZPm
KKz6VGmbsovwDGEznHnTykJeEWeHFM2WRbCYrPzws5kZdrH3zZFHNuDulnqI0NLuB3cYwCuSgd8Y
dmiY137UdDyZ3KyEnS7c/jYZQ6QehVPhAHbi8NzjGikP45CTEJmMPrsa19wIeRzupvD1yJPE2YKv
AFI51qHYYvWwlY4Zo+BQVnCsc8MlLdBP1dVs6ctrXWKG3RECa1wQqPXiPs/JqJAXsumvrVgOT21q
dvquAmkXbYh9Zc59lZvFocQxs+zYepBZzWRRf00yQmPkSEZlC9CwkBx0CEdnthqmA9KcpXcT5pIc
ql6/x30oGU5t68UZloQrHbRs0l1k6TVUFX/6WOJ7HzikFFzrX3GH4hXIifDr0+kmGsr/PJs4Yb59
4o9LlOKRktpyOESw9ai8889LFPEDziyAuTZAIv/3lIGgoZuTR1UjqCgQjLWfJ5MLWw2oGp9F0IAo
lv6P2GoEqP98MuGo1Q3HNXQHkCkfdf/ihOUBJmOzzbZ6bDSAb0A5bAD/x0HFReNJpL79eXLCV0I2
aP95lZjofF5rnzsPZW0zRZphbhnuO33TG847A0r9dVl8zds4yRRaDGgZYUqI3/BKU/NiVuvxbckL
c77S0CH9y9p1WnevWzLsqM/R7RfWpNkYcFaGWNtyVlHHjqtKsm3nNAy3GRdPemxsqG7dYrY+MExm
QChiI64OM/QwZVQsJVuaQQSFSvwgu1fTyOb3ouyHh673hupQaJn+4Me96+9YlUWXhcfcuMn6rtD2
eB6a+uQt4H3YajlJchw521CxErrHgpQTqr1KUnNhHWtTe+bU1vwQpzEgkLFqY+BtwsXAJ5oiCeKw
GPINpmECPNU0A4nyu2Bo5hl5xjGb9C6aGtnj+uV2sSRWdGdFo/Opgm7FVdAellvUXgtJfDYgZdtZ
lL5h4+2fXTDpL14Pa6vTSawH7GRxa4WFoD0hITxgHhZX+JvYFyhwLsT5U1e5zCwTZwRIp7zMnkCo
dOaOxLXxaaAGLtuns+YfHPZ791G7TA9mWHYfQr+L+2NigqYinJTW7RYu30IWIZE23URJqSbyQceP
hhLesFWFvsrXn8IwZ5M8INVG0MgPaPfiIe944oCxGczlMkJom3ffMBaLPpeXOGnMkNvLf2NZLEkb
kqPIcbQdfkW0cCLpXhemNB6/US0adnlAj6bS+DuqBXEVyhycwb9J6/+JbAE3CWtY79oxBVPKOV0o
DzVXLzEHVexhrea1g816yppowAGHcXOixKGBfqNM2UJABNk59cALcqGV4SEejOmaSxdmbqwF3Qso
uPKUr2ZvZgeB8Xs1gQN7cc44PiGorCZxczWMy9U8LlYjOb88TOUjDxbetMXMBMotDuM591ZM6EvP
zQbVXpnTbeVTT5VjvXEr/TqyOjje2KZmiofwtpurzd3H8F45ON/RAzHBI6/x1nKUN77+ZpNPLKfl
zqjKO8zIFV8b342PBpvm02w61rD7Nzw1CIAJTutfPzUux79FaODx+faZ3x4bHPM6oydRCOZGz2Fu
/P2xIQjy8o/7wNNUFoK11/fdG5KW4XqMrYaybOL2/n2g9fD4MBUjkQHR5JfBE+WfqF0C3ezPuzeb
7wvPEDFlrryGyi//MUAx1YRFp7gMkqHqP3lcTlWOaHxMaUR7QoBNT47Tt89l3DvDhYtczwomlVG5
YeFWPwm9zR+qxXTfQwiP3tZMGlAAVVQbdxMBS0iebNp3lmVNr3E+k3clJebLvROy0Ap0A3/2OYQo
SIIy8ebLmkrO+C5cKv3WNCKvvaRaEi+RgNyzXI6JWbSnaSGh7Nd5dib+kCZk2uf+RR1Sr/Oi6cVl
L1N4Pn7d+Ph4HccKD6OZ5NrWMsOOKyzPg0s9cYxoF+fl9D7ZU3VvzRawIspXqo94cUrrSCFQ/pQD
np6wxHb9iwg96ue0gr4YIFDhHd5eKIWjPkfG3rAtzjNwWH2y7Q19+kyKButRlsATHrylJeLshtal
dNxGp7NOY0dQABhwLgorM7vrpZRAn70aVNQw1faAjlXKfVZKyfFI/nfZjnaNDzHhlfQMFMmpt7ob
1vexYOUiKGv40pcL02jEUogUlGzlazlrZhSYIZ6NC4y21nKqlqya7i1HG5IHkEx+eVXYOZHvPp6L
YIo9/wP36uI67Qb3ucxmHJRYwa76jKKwvOXX4vUQ+7D/gnrQ9Ma5GiqTB4SMl3GfRnl9v8Rpz7Oq
T/ck/KAa1gubK3Cow0MWjXybQ6ez5Um96c6UXbo3cOK+eIAWL7qklVddM6Z7kH8ZSqCe7n3uOMYu
lFlynSx5+mx7dcvWU2++dGio17Clafab+HHuvTEeL+JRRqomzEkvlqG1pr3E2TEF33hVsrJkve/7
ItnPTVY8tfY8QG1emvh2rPFo7mDn4UcDBzh67I2LBmvFfwFXlbmevM/cn44eGDoaHxi0Hs1KajPb
r78SrPRGhHABo14UxBat5FFSAaIBbOAuBolOxOnZrVXLW4ajBeQj4lWdsKYOjHLS7jvTm/b47RLq
NIr6rS/04kjmb7hoQ05+ZOMFv7Gn73gY2HvhA2yzKpEEns0CHKK9/ABparopqVw9iAIP5ziGBIm4
fL4I2Yf7FJ/VxYSnk0aehoJCi3D6OXZ8XnQjEI+xMSosv7H1xBXP/zrT17Q3aUCENzZk181shpAa
y+41cVL99A2Y5XpLEJaaszcQH8/WaD83Xj+4QZgDgJIoz3PgWK77PLZREX2spRv6p25hDxBoU2Z/
rUWbUebK1tZbF7ipVtGH4UxFOZwXFpzLm+O5WfjIs9ab91mdgAycgWdWO6F17In9sPe8Xeg5/Nla
98fNuks2171yxPrvOYrLRdxooVo6j2r/7HLBAhDUJvnroPbTNejPS6qxIuMyt6Y028li9IkAVLTj
bTHSsuTuv228vXX9Pa+rcMLyTn+fqQ15q3blybo2r9YVOt6egQ1p6KeERivzohz06nVJS+3ZwYZ0
tot4fHKKGNYLHByaFmmzxbLCXFVc1yY5/Z3DW7cIzMS2r+Me3WIzZLDFofxROlRPI+lPECJ6jElc
zEmQj1l2xsjvYOeO4fx1+M/D4N/wKMdqghX2vzzKt6R1uv+zLqn+7h74/fN/2FdssB5IZqQaTYcn
+I/nuaDrHQgVPioF1sA+gmD2/XlOz7vPuEjfHW9BC0zh74ktiN2ez34K14lJPpzH/j95nrPb+uvz
HMS2Yyh2iM6IqKvk5R+f5/oIitcOs2AqRZkGaUOqeaicqcWo/7+BV4MSXrg9kU2aNv97eDW87u3g
ukn7/wxgzSWcJW/eYzqgTefvMdaYi9vxIkpEEh48YxxvfWqoo8DpuqYO0sQVBLkRPuJbu6DIYhOi
V/o39ZK29aEtPHfe9OjqFEGlU/yBcFrXUKugURPHpD2MO98qfefkjzr7HYJbSwGxAjKMCsJQbTl5
2sKsrf59ICu7eOs2dU/cxMl6e7vQEk3/roj1L5Y5eBcSiGu0sYUxhUGfI8nv2I+Fb4TRkC4xhmtX
kEiBEMqmTdNDw5e4N5ylu+NyN2Os1DIgFzxRTbCRXUnOKGJemys7fBsbm8eeDmAjCWoSoxWThYq2
Cnq3aCHLagC0qTu6zoFjmC+FFNZ96Mu6egFUDEqbkgN261GtRVSt+aMS8fEmNfsxJhOOij9R4Mp6
lOQUg6v95HoF2OCe2yU1COAvz4JST6RICmgxUENlIxEVgxQJZGG6j421NO3ebHLYU7ldgmvB+Bm2
ByvO07Mpwj49li51JZtk7R1v1g5yLK3+rahNmsnRdAt/u9Ai56t+bvI/IColESrVa27SdoLMV4Ec
3LRE/a2Dvnah89BriMuvRek4lNOBfFiVsvXIC7RIMkvwscrKbQHzpql5iZ6RQrpZKfFREo7uZqjb
5vn//0P2hwrAVurXN6ZHLkxf/gt1kE/+dsZS6E1jKAFX4dqgBen9/nHI4kogMEtkgr0a1EGi6T8P
Wf83l4gOD2KKDByHy8zvFkGFVVJuBSyELt5C5R78B5cmrIV/PmRpoMNDodQI5RYCSv2XQ7bjLK8R
4RjRpEkO0aR7ZaW9YwN2Hhgiu6CfHMBA33Dvoy3796nuGgDnvXGgeaa4b+kOO+VstndJ5dIHUnrA
10pNfc1icV9MwA9RemMRozjNlkvUiwDGONGJlrv16+B43l1K9Rzg2+e5zQljxgfbqC+FoDUuCwQs
1Sst5b1X1robGBw19wh2MsAEQJqAyN6j2Rb2oYjgcyxUkVzGvEnvk9yDA5/SBb0tolb/0lNMkojW
PABHs9nfG8M5K01qeYe4JNMhVSHjxohs+YDdIDsPzRA+VIVWXC+KNi+61uYbLDEzJV9yCtFBvNXo
+Akmra1JKhcrVJM+D1QVKWSZUYktIeT2q+dXDLb+QAVxNzYPjt+zrOFhewStP9PE4/Ww04iIHB0r
yx/zYSn3uDkDu/CCOIXckfSN0RI4oa2FmjHmJ0tv2jN5qo4+n7m+NEgIX/m1Ed9KL5o+LjXyIu46
/US1Gqy2UjQR2bK+vtPUnpLrV/JQz364Y1CdPoH0cQKDaf+z2bgCKJWbQOs23MUJBuol0sDsTNSL
IvWqt8nNmcah1H4iSZB8RODvZjY6dMfubLeq1bIznZ5yi67vjTnAnN8OmoA1RBCEu9TYa3hE3KG+
Grs83dVpNx1zB15jgw320Bupce9ouThwzuVPLSkjLyghruNepojQgfI+niMnMd4tgqnBENK1GHd9
/YpdHpY04rZJGyLWQF+/bQ1Q8dAmuQsFbm5wg8voj+G100R5sbcBZLJUDSF4ANjg70ZhfEyg2UyE
8yjpi70Y9ElqB+x4FlG23sBr3rTFcCDv1EY7L7bkooqySZxEVpQBp7JdjactXsjraNZ51ZM0G94l
qL0vpVO86+M48zT2CRk8gBdO7qTQRXZZdmX5CofB+DiZ5KZ341Db/kmo/mdfT2gjWFqaoVvTpzJD
h+2wBfmpffZsh3kAZmIUBrQlzbsKnRCztzDSYteDAhcHSx95SDQl19Q9rfbdm3Rn426w5uK1o0Xk
UiRacTvQ2fOJXr4FbA0OxdfI7oszGN8HGmuHG5kI8VGAO8yJ9E74ioifzzekSL0iyOwYeZxZ4T3H
K1rvhc0tIxF0DwZ13VXJjYAx9tZAjKlPDaTtuzSuDWARxhKLSzLWXAm3ImsjbtAZIRXKH6aYX4pc
hHdj534N2F6kpH1GvU6n2y6N25PMqaUNQohqnwZ8+4+GL8d+n/mzQ0g7pzCVFflCWIcriUCzm6Za
O8GYtqEAttbMdtbPccVDBapuIm8ejsw/YL47jJjbqtQa671oqbh8JFK8wBnFFBMFFXzzKN94dp2X
x5xOil1nR1TVykKjwk+FZIc9AS8gPOw7kxCLapvSKVmXeK3wUIOTtBoffSIJ20cE96UMat1pP/ZN
kt1PRpnTwVb0NGa5mhW/0rbVddvWGGlYFlnphwdRS9xOrFiyg9dZcr90sGmklb9WqJCXSWPqz1bs
3dGhq+qXaJbFSfTc5/LKWrRzZNMHGNlcoxgrziaxpc1s4GzdlV3qB4vU/YNPZDyEtdRo17YgLCAt
GjRG2M2B9BuH922ejxPvESt88Fu5BL6WLQdnLvN7ITsqBpFs2o0JLYGApepAMbFmnyJrQAIkbF9e
YO9sy0NO0mkXEYE7pKkxBVO9tGccaQTwK1UlUXU/u1EgscO537REqK+yqrS3XkczNC8QeuFpc9BY
aefFxaJ8INuCt31+XptSotaCueeynHrPeW977CEy56XzxndQPC7moNH2+U309K5SHn1Me7u/WstT
pnF2bnWvmj9MKJCX0ECGq/9sUeG3XPA8CEfanXmE57BszenIsqgB1TnWsMBDej63cmyoNp77PI+C
QU/EPUnAdFtHFUEgj/AK+kQfEwpMOmMMBI+YDxY13F+afmgOrhgQUv8105b1X/fTa1XUf15nf0Q5
+Nxvw5b4zSJJCiTNMLgn/xHxbP0Gm4QIKoW72EkthM+fwxYTGsZU0p7sjhXP5w/uUA/jKJtr9V+V
4XCoVPwHw5at8439eUNNtkNn1GOBzv/go+Pjf0ihyhmPt2ZHOyaqeJf1k36GwA+f3SH6fhd5g+px
qpw3m+z/hcWK9UityHCI2nC6Lnv4CKlVJZdR58vbgqx6tcNv12CK4moGJlHeygGSvssu6uQo3s4m
1+zZm8++dLP0fYb7eKs1TYJ5vmnLwQNhvqaVlp4G5FOtQkztmmfqVLSp7FXKyTOwnG84PXJB0ECQ
hPIS1ziHaz6qzbgOXuWmM5Br4y+9cVSYqiiGcM9yIdy5XEcDFtjZywSghABnVw+3yZzPr3jPMZDa
tCDdcA8vnow1u0W4gBxXu2a69DXexVDJhUxlvvQ1/0WvNJDINRU20tj32QQKLINkjY3ZxNgqLetv
e5mLNtAGkmZEK5NbqdJnmAWpIMa9OB0jx7bvizWoRnkjoTWPgmgaRVSWzUvZOqmwfnyxrIm3vhWk
35BrScKNKhSnQbJmTa6icvyS3SsFMCo2ItLCC7lG69hzeHc2ljUKvEzpHLQ1ioexsKfFdZzdu2Xu
MK+1a3DPsVIHnFFaVaTBIu8rdRPVl7RL4s+wOudzM9rQVRApDOcwRS5bdtaAeAqlzq23dasRvN6a
KKSQqXtv1rDhpHKH4IktcLtkEUPyFpxGVu8+u5VBWFGq3GKbMX/thzXTiIKalltnzToyS8WfqSQi
z+kl7QdNBSOjeGINT5c0dld6v8DtDoB3rRXBm37D8QJAtVGiBT/XWZuvXNIW/RVT5ozarjqF9vZo
1ojp3DLvbFIxjPm2W7jbYdKL6khljUktRwsreeuqTo2dJjqv3KaUcHwaIVJNOzHW1cBEysPsKp0R
lEEIZuec5yf0Ut/P4u1gUOuxGZuwMh47A/rTxgzTYVdK0e9tEoqfsaKYZ51r8a4YOnfchLod7tux
ca/0qeP3iGUJgKFMmgsMM+YHG7jzU2g7xU1q8usYxqH1rkdKRx8WgFYWLxcQUmwIMBiDnyi1OND1
uOMrFFlxMaa9457iYSZVqVU6pp20n6x6IySPnu3cNzNIBH4+B8+0OwKNi9V/NBOXblO9TUOxNRoZ
naKZ1yizUgG4pajEHix8+dr6dfGa683yyqKbNFDie4gjVYVAhd8HokbsWOQZc95okaCApnXMazhp
8RHaiHv2iWL1WwLIlOGQJmVkyZfOSgJhplDPXUkT3TZalvIdYBZxS9YYIXI59TTRWQxxE92Wo049
BZlq+cHPauvk1s54Y0rCX5tOpHR09X7j4jHMZbzntHAek3osXyeQPjVLoXRuoRE6VM9EFGmOgUE/
DpansbWeJWwMyIKVYy0BQ5Jxou0Up0FXhRGtpxmB/qO3eB3FXxPQoYyC6AZHQj/z/jKxzt9YHjcb
+jhV1zVnj4MBTFUtZAQ7y01KCektOTHhU/ndDDRphkNRcgp6tX6mKs11NsMY0S1m4os8YTfTVSy2
HxZ8o1bxykzmSlg8Y8QFaXBYf+4iS07trrYzXdvSRVVijJo5Bin3UhNDZWvEYJj6/bpKHsyc6PaG
ptCvVT0ngIqolns0+6K5M72mIBntIYFtm6bLoxMv/r8tN8mJde/h5zpHw5zLj2vDiU/E2d+3GQTZ
LeMzZhNjqAksuXa2LXQnOs6rjFQoRSlaxSWiTuMFET0kJ5exOeiVDuUlafuFH197GSuVqrCG5Npb
pSt+0ul+Mdpsl2b8KTN0eeXJUb8Aym29GEoBM7nJ37mrLOZRzHWtuWaPiopqZq0CWlkihM1KVZM0
lN4PSmnrV9FNtLpzRfoWKU6H0/zFmfLlslNKHesH56pQ6h1ueZf2NBS9UWl7ej00/j5cdT9z1QAh
qKMHxqs2aKw6IecPhxWuPvmqjUpJZGuIqugqgTHi58zNYKnv8dygPyI9Up9mpRXOQX1EW8ogxOcH
Q2K0HVh/s0xUciaMeJTNfFU581XxdFf1c+DnqO+oBbSIBpTdBBYAqZTKCFTTTgmomBzQUvVVV5Wr
xuqveispyPBOX1VYOgURZJU0i1MQlTZRgq1nE0A4agUybprKFD+fEnf72Jrel1XxjZT4a6468FjT
erRN4yiZt/yxxvWd0Ha4t6PZKC4z5nTruTHc6tzy3qhprZcegPswm+/pshMGSxiDIUSLw/aYMkJo
+4gr7CH19OO/ZjRVRRy/XgQ+kK7pq1/OpuqTf7gnGIJg+pLEFfArcNL9WATav+G1cxBOGD/Z7zCh
/j6bWr/hjcDTYPxHoSljK5+jUk1CGMpz94+SS+ZaL8IQFVXlGrNSoSVcymSY+Q5Ny3X+YroTdB36
7I12vqaPuJPGrDzyer4iJD99rHgQXMKAqD6XY6y9wisor/jbzl9GQ/evB5aZgKfpRBRjnnUopZnx
2HaGdwIn1hzduHDe1XkjN7bTGDdYpijbEX14cilSvIwqOZNQdZ39rMn5RRuseJenlvmpQa5E/ZfX
lTTzrbZWIhQDz9IZdwq9ls38Nrh6h7tO9SgkuAS8U1SF1Cs4TRdCt6JzATZBUu3GtYpBTLTwbIU+
eZcjrv0x6Jxa4xBfSxx6JqYKyV6VO4RUdJ0Ag4CZMkaP+odlmQyqub7VQriqIoLqVcKDrJyyjwP0
V3lI1kKJyKJbggpLaiYqMiLlVm+NhMl3baJYSynmiPRRQDaUZTwpfvnorRUWrZGLhzYte4ZG6sbw
X6u6C+7CYKLWEoyy7Ixhr5mLeTevNRlZxDNxZ7nWFO/LtUrDU60avRVWjynPMfeyXbs3RrMoIZak
If6FyOYRiBUwCb9yZvePJJP3WpJNG4+2uftcS+iHnuEoo2KIRX+UqvpDaIvdbytVCBKv3SCWMIpd
pQpDGm70J9g1tIjQCcdKquXBh7JOzcg0dv5ZquqRRZWQ9KqOpFqbSeK1pSRThSWun3QWnWZt+S6H
qeMcV90mE6im7PA/dafZIiRG7bF0V8Qso0mn62XBCXHVFZ2R7rE2xDAZzJrCqsLJ6mVHUOJnmVpj
pe3C34HdPNQ+Sp83Eb1q7EoNolqYRvMFz2Yc91l1+b1kzV8gFbIOrVh7TlPYXYACdroLOVpYHuoZ
WvqTp48meSjZPDpV1BgwSwv9YydGq/qcAGlxCXThsgi8xnXubbODdBI3JHXNtp/PstEVzh7c3ghq
DEuelmEOMvPIcjagJOAPNdqkm1dpwep0KvrybLSuuJjzVhxSJrPDCBbiuRMDFR1DPOTP2hxmz1nk
Mw+Mfcashkq/L3PNHECupi4rDzg5Dg2XA32VNBzgZqLxUeGAkmqTGbVLUi9uu43XxNmFxc4u6MOY
9nGP6pVuy6PE3XHPSNERozmmvFjtkv14to9Th3tjM8Wd/WC3rnEiNGC9oVUuNzSKs3PU/Gp6rXkt
v7VhjyMKbwCCFE/YMGEmMbEI9tRLRjuGGOWzsIetmDk1sYA3OpO5KNwLMErOSQpKxbEZuPYhs8Pk
mar0bD75LKEkNne9u5/tCku+heOHqtYiZpEk8urrv+ehhtj064fabf65//p5+PVTjc/+Lm/pcOkx
f/sYCPAFqFDKdyu59xsOQaV7eWv4hZ3H7081/TfLU880QZcHJTY2X+479dWDqCHo2tKxmfPIM/9Z
xkW5HP+4cFFsZvLCvEDIy5ClWR96f1i49CzrhPJQC8yvNAWr9wZr0yi2NgmrExbSjt8IPG0E0qAa
Qym/Syjjrk+lO7dvzNRNcuMyeCFIuKPHOrm0d1OjO+DiW695p6NufhJL5xeBo/bkg0550cZb1+ft
Unkfh3WnznI9Vlv2UO3bw3X1LtUWXkub8rZXm/nCjsvXtAuNO0bc7q1dV/ilq8feVqeU2Lweh2KA
S2Sbwy5lURHudEkA8wLfnlagmrd6dcSZ2AMgF2ND+cjMdvzCdCCGUTYStc6plsXwafIMaO5Gi45x
bdcSZFfb29bR4WZ8H3ci/2xPvf1kA3d+9gxOU9i4VKNsnNkbW4qi7EbbcUsennpKpk5ViPzEx0KM
1qkmSNtUxDIBIwBFox+FY4VRn2rm5DqMBV3n3FsoRZw1uvgu4tk/OYUDn0LEESDPMLN7e4Pr3h4u
DZ17bADrMh/okY395LHIkvAjbSkwEvq+faJzsaN6xR61r15o+MdO0fe3UajVTdCEwLiobqzeK2K3
2YYdCbmZufa8o+PkKXXDeRc/wTmk99ElO3OwiqbG3mAqGFTjafUuh+vk36WKyIZjSTyFitImmrh/
iMqU2BN+DA7NeXEyQKjsdPONZkJ6s5cR3Cy8hRv2iMaNZikkXL3i4cYVFcfgDrjEUgS50TWbU7di
5UiScgjGijanh16nXY+pKVil2+ZVGYraxXJF5xMxsmncwiyyeKH5Wful7Y3iSJmSDK/mFiXhahBu
eAZ4D+g0LOyx2/BoL22IR7Z2lXFhEhuwDj22Ub8Z1bGZG3Bb5LjLdb2+ytgD3fBrsIYgRmUpKQrt
DcqcCSGwmfejNGOwi7OXbPbynS0tMu0Ftq+vY97qe5qMw50wXZq72OoNn6MhDW+a1o6O5RJGO+zn
s74VeTG85KBkMYJ5BVB/M4diFVqe6C40rSW+1GA7480YItjy6kQR+vec1NwTfn1S33R/l/f5YWHg
U78d0yC42X9zxVCURcWx/3lM23wE6V/FevBuczvFn/Dd6oU/2+cI5z8mC3LQ2XzS92Pa/Q1LPUlF
trpivbH8o8sHrrE/n9MEBnhMrAe1TsMp1Mc/L8ZZ6eUh7crbjnTIXR9mHruVlLi8GMJjny3hLso7
cMGDEDSNFwuxgci8KvwhRSpKIZ9N5nVN7A7qKtJaw2h2Z4EYBJ0vLuA6b7Fj7+s3Q2O0atzJpPp4
NKLP0scsq8cRsEM5mQ92oX+CJIg9IKSXybAaMI3/l7wzWY4ba5Psq/xWe2ThYkZbVy0QcwQZnEmJ
GxgnYZ5nPH2fC0mZqfxbaaVlWa5kMikoKhi4g3/ux1PyumECAh+pnJC9EGtjcNkNzJARfYVaTRHb
vFcJ4J1z+kxXXF7EZi4aqp7jab7FpwZioWvLK6yx20ooH5mTlUcSl+MOpn75SGFKiKEY6OMKfBxd
cnZw7zTmRpvD+eDnPEp1DB5PjdH5A8D+23kW7iYvwk08YJDte9SiYlaavZaK6FjPXNjGqgNl65ax
7iW106+iPtYfIjQSjJZpQROGWwv7sgtKlDJboYSNe9y+UpD2DavMMmyvLSuy6xbPuL2Uo2VRwdj5
o7MuarP5rI96duaamG9SIISMx7n1zV35jGZd7WZdP/Yuve14Jeh79ht1pxczz3xaNOY66MvusiuH
+iKZapF4PU2PG+b6wqsjs/+sViI60NGqHmcaeg+aPT9XU4g91Pfr4UTcJ+dgCneZq1F1Hw3GZRlm
N/4wKJucqvddC/doNeo9/05NW5/8CX9UWu+uOXCqgoOreOqyhk68kgVW9WftgnbBfm/XolmHg6me
KHJJLyxj6vdlEgYUc83dE2gbE3yBo+5IyN/bNEBv+sa5D+wh2wdJcwsCIV3NeE1AGdCOPGVzgF1m
YNCwOGXRXM6Ny+SgA131bAQYyKp68pj3PmMvEzt676LL0hr8R9xk+k0qORa6oQgwwzmsgpLyslli
LngSQSyRZd3OHdOj2RlrItwq3c+CaaxQ4pduzFPecKV8J9vFAHli1LWiKF1sBlCBJ2Ww/E8xAGWi
vuMXu2qqY1IxD5kgFx4UJg3XfVCadEiMzSrlvcEHYrvtxldT9a4zMn5iTj2dQQgXp3nU2isDpPAa
/5LioX9DM8ip1/RstWUGX8KbT0OM745VKUdn0NM7QzPGe+769bqQZJAqTM0P6FPpbdwMNxwxxusa
+8JKsUvDK8bgzlbsJyap+jkYpu6WOkILwc4m4m5C7mokhYTHHCCJZQ/uJTL9sG4xxTLnB1jCeKnY
9QxIVjD0IbGbiuJNdLsXYzTvCPyyjaYRC0uQKfRcCOM6mbArU7ZSr2pAaut6QN/O+/pTXDjNTuXZ
4ELeJYeZYfiWMrD3xOm2es+Xdm3/efIdqNIyCSFRK2CSyQFGFkOiBMw5jPxwpbRDc2+DQllLYubK
5XSzxm2Q77kmDesQOOCG6T7VNpUWrJKpBUTaz9FhzHMqy8a6WUfYPryZ/KA38QivYZ28G4P9xp1T
3Xfc7Q65NmOTSm0L6VFcAAz/kisk2/KRwZ2aJHeNtBrlpfKFeoYz/UO9h/MpgMgwiJ6TEivqmCj3
Iz/MNR4dk8oio3v3Tce/Fkkl2w3UfK3qw2mu/C2pYZguih5sG52xGGGWbKVqLF55hhWkmgllA2+f
VrRXNvu4mLT1AOzTxY4gGHlhqLocZJyFw/V1kdZPXTjJk0SJIYsXtW56IswwHeu8eHAJ3mzgQYGd
j+Zg9Y85DUiw8d+cBvL3n0uR8qXfpUiiuhBGXAAEDlhAOXz/mv+FMQAUwOacIMhxcUPjBPHtNGD/
RmOjRsKX/Z5xOSmr308DJiIleWKOBEzK+QucIX5hTE6K7Mc7G/WzjgYYAfsv6qb6FyFSaQxgGUBt
u7ZNj7Roj3tdBvtCQUpiPfNNmLgveo7ff3qn+DhJpfNfzBaviwjO/n/9Bw6Bv/7DjqoBiIIVpTkc
iaWz/c/T+dx0RC30ZCVs/MRbJ6u0L2poWNE5jWNHXGKEnimm4Dp1M1nYeVZ5UNUYbmEK3cwB40Cv
Dqy7WlGNp0lTi5CixHx61BqHdvlkUOMXZsbc0JjChjz5RZ+/U7s4zFSa9pnv+Y2Anq84jAM7ix6f
dT0NVo0YZZJWa6O+JLz0aCa9ikEsZmOEF+vWykULdrfxghD0O/P2In9SIMN9cQbAqmtY/p8M6Hs7
HdNB4QWTwcYuehUDUBbAXFqHgEMIOU2zaDnhz1a1ouGjyQEmFK7gOZ+tK7eqIAxwiyo76s/m+RFe
wXirMdoc1+HcAaSC+avMq5z77rTKnRxbXd/XmAuoBkO1mcRnXtEzZ8SGN8+Tc0GJYbUvQ9CqZYYb
ruojo1glvYieaHyfro2utD8x+Blf4dRCzaPcFiiD1Qd1tDM7TexsNepgDFfsM0o4Vlwe4cqDaGuA
GLpceK5nv7aLdWtyyPK0uGF5UWkuvmtsDmJrTBR22fF+N9WowBmGHwsoq0sUIEGM3QnUIBAXZ/JE
EsQyCUXdyqv3GGVJvkHkjGa8XuTBBj1u81OcExBkFO7E9xEp63ZDChdiMHdzQtKEaXVOK3N94WfT
1HmA0CMAzj50+1WkmogPelja+oYaNL/f6XTpvUZFJg6KLXp/RbGAasgcnC089d4p7MqlXITRXhI0
xM2rJXruVBgBVlHbt8ARdd/xt2ncxniNRGZ8JuLhNh7COmF2eJUE22u1G6YL7OscC7VJP8C6cffG
EodP887VN9MSk6fGpfzoiM4rc0WI3hWUba/aJVxfgUO8xApMgCdZ4vcDQXxLJvIHZ3IeKF2RjlO6
IQB959FtaiAyNGOTJlfdyOOO54PWkbtxnNKY74PEEw76sUsP/5z1HZXs5+v7+aXBdz783Hcug7df
13gs5LjKWZNtPEeyaQuN7esaz90NSJ3GJQtO3lcH+fc1Hp4td0HKbOSoymUy+fsSz+pPpJYFXsdo
qglZg/YLSzyL1L+ttcyhWWJ1jXAwdva/2M4j7DCKlRobpIdmxTFKf+1EnD8MZlRfl13jXqChM3tl
l4AU2SsY/VZT0YxYE3FTaJvSjLlCKZUB2zwxm5AjWRQSDTGE5VNyPrSTdqgAB5Sc3jJbPVpuGnzq
ais/2GVDY73TZBb+0AH27aF3W9s95YuFNF3spLltYy3VdT9+bbpKYXgtzaddMDvPM7TTCStsyYRo
8almi2eVmbbs3piihkfTzRVnNce2HZ+VReLQpdrRFlD8cH7ZHWdjqYdgPRpVelw50ddSLwmlcpIj
L72gYyKn+FJZAfmnbrNSCz7MRXhJpQbTt33y2S1H/XNd+8BVQ6c98+XNFMS71G+YXKDlqGEbXWVS
4IGrPmxavRdnYXbNedBottGdQttx6mfugA56IuALO6NhhH1ZuFinoNbVdItnCq2dXodGT6mGFmzM
MB3ORlvmNmuF4GZhAwatIPCJ8Ay4s34F+YNIFVLwMXAJQrsqFhnLkIrWKLUtaxT4dDQ3BMSWNFNG
+UIidxsln5znQC3q+1Dtq2wXQeVIN84CsK5NCbNuKrf70tHf0qwaQEIJYLJmCNbjgsFWDS3t9uXU
VRAUI1PHPbSwswUSU7EG5mO5a2z81S7oRkjbxqyDomjaLth0fm+XGTczZVJvrLrTopNdK0MP3I5s
KQ5w0ZuvJVCO6EGJQpOiG/rxEB4MnxwCi7rRnX3UBMcryFTREQH4DiWr91UuYCjTV4Qgsnfs7pNC
X7tGkqK2Y7uFhKNGr8ZsqyiO2Ea2WTXl2Jntrha7ToFSzHXXIb26QvSI4pcwQZBdz4lrtp9HLQZ/
6ucutFUaZdwbPtGxc+61Thmu7ZZalJPfVr24U3rbbbalcONP/5wFlpXm5wvsqQiin049ZDbm6+JK
PtJiNuGaNnso3lDrdxKCyQrK0RlwAsukDvKAZfd3OY1rOlMN04T5pRLe+bOcZhLLYoAio442B9lf
435LuPiPR2jGMTK6yVdl7ecoy5//aexR+fPAY5KuJ5LL5uPQDdouLqOYlIyltJvCjv3+kGfTfJkS
Mhi8iVn6SVNGPGyylzXt7fEAI0h5cxNFBNin4gETcxwcsnq01lovitfK8M0dURl28Azn0lphGth5
VaIW5VZVdDiBVh7X1+ZkFRuXQcpOlEqTrSPFiC+NggZf4CyCkjWOWDOBQ6txbPI3evVaZLJyj6nS
fT1n87ti1MWuGeyBPGKqVIcaTeepieuwotlicE7O0NKO1mcw8NZGjL1i06Ao3UZOTQElIKMwIWQ3
pPjBptB4bEmPZGs695Kz0sx9cMfKExhnO49MCjbCxPTXCvOTcUurVAAC1dLSo7o8c25okOVwtDKI
X1RjUouVHwpFyVj6SN3t8uXpLaNWp/lLaoAMf6NXhWZDIFvLU09l+ayshFwMyGS5V9ayQpCZZrUI
Cl22kXV1yIwpj/uzXs6Gc2Uhax476enNWBOvdenzlWMr7iB09m2MfOqvE+kIjpky3xvuTAcncM1d
kdnmfojV4eAsbuKKeiVDOozFrHNtwaCvXrZxjwMZm08o/T7JYv2ZFhsQ9gz1Ml3MQYr0CVFigGWo
WexDtXQSpYupKHEU/3NLHKXe2ovjCKoX7qO85X8Eh6CHn2OHTM8Jx47GbtQqvVlZdCdnp3CYlNfO
SNrPBMgBX/iSgTFJGsa4gDGcBZIxLsAMSLPAM5QZjka1IDVUe5pOPtkJQBtWEkjoBjB5L0nJQNBN
JsEcGpOwt0HSOlKrUVFCJMMDqyG2DXdBewRTZn/heUzvSjcHtDGmJh/dHFeuHO7lSGtZaW076BTw
qXUH0dBQeuclpIT4M3A8etTYYWIcLoaywg5o3yAWJ5e02nWX+D/mE1O1ficd6uVlnU7JbatXMBGS
Vo++NHrSv7eBWd402AA1D54SnUCNmG/5BEOjxb23VXGC7S2hhJ5W6vXBJv5DVMo3CkoZKSUOjUpd
d6lJBJQqgSumlcoeDwdZ2CFL4WGoYylRPx8jrlqaCFXBvxITZ1ML/bmvdKUhyEXl4lqrZamhKvsN
8xkDHrWIxI7JOVCAKJYyRFP2IhJZrcZV0rTNsVZbd/YIvVhHPy67E35EihVb2bFIvkLj5yubFwnN
bpShGwkHylrGDN1gZ+hjcK6W2sbMkRWOg6DNMU7ijIvBUvKYyr5HH58oN+y2NT45qR26O9/V/SPI
IHdTub1SU50o4vaOTIl7FyyNkmpXfZrVxpqZXMnKSUe2Txayh9LW0/T0z9n12Gv+Ztf7eH39m22P
137XjYTFLgUAiMyqxcfr+5VC/81gusSWQMkVVw0SFr/vekL/jX0IWYhtTxLdLBSlb0MkiQZCMSLm
qpvoSio8oV+4UyyugT/vepjhLC42pmHa3Hf+nb1dlbZpBszqfUpc2l0bWpiOo0rJ3/pmMO9N7hv+
KhM4qztpUqYOAdFXX7zLFg/QVamM+jGV1uZskC5na3E8i5GT/SWQD6AhgS1d0aE0SNuLV9pZfNOj
VhjRulVEfTP3jv5BOi44jqqC1TqUrmvIa9G+smKdwQmebDUZOhRvfNpkCNuzKkYXXX58TCKNPtep
VldG4qK+l4Y5v1XS792GbfHmo5FvcW2h3EK5DTxNesTFYhfXF+u4LV3kCM+Ma0cGVBQO4Eunti/D
Vs5NfrxyFvd5N3FpIpir4R33exLw0p6OpIJVnbkvtnX4NukBAidmdiOzx8wb1W4+A7fH6R4iU0Mr
rhQc8Pja67suqVrnDHI6fJliJSPmi22eAYz26Eorfby46mdpsM/NwLrgzulvtYwBiofZGFqMNOUb
sClfjNRot1RVdhsVRwUxhcXJr+VsmF5oUPy5gi8gahpD2uQykhEAsaQBoq6aLsD1avf0I0X7fokL
8P00z/4SIiBmLe84SRI+aEvCAOdGxGIZUvQAoSbXd5MqsCcYBiT01Tw6VCjVZdV4ba1NKZJ/PqOL
ZEPRXnRZOV9EMuVg21n4acIGzfE8L2c0qLqaXrCvgakA2ocVYhJFtxldZ6RetjICZ02NY7BX4rzc
VOhHT9EwjQUzwMBM7sLMLUD/BrNBKZo70JAtgKGQ86c8WGLTE25jOjIk6hYNFM2EycvF0Wito4oY
xKqxy+mg6bl4mEaKlzwDiue9rVXOqbNlCNK1c7q+inTsQbaP5Qnsdw/fqBsiyomy5iGu2eK9iGT0
akIT/qLPTXeJcBZfAd7jDtgLje4vUBFmsxEZV7op4mcDYVwpt0XQ6XuaJXCg57q6LY1Cew56HJwV
xoXPo3R1BlDgDtQ0midDej45G+KQlz5QfOdYQieY0F/oP672TYNjFN6Ieo8lG5MkUQYmB8HorHrp
MsVoML3atZldxOXkv6H/5S+l9KUW0qFqlUQgpWd19Mfe3IzS7EVKQLkyFgfYvLjBGPM1t3LP77kd
Sr9YUjfxJ0OayLrFT5ZKa9lc9NZhsgxRHUiO+tp61mvpiCzZVxXaaIky51QizxOGyW2Q1o3jYafD
xlFJW1vgY3Cz8PJpVMbaM8lWDHBIcOIoSsO4cyP6XTxfWuUEUcQ1M76oWU+Ll84GI7ShATbmgru4
7WqL+TPek4T3j9RCvPjy6JPAo+cvfj0V+iLevcLFkqKSsrgapbmvSKXPz188fyMjosdUGgGDGUtg
Juz0k8r0GkyutAwStg530zTZu9KMnAO+2/xS4gT39eI3ZIyI91BffIjq4kkcOPcjs+g2VkVpWtQa
fbrMZhsnoy5NjU6RWbf+4nS0mi62Vi1n0+IFdVl9shZfZB3G1T2kQw0NU/omh8VDOSYBk3ABY59h
mp10wXPJnH++HGMza5GllaDYd4HdrTujyua1BqI2eotr0UTUCQe68d6NbZceg6Sfkmtbwb6/qjuL
xRJdGB3Jp0u+WqnTONv7FHwHBdfqnPCpBWior4AeqP2JOllUpoZkdLQLKhvirBtF5vjg9FSoeLlp
DhG1An2YPY8abaU3uRGnx9kPq+PoK6xHtjXHwIIZGeTbRuRPPtZjciFLRqRIRvC6nOe47yd1HRMk
cRVhvqmElF4JAtJSC8jjXPUxoZNuCaBwvhFHinOJpdhLRKXKRc3JfImudIHLByJtAsddRTLdEi9B
l2QJvZS0vZkrX2Zhosq00GHQvz1S7yK+Eg0DW36iDpATpx9Bt/eu1p6adGxuCqbvzr5eIjc5WgVl
czKJ0y+hnG4J6KgDWZ2yNHNwm2xodIkvcR66cIqv45j/fBv/T/BRfJvHNMt+/0bupY4Aw/zlt/99
VX7kd2398dFevpT/V77097/63z/+lld++8rrl/blh99sME230033UU+3H02Xtt/PGPJv/k//8F8f
y1e5n8qP//qPl3fuoOuoaevoreVstPzRn/vB/jYwcKJ0N8r/RsL9PTFAB6qBeusamBdZ3Ri5fT9v
AWHijCXnd7CbZGKVAd43lYHzlm7g7ofFCL1JRcr947wlfhMaRSjMuFCGwfj+EqZXk9ryj+ctS6rE
UB/5Tmg6+auGW9pjYFB+sGsYEgVYQSiatGab4cRM+2S59FD2spKyz0ZN85KlqdKcSYJivKHoKmmp
sqSySHHXhR2KZG3Msu0Sqqr1xeoG+8PKKMP0l15MGjBwHNRlMPo7dZj86xJP31UYG/RphsqQADGi
yWjAgXYFjLc4VkZkeDXW9CsOVd1WYMx7MpdOpG7yWauslP+ZNzdGceXLAiUtD+wTQz7giWUDZKJs
9AdOus6tLcuXAoOSbSdOkmt/rKn0kyVNUUldkyaLmywarB4DnTKncOl1amXFkw1j4DnJCbJ7dSvE
jbO0QRGhHJ5S3OHpqq5dZ9O0mmKQgpQtUi1dkZewawE4GlZwGmXdlMZtF5Y/FVSpkmlXjnDEE0Og
dNsqo7VBs532vqyv6tpReY0rP3mPue89EyKkIRH7jvuK4qHfkAt1Vj4HlacB16judb1LT1YRUJnV
UoS+12WN1tjM1Ytvy24t0apZd2S8mG4h29fhOvbn5nHuFObyUxh+LgPcTZ5f+Cmk3bmcr7OYn07r
IFisIk2rLhJtvsiaOQ892h7oROHMkuwQVd27Ps9nXhRU9SXZXJL6dksTAxo0QSeQxEjmWTNol4Wj
NOvA4dzoCfyLRCWQZThi0xvF3phqL/Fo5/j7M/dDzHm2HpIgusw1c1jn7mTTHu244Ze5y5VbJ+kI
1+JkcQaPCKAD6RgPKFYhmmQfAWCHxVoYTXDKYQy82TOwOTNtipaESsq6t66ZmOElGZRhP4bEubxp
AI6wzpXBDrF0THO0xh5fXs0W2sKMBqwauzBEW9tUoDT9NaUjqn9AagNo6WG50Qmb6Wrqv9gTDTmP
FlR0zEkpYZGNNbdjv5L518ILZ4DIz5HFrXYzi778YidDdNDa3j4TdwQRmkF3pI27hGSaivlkQXrq
1nnN1rIaLQSZtdkgK3vE2oZ9y+cJy6huvdpqFUVP/lIw4SjIfnumGSEl4okRXAJV1a+DDv/riaN7
u3cE2WS9RyrQh2ycPQWjqw7YxupuinbAWGeY4brMQ9mSI82waTh/mXS1fCdB5L51eVuS3KS04tmw
5/DFUXHiU5LmuNdB2cWXCfVZ21hLGgy0yN0XGGbnZiOJ1rpvw9vw1TA72FbgJqsxE8RER9K/5c6B
HUGFbtG+l6OaBttoiIwzqk37OUBfYKJDq4i2ziY3OlJ4SXOSioc3XNpr0ziYmYfKUluRZ+rOkEW3
pdn1+d5d+m9rWYVLqBIX0dKPy2SguA5lae4/R0dgN/m5jnCMgr8dTvLir0ICN3+4UiqKHZWBFFO6
bC1fh5MQF7CC4v83NIGd3bR5zR87GzZRU1Zmqo7AsfqnnU39DcUbayvbETThXyzx0pAk/rKxsUri
9tJhRZgWFqgf5fO4kL7KIT5U8Cu3KHSUMdklsCT8oqvYAXu+soICb7TvOP0aGLmewBly+/fZt5Ri
7ce9+wWbHOXVzWCdBamhVcHR/UAhdb5Gw/AP8tr7ELcD2Tm16YaVObqql8xiXossOBeVg11jqP2h
OTl2ll8Hgdqmuxqi0uRxKTIcOpQc5TG11MnBdDiQfMa9Qb5hGDFr9JR+PmO6eKiFGxRsNE31UmVl
9ImTeAueOPRJP+htc+pcez7oVl+cbbSEfJOrcD+9spnGa7Lm/W2XDA7h9ibuu5VA/z+Ygt73lZJT
dbuxAwB9m5mb0EM3yku6o5fOO9NRZc8doLyNfJ2FHjZWsMXPVzwmoqrVR9HrY7Md29Ex7ibcEy/M
CXNKtapQ27ICjCttLFT8vMSbSFoMXSAJ4aMCFhX7/nQCG9GrXqc06qtvT492PlODDVLlsbY5BXuR
XUUouanuD17Y6cw/GHZHq9IQGR3JdV8cgasG+FssR1qJ8KMmB0JpkXlZ9rpxbRpTvnEKQrxuXKYP
+OjLa98dsnZjUJ/+iYGku7VGFcJi5uBVdghOYaXXhiOXSe3NKiLjiQ2KPSIdoSt6ehBxDgrqcHzh
eGftxyIYgm0I6eYK9bu+JvfJvd10s1tuDsVVHijOm8Vl6KE0kEe4PRnyAt9la0K/3WNAfEolBuZn
F8CHjHuu0CazRI2IiMWOeczcwbpjwlkID99PbALHmfI3lvD+qJgt+IAm5LnbjED+bLJdbUH+UK9p
LSoEgMg2M/WD1YTqvRFX7oPaCXFXVrhPAFVMFeeiOu187TYISatdqHK/HHA34rLp8+RRs+qaulW7
peYkc0a+eZVW4sJT5f4LaDf8Uiybct1gWeWiB5pI7tmG3L0TuY+3ckfvls09WTZ6Te754bL99wCr
3kp5MIAh3EH/WM4LeTqaWGzkMYLeE0zCDYDqjVqmMotQWckukecOPrPyCMJhpOvs6qJZDig0QHKS
lKcW9D25ZS+HGZSE4PMkTziRPOuwDnHsceQJiE61ZB+Irj9lso10XIpJTUtQUkoujo67RnaX9nDr
P1Fa6jyA3dQf+JwaTD1ih8JT9GxIEswp7HWc2QVHJIhpN53sSY2NaDjrmWO+E+ug7iCgT5XLJs2q
g4gfQg03D0TulubVpYQ1iq3uapLNrK1tZDeKoK3V5km5wpKknTMmXMe6oOeilwWv7O/ZNRcz52qU
9a8DxSGHJCZyA0mz/MIVVl0nsjAWXdT/bMsS2a6harMWRFTpwhz8my4xIUwkvUX3LMDl57mFfxLq
jAipFqOkNl/6agWA3osRlzkkGlzSTyUi4lsuS27pMaV3QRbfauEwdB7dfcmDEspm3DjINRq3ieG8
j6OhEfcDo+ZlBoW6NV4lsTVD1bpJg5jGXZ/3nvmTO9DeIyt5E4oAkAoHp/wAyWV9cRNbf5llja9K
QvOGdJR25iaPV1ixJol+EVZ3LZYe4LAuhuMsy4FVHLU7LErjOQlkd3AEywEmk2wU1mW5sLP0DOv4
tjHsRVgI8m7Gjj3EwEjCjjQMlToBpBi/ck+mldJfbBEy3LU9pcYN4yHetxkb+bWOvNXt0kjtb4co
mjAjo6Bfh7a8EWUUgIEk5RgFMxE3meCx4C8UdgBsDlg2HsDI4DniSqLX6EDdcBaTpVEeB3vlTvH1
gTjlXF+n3HZusFTJ5I7eKfrGpd44XhcYIN7b1tS9OQ5bcdEyuULMpczBYqjES8KpVd/JP7jfrJT/
iLs7Z4GfH3AO2d/Ya3nld3eAAbkYnpRK8ZemCzno/3q6sQhLuiouKsYlKnul4DXfTjcmrqyFnswI
A9OIKTgSfZuTmL8RrzTBfsoIoyE9U78yJxHmvxlsXdxgNt+aaWK5I2X54/EG6I4VRY65mjMXm2Zd
hhvDdIdtGPYOI0dXPzMULy+NIWr2hdoL8PB9PR4NVQs/6cxEVz5inocRR7sL8PxvpyQglJictAbT
AfXOanrw3Qjlmv1z1TPA37aU0x8ZmHTX/PfyXSK6FzS1/JM69MYxyIp+yyDF3tRK7e9jTa9gy1uf
CwqqPGbe9Z4RYvmk4Bpe170iTpadaw9FH9Zw8/VH0ekcz8KsInKoZivo8PW+p2xvpIYnXalOFPBd
1s7n2gjNU4fL8nKmFcfTS7/0an26MjLCImEdBsecep8LTPvFpgcYrHh1UWn7NiyVk+UAPEUxazZQ
TWNUc33e505pH0rfAqs4GDSSxWry2RJT+Bp0JiQmO7sKWJAxPCphsRWicO56sB1noynCne34MHBM
/Ez4cQ21OZW5zghiakAeBhokD6UqH2DyIkEWQ8GkxTJKb7ZiZiCjINUEEZ6Mv0sjgx6DOCDhqHeD
cl2nbXL01dx9QKBXtnPulx9mjBjKqdIcT5q748j2jNTZNHtTQyk9x9BPtincAHy+tf1sWp12pL21
8CI8dWe8BPQLDaJdo+D4VIC7JC+wKjxks6NflGxlbwbD+ierqvqd2+afQSGm1DDgG/Y4SuAYtti2
AObFOaZQI3sLHItWcH5PGn+aj3D/25tUC7o3dbLzrVEyUJgTs936dl7tMIh5VTacJ0ejv9R0ypXb
xE8E0Lud6vrTRwtgh37F0MXQEJ2JyRI7d+ZVMSA/zMEWmi3gn0xpNrXZh8fcDkg0hm3MGIl9V6O/
yNGS4Z8zITaQEH++8G0/3j/ql/Rfqxc8LPx6/1HXUVvU0/9H/pRf6ftCaAMm4cFEuxSshNbvA2Pr
NyAoJv5iHZOphir5x0Lo/maofA5cA4MUK6Xt8OW+LYTOb8x25UIo4fRcAX8pHG7g3vrzLQ8DrJRI
qYnBrqWaRCZ/XAb70jQCN843dQ74CnjPaMEhrXRMfU4j+nhL92CS7rB52e3RLnTl3QEQ7q9GNTHn
/TT55qvNZYWUb946hHHDaHrgzkMlGStyd9G5ZtnucY/iKuSA0GzNkVBM6I1d2wMATNXL2lbxp+pj
Gj4yVJ1OXRoxd1XagsPKaHzQPhrSiBphf8fQGRgPcVVjpwSIXANlIprgTBddqFkhTD4GhqU35PAg
VgP+yqSGQgztz1/Af70SiPxk+I3LpWUaKN+IV78uaFxGb4Ssii/tj8L8jwL//1ZF32Az/vnDscm5
h/7UNShf+/1xcNm8sU8YUPtMGcD541zARmyhbAi6aS3LVPmsfjsX2HgkoPHApcRTKKjx+8OTzZFB
tjNg7wMWjpFa/JJ/QpP/yF8eCOkadLE0kRIGgviXByJnlI9EW68rbAp8XHPtnIdivpYFgnKorBwC
aohIRWBluCnGODoOoPqRCaP+QmlcPtS9Nl7mOuNkXHGtnFvBernAS1I/BAaYejvWBjaGDCokeRlx
QBvgwKAnuv+Ec8TygkoxUo+RVXCvZRoDqj4dXRMxL27p6a4kJtZo9VsFyYYxMpi8Qg/tW7KkLf4o
Y35pU6vHgKbF0SqM6eLewj6sXa/Ry/iW4QqODjOoVsFIVK6XCN6uc6SWiHN8Tdh5Pky+8VFQ+Uk+
V0S3XVeRVUxz/1iIsdiQP4lvs3qGQe6L8C6Y9JxjSqa+Bak+MDhVhxvX1yKgQFng3ykxk1aGo679
4AyWc19yODkggZofIbayXW7pXhmZPKaYJ12sBo2+4SHlJBLg7NspmT69V4Q77weIJ1u3d5s9ark4
pIM/HRrXiT4NiaJfUpBkPzpRWFx1ttpNDFpi59IBKba1qlrfRnqlbysnrJBhhcWobhYPdZWbJwb0
+ZaSYVyZNA1sqtSoriElM/ur3OYYqdg1M81W9n4whACzQdvCvjTDfT7V7drxUZpy6fkUiRZvgAQ0
e5/ldS1GcGtzXNK7rE6ap1QBbzvGBWRpXKNdxBfsfaO/4lTa7GcnVA6z6mKZ6zlggH7SHvEfhm+F
qPVdGwD+1JPIfBH61DxE7Benysr0x0TtzaNt9vY+C7r+QPtWTpDYGWi/oYvCy5qivgjVytxqbkIA
irIgih7c9FOZ0vQYFR1KHO/7titGk0xRbwCprM3t3CcNA9moDL2px73h1EBjdLdJ92ZscmKheCQD
yPQWl3lxFyp4epDh8ubKLkJSX3PuShq0XrfETZHKqpibW9NWxieNW+uD0YRi30QFHrbEaniDIqJh
+jRxzIw4nJZJMsKIV6tVY7rxqvMJKZEIbS7gj+rb0Q2CQxNb6oky1/HCkagLJv0FN2amf/dA9vKt
0jXzR0sU6H1miaczQ9yY6diRTe9Dl9GXlWxsYr/XjRVJ5l1dbqeacnaEM7JLNNmPxyCwlZtc9P2r
EbTq2nEzJT5hKmfEVE7D9tc3i/+lg11pePubbSCJ2p+76ORrv24DVDwTtUWptm3WPvYC1uGv10MD
W7nusNYDNmJt5Jzz+zaALi6gvP2OYsAr9/1UZP+G606WMNrQd1xT5ha/j7ivv8Yev87V/xi7/xiD
/PfrofTysU9xKMI/bvzletgMMC8N1C0aQ7DaJmWxwsXEOFVgbt74mkYZu4pP6EHVpFcNGBsl9VnZ
HMJAHT5Fbaaf9TwVN+ik2qsT9B9DrEwUHWv/j7wz220jybbor9wfyELOw8sFmmSSlEjNtqaXhCbn
PEXO+fV3BW25PZfrqh4KKKHR6LYkUkkmI06cs/faJM1lbVB9mJAmrUvMI5ie52hlc6AAZiyyBeKl
E4+Ty8rutZdJVy96NLR7QF/dg91Zmt+X9XTrzJnqrlrPvU+hEoCQlWLaqMcln0azsvGGxNijslN9
lYTR9TRpUQTiYOg3blSNy6BTg9sCxQ9aKDTPWPC8nBZn3pHUKqW7JgvGHIX13qmGM5F20GVmkZ7Y
bn9io0bvG+0ZO+CwRIZnbjGh1kdqhZSHGBjOnyCC/AoI/xLZV43Etc6uEyCpp5MdK/vZA2eH9RoR
uIhTa2kWCsjIyVboqvfPGQSMNRT/2lrkfWWftE5brJ0+MLqjwGzjY0MxqxW710MTx51vo6h/L8Q+
8aJLEl3No4BAhjvyNJr7YnQd2D5Exrcs7Uvo7M4FS237Pu/silZkMbzDwO8My1xGbMHLh/pVh/hv
iGZgzdbVYtdUbXzUE2h3p7Ujo9c4Nf0U0l66OKAAUJK3J9SbwloRfa35hZapm0hDQoZWbmJsqh+T
4FZtVKgQ/BCxr5roVqFERpTtlJ+WjWjuAlRTK0I22kVjN8rx2CKqwXCfLnAtkNRQSRxFj+AL9AGI
ilbCKlwBtgKyOgSL6ECziCTYAvFavxwOtItBgi9qicCIMle7yCLMzwsOuNU2FZG2ytBGXafROJ8X
cznTnXbL83GuCwgiNEVB2aHjSpXcOUtS89aYW7hHUWgBLIqdU7vEXCoqEb/H7lXsxlyZz8dELMOw
Ys+LiNUlzhHuaM2EZoMB+IyNwn7496ybv1Qf+49lMf1i4fwsP5bHP5P2qAalXRbC8kT3ceF0QGHC
EaNCVvGfu3Jg96l85qBJ7+zwj5L8Ls+Mr+umRVwZw0ceS9NA2bBy/pV183Bk/aZ81qnEWdSp5VWK
ccaTX5pubKedKDDEqoqVD6yhw1KQyXUd6ZGKFCOMrjnKDTikjWgPLulJKeP3trBP+Fxsc3LsDSx1
4MUIprCym8mogVcVfdshEMyKq54h4lYp2/EsL5wNtAyG5lELCzdyB18HRrnEaHiPYRCCk63dMHIK
V7lMjxSzezKQReKnVhXt0TATVsXsm5mIngJ4Cm9MRdIeK9vczkbWr3IVYW+MxmNtkZ5SMMny6k3V
Mt7LJu2pzrP3EsS3nkYEK1YQsZYBRj8lrKo7xVUTLsEkEjVa1Od5o3bWMsGyv3amxPC1JOrgUuM0
RPADIEPVggXAbsI3DSgsKj2eVeeYYFvqDJBUMz0EUJ1X0WSRgJlV8bpXY+0qa5H1wXinLu8MdedZ
AahtEw1E4BjzBpy1zD0BHhx01fxk9VXySGeeTDArM10o3551T3jhSG2mKCuCSKwrIlxJqMazfhJ7
Vn+hGionGwtEy2yXxWUF1XdRxKW2KYnqbE39to69C9yJbArFcwuuBClzep67CpacidLL1fFCKjGn
8DrFOK2RS2FzTU1kPKaC3Wc2zGbFyYsHywwF2U1KRrcdG0srETqGKUAaagGHw81t9BTsfUYMM6Rk
TnvSTfOjG5WPEVzkhSb0I/p85RJVt8Uvk96DcVMswXHQMbSNs6RAFyWGdMSBPyAcrWk8WBXy8thJ
VMTKzrGIqglJ0JQvRRtbi6RXkrVduS92ql0nWX41z9bLFHXaGqELe+XIrBGOwbQiK3cfMHZmt8Me
5jpHXTucMpnuffot973W31b64O2QN+MbizBRBkjXZ0bSy8auu60lqup6bMMzhxH4MjCMx8GM7qzW
uFOM/DJHKLDIC7iNqWl2W/wi1SLTNfIKnOHWYoecS0jvU5mn6xZL/ZGuW7el06jIzL1gEZKiwqvm
rrH+P8Jgggjj6QzD+kzdxdy1u6rr4+fSNLS1MWjBdgYRRJuQjZU9QllHhiiXtU4lAEgK0JLduUtS
QJILxDDe5eDkzbomd5TbZRrv7MTWF/TXtSVpMgYO5SDqjvXcDqaV2+vuXpilsrZ5qmmJQhTsLH84
ESlmMK+heqIjsygd0Na6iywe9NP5cIat5HF2DiyHMHaOuLU87DJk5tybySMw4cachrXDyZhCIcTx
1XJe5gNvE+hSBTdJNyDRn+TRWhxO2bY8cCNZNjaWPIT3NGYhfzrQzRO4XgzVu2Y8EYYR+k1idXvT
Gelry4M9R9/kAn0Pp31DHvxZiz0YNzQDvNjTTqccm5InjwatPCQAwee8YMmjQykPEXWmi22LiqDU
RbKjap1gavD52IZxPKJai+PTvHDBZjlW61tj8kHUA4q4tIrccBXizA2oi9LhijViuHJh421rNTCv
qUqtnUX5se3Mrlnlppn6LbL247INo9uka81rLAhP/55dl13w56eVxUvRvfy8acXvfjyteLBdZItU
57BiGGyxX226mH2k9pPt00Qz8XnX5bSC24d+lmxPEQouXbCferj2HzSWuN3QKsoBFKedv7TrMvv6
pmnFyIgwcvrFSIawvMrTzBdWVwTTqYDcBjW+K/2mT5ITjtVVu8x7Ee8I+YZehjX83mgVEomNtnNL
4E+GYqw9qOvN0sFK+NTMWVOjevTyah9h1Lxsw6K5GZnvgWMqqrB553A4f1ALojOWjqcQ+GSoYxIc
EU7kMrw1pqJbD4eAKLJUEK8lBQPf4yo5REkph1yp/JAxVRzypkowocYHA30LqGt2LD+S4VQtAHtr
RzgE53WFKCgwl5AK+gO0QOILogPJYDIxorKiB4POyUHSDsyP6IMslRyEEFffEdj8bNw0Sh/pvqEl
wLjCknHe0hjsqT/JioawLA6mc7LMiedgZlcHrrrsU0Ad9+7BPz4cvOR8uvGVFyozsU3d94Si5FmW
bZEjKcUmQJGJUfZgmsUQgYEWFmljsKqZQKdYEmBp0lYxlrDrYjJbE6AkqxSNwnVshdaybio9ux0K
dchWtUePClcJLGUXxfllKPtJPlEX6rRyDgbfhKw5n1j2SgXcggMYyX99lNNFC2U7jSkku5Vr5L0f
HBpviWulhu8qFqbSBOYpFkgliq/a2FM+GD3mYRBlag9cJkBoTOoEPSsNU+9FrBBY7nutMRtnTMms
LV1IF+0Ri7Uml21dLuC2m9ZihTuOxd3QQOanZejt89FUphW+jYSI7iIEZN7mRIt2sE8umywfr7tG
US9xFiWPrR7EzzCK0HwhPzWv0Rc4xsrillnHSRZAKg7Iqqe/v8zEJNbk49mPHg23fVBgGFuGugbc
h9NsnSxpc0UbTqQXoWKU25D0+CWqg/cWZdnW00hlZV6YMQFLwsuo1oIPmlcbJ5rQboa6fUrVmg6X
JqLrYsijZdnalT/I81RiWeWR2ghzzXxDO0rK6AHCg44mc1K2s9BP1SLLzz0zmVZgX568xM6u5NOi
xHiqQu0krcDAJDQY1qLq4r2SR8+BsA7lI8jp9Ehwll65ANkE2YXQwbPSu7CGBINu0s7hLpv1iapz
nMf7uRlJTW2CPPfVudbJ9nGDowRZx00v/1A7T+DxBE57ZmlhQjYf8ZJF4544WUFztZcUDb3Stt7k
9mSgdcrG1CfQbRAExU1iajTv7KiRFDSrW8Z2qK4S1xxXlVB4GbPofV4lysqoNT7R3pymF0MDeHa0
ChaaOYRvAX5iGXrRvKJhG+4zcmyXKaKlsy4SN7n0p4pKn6gFe1Rppe0qt144YHjQrRNj8KY1cWXj
kqZveR06VbZW6hQ70RRUy3/PFsa+8Yst7GF6yZqfOykkVvrjJobuQmX+CMQck+qnPNWPJ0d4DQ67
lCqtqxBx6Jx83sTkt2jF8R/OdRwTVb71aRMz/+Cf+AWabuDCOPX9NUWG+s0mZqBr1Szd5jzK6dZB
APv1JuZkjW7i0caNXVfunhYXccSuQk4RzrCmsP3Ac3sskQSWxtu5m9p3RmgMyiJTJ3NeMNxPpnVY
gHxqbTHcKEKtPogAEDr+t27jIjG3lppdJye5NmmQMuvM0heI76kAsz6vXmApElCTiJ4UPxMY2Qbn
YWpdVqgSwwWO11b1gdl0782+bsEGc+suOjqS9u0wujUCfeyhwp8NlUwizy73dYZyY6kpbr51ahqH
GJQQgi3H1IhIMJ2mCqEmiZcPoda5mMumuM+XJCcPpT+3JYP7uq3fk97VDKQVi1tPIW1iAUmZvL8o
map3AFcCZYHbe+Z4GqKRPWbxMsgBRfL/MNRFhHpBrfvnHL9JsiCPxlD5h6S/zRpPPBWtwQl1jEr9
Ko0xLJND34DZwUnPmTosPMz+OkOLAceo532IUpGfYvcwXvRoPIuyMUp8nUVHX3hhS20d9E0LvzU1
jGuOqvrMCXD2oL8IFFzzRMjBe/zIIvEnTfT1Tu+8sNkXkeWuRY2E4laUVQ6FtY963bdC/JjovFTl
AV2O9sS7AadyMse43famcpeGQmynbA+bc9AwB+zbFF7Hv2el4MP5q5Wie4p+0WLilz8uFISqqOjI
JQARLhWnGprfHxcK9w+HIpj4FgojFTWD998ek6b/ISkrOpNT3OcHX9XrQoGYQVa6tO0BKsp15q9V
u/JJvu4xgQbBew8kxmFuwKD264UiiyfT1vRh4xoQRxbhrBa35F2a78MDvR1V+SXp8ZaxNSTdfUTJ
PSPm0kQA907t7mNsJdZxnrpg4aEwgIjHzSIImjig46tUgJEfQ4mUd0XDd+MDaj5Bp9/5PVXGElUB
MHp8FaiOOdcG/TH3P8mzzaynuc9EzmtIbfMmP4FQGKwcE+zRMpLxtTNIHE7X4GYWBFYJdDugjzYD
MYD61iSnbqHVFj4dO4gHG2wNKNXzvjdItjJwtyqb2gvt0A+MRod362qmsZ4cb7jvoJMHOMmHdmcW
OLM65rN0rDEpGX5T1VjCJAj5CLnlPCyVMUCQBgB9zt8hTbarrRnNrF+9MxDvFfeQVhaBhcQVf2iA
VD13BMZvUjA2dWtNG3sgSmwJpLk9A3ggjtKhSvrjtqqFWCChrI6ZsTaXFSKmvSPiiQ5CFIymr1n1
CA8SDbpvklFzleRDYhOS0nqNn7SaceeZpYP2PuhpYfSMJ3ZWolnnaor19pxwlexuClP6RA6MAlgB
ZocU1QP7tYijKHywoppxTMMr/yDro2AJHhKQLD2AztkGAanXyoCGeQhaoKxkDoBIVByq8ZKa6nnW
a3Gbx31GpD2OsX2rDbupi6DM4gqbwnNtUkJMukUzPIDVHxhLFmTYGaRRz8cAZZ3T0SEwRrGdJj2y
GUXXq5wkHl6jBqV9bUrR/XwQ4GeYG5fMtxIysg4S/X7o5GJpA9QkKMzrVKqqLJ12wL3Q+vOLCqF9
Bw9AYCCKXZjSGjBKCa9vEwdygQeueCA9xjavgJYMzVoF8qJeu9JogLANlf3BfRCiuzs3ADkfp5Xt
PANCAD02ScsCRj3cC8moVbFvHlwN1UAuATm5DHA7XiMORdICQc71eD47VlfQje2UnNUfu4TdxNNt
YrPLgdKVTScPzE8lLRb1wWxx8F1UpdUh1T1YMspYDtwPRo30YNoYpX8DVI7t+vXB1qEoc5ttkC0W
5/3B+FEcTCDZ4LYbU7pD9HJu4ZQ7mXcqkwzfO6IPjkrpKBnKyD6S2TQUn5l92pu1uFSkB6XgFFmu
VLNlM/QiTCq0znumSNK6Eh9sLNacBCdJWc/gHQ1r5bphxZIwCQALSINdKRLOmmawj0hfRjusHnTE
nZQUV1JcHBx0xu2MD9SfDvrjeoiqY2Tkz9GYn4rYMHYcTGhRS8GyftAuu1LG7HidLlYFkdDMYURV
lqv5oHrWDwroUoqhu4MuOseYcs2izOFj0hv1fDxoqHMppzYPymo0n4pyZs1eDEYpIGj+yhis6Cb1
gNWg99PNNZ8KGZPpKb11ZPHe36hxa4dLvWm90140aCFTE3gzPr9sYzUZTmniAl+qQVhio8aq+oFW
qXI5D3axV5BbB3STUW+voA1Wt8GchKwEmV3sKgdZwrKOJpv1NBp0kITOpMYbmxARPhFZs4Wvta0O
+RSKJ7MqhBzmg/NkyFiGEWEWYhbkWsiIC0uXR1QZezG1fPDfKTxAx2seIzfzSLXvdgHsOrI9DukZ
5iFJIyRTYzyka8CN0Es/J5YQ77fTQY7QD2kcwyGZwzRKjO/xIbHDo+9Rw7mTSR6NDPWIZuI9IlUm
fZiH1I9okAkg/5oyw0IT9fMy4z/PD/mvDHDytz/VGcYfDPiZWBk6Gkcqh9cygwIE+zYAG9VgKCVV
jp/PI5jmcMod9GPc7ypDq8/nEXKP6TfonuViq2Nur/+lURZdvW/KDOh2DMsYqcGIVXXjW4U4oayi
mnJjY8xJWi6VaII52dTqMTBm98rVnGGrzPN83IMJ3RFxHbwIxaFR1GnVRd1VZBJYbUv2aj72t6U1
9LsSg8SpCgPEW6RJbK+n3jGXTN2rq8zyer+1m5QRspZFfiN6ZxVadf4OVQsz/aJW7gNh9ulKDXDi
cuTpPGzmppqv02KythNdjTMROsFx2E7Z2QxbWd2Mbm/d4+FXLzt1VJxVbcWZ8SGYsxxflZOJDdk1
CeriRhmPcUjpl3MbMonKiYqza7hcdLTN8aghl5HjfRweZYgy/UZpxW4md1llqt7rj55aiZcJPtkt
/Ez3Pd0FkkYLtSxzvwkGd+XMRXqqW2oY+4xk3CXNvGbvzki02QcYMRWGM3wwGVrtWqYyFCZY015I
oA9fhqpmVi+wUj0R43hUqmP8gQVufCZXk/kUrvftZFYlsQqd8chAhg5WFEbeYhzBya31iR7YulCt
cG32rnZKG606dsOJoIjS0E7NNMczNTn6ll1Ku1Lh9eBIApYfrFA9Nb4K1ucODI6OfohsOUsOz/JT
r1OC920/J5dEgvgEMgz1UmcOe4S+oWZLUfJ04apI2RxbSQmUt2uencPoEa0zk1hUN9zrDTcJJWGJ
OtVpzXGThQoS8axPqk3sZuF1PVTpaWMY0dWUNYMvKIAZdTVl7XtjjjSrsx3lJi0UaNLa3N91TuM9
WwwC7/Q4juIlMy8EFbUJtrByMn1jplZyPFdCQ95fFAMzLoYsbAlm985URSzT41MF/LRnXSheZ1Qw
1WbalIKkxhUB0uLOg5JB68zDA1emhnPHEKpYpUrW37leoNDijDF7lhj7771MaAtqEu+KbZHNcXCZ
rIAKKd7RQ8jUhRuI7iobqyI+mhylv1NUp7zTZiveZ6ZTnngIFHs2oLIm41cfr72msre2VQ/7dpS2
RjEl+gqk0XA/lEW9pK2l7+3QHI7twhj2Rqcr/lj2+5jL2NXV2G4rWEIZTLy6gWVXcDlalW4MGHzP
dgK/1LDHBxwOzoJexGnhdt4ZobrYxqbAJnUZ+1f4oChx/TyizDEogGcsYzO1G5NaYgiQiJbdelTg
G9VV1RAPjG/lSOrPVogL62JLu7cxz8uQBsrCUSL10iYtqdzHvVC2tRfUazJa7eDJDSpFWwYMpXYq
gFvsYTBn5pNhaOLsWIs6cdWDlkvP2t4zYbWSkXyhTw3lvpr3zYmijbQC2g4wbTIFxtpslGHRmkN+
PdfaeQu2l2Ursk4FAakGSEbNHldB5M3Z0aQNVIEdx/NgKUu6fkkf0xGEag/GcoiwH+RmPyrHEINC
B0S3V2O5b/BrkCOo3cF/Jf7IqJzWvRiFVz9aDm+wkDlXq9DLCTz00IJuNDUckLKS0bEO+oLgJWbw
RsN9O7tBTYehTQgD52LKvRbpxaIbZ4LD6Kg3m7kps13shaQHz8MAczK38g8S2fQYQ2r8AJanE8dx
nBbuKcmRyqqEwjf7SchsnjAtspP2EAlF6Fcsr0zuNZmd3rWG4GxU0AAVFORHBsuv9U4pWhDtutHi
kwigwyBJShoEig5E43XqpADbay8pSeSDl8kuMBBhzJglcSjDJrmsFmrMi8bJLSifGF6EOzOKkhUs
CPrzkRtrTA4s5TTnHt7XgIbclUm7ZlqQz6hdIiqudo5bWyc9wCM/Fma1H1ul9nk0meqDYRQORZdx
pEkNSzZ8rARv5KRad0bMFKYJQnxLrUWBjgypj29M4Wr3hMJLBLpbPmsNFTG31OAGSwu/lW/ZMdAd
gDYMy1WnCx/ALFqrYEzHe600At/g03kVJAGIOLWtSCl3YJqIwMWIbahi1xN6sOrccLz599RCdDF/
UQs9xj/vzEKe+VQIOQRJ0VhB+Y77zXGQHL5WQgjf5UiPbxkUNTqlz+dKyAaMo2v4QGjmeh5NFx7u
c2eWGCswABwJ8MoRZfGXxJCUUN9UQvxNeH35G+AdsvLLpIwvx4vUykmELGfphmx22JrfxYZjszPG
BXeqtAh3lneulwr8tikls8fOHT/XipgPHca5tgMkoth8rNGGI/OoZnERC4c6YVIIjZiJmObcwG1p
F1uinuM1xdO0rod4nRttu6mr6FQYxS37W7gIGcGuAgXtsTY7Txav2rbtYhB9ebyK6lI9GoNUP5na
dD0HbX5pKol+UeItK6baPGJAlpxU+G3WYYJYmRPPVuWYPAzZTkFbsGgVB4k/V6HOkLdS53iKj1kH
oh0tyi3li7ZnxL+iSfrcNFN0Q5TeukHuQC+H1Ys52262AnWpx5jTpjYkmFUVa8Qgd/NArjTUbdGo
1QJROmG91fwcJPB0vNw8xjqoLgqkH37OVnfTZWp+l0aTe6fpIfRBxws3BGE1C6OJ14ZV47XJhvgk
MklhkBdqM6dbDKoqCKOCJhJb5gVusZJuQAKJQNwACR+2nddceIyh2IXDYIVBftthisbST6xMiExo
Uvy5MnlNUvMZS9j1iOH9JVYmch0KqAQKbCljJtwqo21OO5loHa0wn1V9TC6AQjBgLRxvxRyrXNRG
Y6HvtiYO60L4QW/mtF+m6VlFYH3vQjJed1o93FlVyOmvVZuVarWEPRFXcVLTKNgVtnZXa8Ttughd
JvpYGtZgPbVPlDh8TqR8rG9wGhtdU5+OtJAXTpg9e5MZP8v/EYdUrrVT9HiVRX00Kk2y9/pkhO4I
VPh5qqf4flaTYk95KYk7Rbixo0rCl0QJ8GEidjaN8VxGyL9WqZRTVFJY0UmJBcK01O9NBhK2FGCY
UoohpCjDk/IMTQo1ZinZgIWBeiM7KDmag6rDRt+RenPrF1LyQY5ufGrG5ejrUhCCwWNOGWiqyW5E
mCmkcATziQIdF1l6IAXqdTmMKVeAbF0dA7ahuBrPWY1TX5XydgbdKN0zNO9Un4TfUoY8l53+GKYU
NBov8uMgcFA6rd5VCy/VU/KtC32b0QEmrrirAMjMit9Il2ct/Z7dwfrJeZwDtPSDanYVHhNAXfPu
Tme6dI1O0j+KKcU7KTD57xQbd+ksfaZTjNNt2UsHqgAytYxsgHGVC+A5SxkxlOMVObdibUn/ai2d
rIH0tHICqm4YS4ptWDHGSGgJGtZYk2qWBltH+mJLUEFrV+PzInorv3Xj5sHV22Lj1G57TnZZcoz0
UKxF31QM9L1qNdhNxqheumuKmJcWg25ZdvgqwdRdBWBA8SyAxC4xPNyqRoy31wg45YeOLbaWqZcn
hCMYp+iAx3XRD95KKhXYIBlNqXOrXQoe+biLhnStKWpypIU126djDSd5qNq+mcZ8AFSl2Wk0qd/l
sfwkkxdzZ7iZfi1EW94OfUFfZix6rKwt7N5eJ0+Y1Wtay7ht3875L0sbn117HDfUAJ5ENBGM0hj6
7WwrzT7JJnEMvNJ9EoyElq5KSLfiUQ8UztrsppXWdLdTkT8REjERIppeq723M5LwNGQtJLEkmi6I
GFpUzLl4/dt3utk/UEA4S8itpzZavKSL8qWO9sK39OKy0xR7B2DlVBuLl7kre9Jyung1t4V7BNCJ
MTlB4k9GX/6D7KRf4PL8bwl5n/0CEpF3yEt6V/7/fujViPDjB/qKqvdUdkUrGX1hXBaUB/+l6jnf
yocPf9KB6PerRyDDOG67Z4B9ZKEw4GUL51N9+OIBs7IIP32bGoQvjJOv30biRGHzxSv0s9fg15f3
PW7w+8f56gL+DCworRhfVVw/eSG+eZz/vhAWgyq0WgzD5RXzxaD5ixfC/gPVMhEp/MjHr3/cC0Gz
DPn3W18G+w8dCAuxDQzmDl884Fcvg1SK80L8Y18G5HMWZMQ33g00FOkwWtJ//dX1k25BpYt4FtXD
x69/2udBqvaRD731+vU/+MxbMMi+unxJ0JSMDvqw/9DLxz1m47MiZu9ty4HNcmB7dJo5gL2+0V98
Dow/LMbMuNBev/1RjfMPXBc/rlMf0bKft5rvN4ifrosHfZBNmsvrO05r/YsXAqO1Q5iWxuT/4xc3
zD9yg5Dc/TdtEIwfEDi48MhYXL54BVwMNhCvpc3w49fHW+8fdCsgyKCP89YlwWVnAL1zSEv74vL5
JNim1Hv9U994Bj5ve+OxnrLx05L9dIerfKS+eAEADtsqXA7n9fsfez+/9f7/xg99LjiXBMw/H0rN
+KX5gtn8pz/wWol9/wDfVJJf/aDkOX986I/lpvz///vVKnGoAr/45mtVeHieT7/+6QK/f+qvnuv1
ql7/cRtDVBEcNQ7fmD79macPOQXr2fQDztTnO/y/f853LOrPH/5fPjqot++V/zw8vS4pmfw56vq3
Hn43kFH4o8cHEe3wAXrz4z88dz/iZ38uit76BEtAJs3/XMb9i/jRZUicDQXjW59lgTf/h+/yp9Lm
rY//n+Ihf/zRG/G5hn7rM9w/5B9++FZ/qk90Nom3Psdd+fjy+ihfINZ1lqe3PvQ7/vbHH9yor389
h8S3PsVVmZbtD97k16f4G26jw23afH+fvj4FG8Nbr+KcA+TLw88JN3/HonHW/GhNer0IipG3XsTZ
n0Zjv3HZO43DH60Xny5BDg7eegm/l/76xsvYP4Tlz28neeR462X8ecbiGy9h9+dxVm99hoffyHB4
83P8aHt4vZ3+ho/179C633gNf8rLfOPjE2X4+AsTI6eBt96sfxl898Yr+g2W2Fuf4c8xNW99huef
b3nm37Bx/w4w4o2XsHrJ2p+XBrIP+9Yb6zf8t2+8hsXv2KPe/Bx/bqx441P8JyXv/Ijc15/WONbf
8Dn/LenmW6/kTyURv3yCHx0zP08pvj98vk4ffvRrX5+s5U88ZS8P4n//DwAA//8=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b="1">
              <a:solidFill>
                <a:sysClr val="windowText" lastClr="000000"/>
              </a:solidFill>
            </a:defRPr>
          </a:pPr>
          <a:endParaRPr lang="en-US" sz="900" b="1" i="0" u="none" strike="noStrike" baseline="0">
            <a:solidFill>
              <a:sysClr val="windowText" lastClr="000000"/>
            </a:solidFill>
            <a:latin typeface="Aptos Narrow" panose="02110004020202020204"/>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_xlchart.v5.5</cx:f>
      </cx:numDim>
    </cx:data>
  </cx:chartData>
  <cx:chart>
    <cx:title pos="t" align="ctr" overlay="0">
      <cx:tx>
        <cx:rich>
          <a:bodyPr spcFirstLastPara="1" vertOverflow="ellipsis" horzOverflow="overflow" wrap="square" lIns="0" tIns="0" rIns="0" bIns="0" anchor="ctr" anchorCtr="1"/>
          <a:lstStyle/>
          <a:p>
            <a:pPr algn="ctr" rtl="0">
              <a:defRPr b="1">
                <a:solidFill>
                  <a:sysClr val="windowText" lastClr="000000"/>
                </a:solidFill>
              </a:defRPr>
            </a:pPr>
            <a:r>
              <a:rPr lang="en-US" sz="1400" b="1" i="0" u="none" strike="noStrike" baseline="0">
                <a:solidFill>
                  <a:sysClr val="windowText" lastClr="000000"/>
                </a:solidFill>
                <a:effectLst/>
                <a:latin typeface="Aptos Narrow" panose="02110004020202020204"/>
                <a:ea typeface="Calibri" panose="020F0502020204030204" pitchFamily="34" charset="0"/>
                <a:cs typeface="Calibri" panose="020F0502020204030204" pitchFamily="34" charset="0"/>
              </a:rPr>
              <a:t>Geographic Distribution (Map Analysis)</a:t>
            </a:r>
          </a:p>
          <a:p>
            <a:pPr algn="ctr" rtl="0">
              <a:defRPr b="1">
                <a:solidFill>
                  <a:sysClr val="windowText" lastClr="000000"/>
                </a:solidFill>
              </a:defRPr>
            </a:pPr>
            <a:endParaRPr lang="en-US" sz="1400" b="1" i="0" u="none" strike="noStrike" baseline="0">
              <a:solidFill>
                <a:sysClr val="windowText" lastClr="000000"/>
              </a:solidFill>
              <a:latin typeface="Aptos Narrow" panose="02110004020202020204"/>
            </a:endParaRPr>
          </a:p>
        </cx:rich>
      </cx:tx>
    </cx:title>
    <cx:plotArea>
      <cx:plotAreaRegion>
        <cx:series layoutId="regionMap" uniqueId="{7776D54B-2C70-41E2-9982-779BE6E0BD6D}">
          <cx:dataLabels>
            <cx:txPr>
              <a:bodyPr spcFirstLastPara="1" vertOverflow="ellipsis" horzOverflow="overflow" wrap="square" lIns="0" tIns="0" rIns="0" bIns="0" anchor="ctr" anchorCtr="1"/>
              <a:lstStyle/>
              <a:p>
                <a:pPr algn="ctr" rtl="0">
                  <a:defRPr b="1">
                    <a:solidFill>
                      <a:sysClr val="windowText" lastClr="000000"/>
                    </a:solidFill>
                  </a:defRPr>
                </a:pPr>
                <a:endParaRPr lang="en-US" sz="850" b="1" i="0" u="none" strike="noStrike" baseline="0">
                  <a:solidFill>
                    <a:sysClr val="windowText" lastClr="000000"/>
                  </a:solidFill>
                  <a:latin typeface="Aptos Narrow" panose="02110004020202020204"/>
                </a:endParaRPr>
              </a:p>
            </cx:txPr>
            <cx:visibility seriesName="0" categoryName="0" value="1"/>
          </cx:dataLabels>
          <cx:dataId val="0"/>
          <cx:layoutPr>
            <cx:geography cultureLanguage="en-US" cultureRegion="US" attribution="Powered by Bing">
              <cx:geoCache provider="{E9337A44-BEBE-4D9F-B70C-5C5E7DAFC167}">
                <cx:binary>3HtZc9y2tu5fSeX5UgFATNy1s6sOyB40y5Is23lhyZIMggQJDuCEX39Wy0Mk72TfSiqn6uToQVY3
iCaaC2utb4D/+bD848E+3fc/LLVthn88LD//WHjf/uOnn4aH4qm+H45q89C7wX3yRw+u/sl9+mQe
nn567O9n0+ifCML0p4fivvdPy4//+id8mn5yZ+7h3hvXvBmf+vX6aRitH/7D2G8O/XD/WJsmM4Pv
zYPHP/94et+4H394arzx6+3aPv3846srfvzhp+8/59/u+YOFZfnxEeZifCQTKuOEJD/+YF2jv7wv
j1jMKY6xTD7/xF/veXFfw7zDKn648ff+6ev7v7WW55XcPz72T8MAX+T539dzX6399dCDGxt/eG4a
HuHPP14Y/dSb+x9/MINLPw+l7vAVLnbP3/mn18/8X//87g14Ct+98yIs3z+y/9/Qv0Xlv5r7+mMP
q/urAsOPCJYxjvnXAPBX8eFHCYPgQITQ5x/69daf4/NlPX82RN9N/y5K343+rQKlXP+X5g85wlKw
OMGvwoPjoxhJhGJKvuTP6/A8r+LPBufV5O9C82rsbxWY7Mn6vzB/2BEjIkYciS8BkK8CxI+wgOzh
cMlv5s/zav5sgF5N/i5Ar8b+VgHaPP6FfYcfQWQ4E9/yQ7wKDztKBCECU/olPJBenyvr5/IGa/mz
wXkx9bvQvBj5WwXmcv0LAyOh7zBMGHqdL/ER45TIRH4XCLj3nw3Ei6nfBeLFyN8qENv09us2/S00
dEBm/4MQ5PT+cWz+wgqK0VEsCYsJJq9yUxxJFscEtsiXygrI8WVufl7Hn90Vr2d/tzFeD/6t9sbZ
vXbD1wf1e7vjNYT9T7idQ3vjCYox/TUIL+A7pKsQUDvp12HI5pcxel7Nnw3Rq8nfRejV2N8qQNdm
eur/wgjRowO+QARQ4DeE8SJC/EhyRJEUX8chyV5G6PNy/myIXs/+LkavB/9XB+n3Fvf5SX1Oo1fX
/EH6mwAMAZTOuPgSJPZdqTtklwCE/2sMXwbpGyf9/fX8NgX+NvHV4v/HSe7vd59vtSa79/ebZ3Hh
BQf+z6NfyfN3U79s59+sdZ+f1/EjCBAcc0IoQy8id/igV8nwX9V8/8PxR1e/zofv5j/dD/7nH+VR
TDHGiJCEJsChBYR0fjqMiCMK+Qh8gGLGpIwFNK7G9b74+UdgC7AMCDJnHMMloHYMbjyM0CMqEEsQ
xpQlMYM/v8k7V86u2jXfHs6X1z80Y33lTOMHWAzApfbzZYfFAtsgkjIOt2IIE1gBLKF9uL8GCQmu
xv8visI4thSlK6CtebN2IRo3eesoV+0Scnkz5fkYLnHcdvF2mrBs91W3DKcon8ezaWHhAQ9tKFRT
xegyln0ypX6IolPpVt9uFlGgm7VdivJ4jEnsjxkS8ZOdwjIoPPVYngyza+NdW+fLPnH5chmPrR1S
uvoeZ1EfppO6iNcpRWx0SaZRlz9RNsdvZEs6rMaCy6ueTtSpYhyNSWctpFCdYMspx2OMVFFVwqva
xp4oTjWZ9r5ybpsTioMKtu/v8rGxJh1yLbnieTN9FHXZL+lQ9ItTxpbNhUW4jRXS6yTTvq65VN1E
8jqNkcGVKkK3Lwo8nzIX4SFj8doaVQrazptpxL5PfbR4pEbXUaREjco3QehpVHI2dlBOj3pn21VH
acv1UiuoDIPMvGnmc8FaRFQfOodSOQ0NUyMeKc1cWyybIZL2algxKjLi5ukTzdHw6aUs9WqvPLh2
7Y0uvqiB317+67J9am58//Tkz+/bZ6z469jrl7DpviTzIVlevfi37P2d/PwsSP7O4B9KXvofk3fn
6o9Pv5u4h7mfE/cgRTIhGUKCCi4RB8Xrc+ICEqUixiQhgkAKJzGgmS+JC5NggMoE0CgDtApd9Evi
JkeMQllJpBT8oJUR9kcSlySwrpeZSyQsKeFSELgRNPYYBLeXmVvWcqr6KdqLMhabwncua/xiTwle
hl092dqppWaNmqsIZUM8PuKlwllDRHOR4zo+FmtMt5OYtFUkX/tdWAJ71xaxv2gmXx/HFF6KQUy7
CkdYTXnpjWqwn3Zl4atTT+CavkrWTgkytXcBcDvkNB7mWuHIX5QOzVuC9GxVbku0a91UpEPNxl1I
YObQMsg0mhR9GlPWbPzUIrX2SfcxqfhoU2mF21Szu6qN+GiL6mQd7Rktul2Bp33BaPi4tk15B8L5
krmx8wonsMgoTP1pcIylordCVXPZpGyN7oeoltsGjeOmm10aFqk3k4saokTlfa8cSTZF2cyKtgvK
WJOcTDR5lNPYpDTMPI0DFCbL5tuchpuV1Wc4d0Q1upwzKaN1I6rEZKOVbRro3J2ChnrHBEdw62JR
UW9QNk/WqXosfMq8xBupu2Q3xvO6r+Op3Eekm9M65Hw7hokpq3OTFnqNtsRRqhpaXq0zjS66pTwp
o+oyRPmGFv5E1gFlZubw5Ukxj2pyU6xgqdWdS9r23iCpFRIYRypph+ICFY6USie1vGUJqc9aE43Z
uNatVY0pQuYWKMSB9M0mit2g8jwmTzYfhlOWR9XtsvgkHdm4PhC0JJt8gbJnGIprtY5toeJgh6t1
aB7mec3VUPo4ReUCnWTAw/Egx2RjhgWrtZuSY92Nw27QgU3K9yFotcplSWk5lBktWnszcld1ypC4
OI1oZDvVmga90SWCSDUxu0mQuY76vrmNcW9OGi3x2yUuI5aRles9XWdyt651ftEMa7eqvtRrvIvI
SN5Eep0HZblk53Vn9KlA8max9ZX2tj4xqLFnghYunb2kmdG9VmPgvcqnye9sOTUqmImtaiQy2ocy
SJ9GXRN/GMd4JMpPonobkhlvZU1mpLqGFFvS6f7Y29zve3j4aWeH/MYGOV6gcabX2CG8a/na7hvh
lklRXtDHpV+QTfEAc/w8jnuADu0ZEeNw7VrpTvhahF2TQBexTQEJV+tuPvdlmZ9VsKcu8nXpj41d
191oKrRhNg9bG/klZV3fb+aJiq2sijWta/LIKW2H3dLiftMmmCuxjH2n1lDH6DRh47wrJvhqasnd
fC95Mz42Sfw4DRW07tyw5GwuzbCNaRl4KmPvrhJORJ2Bc9Lcmqb0TuVLPrepz0d5yUda389JWx5X
cTTbVMdYM2USRDaL1frG52ExEJmObRsXd8f54OzGOTttpqLxpywkMrNjpC99vohdHzfkpB8KmoGe
Fy1qLNfmFpV9dUwKjntFl7XYDDS3ceriepq3Pm94Whb6zdpHxV0zsuHE4cl0yrZF/3as2PIxknXr
VD+YNvMcsFeKOuacih0ABxRWDLUvX1yXtUUQaFeapIdyNeKLYWzbs6ZpzSknrLiJfd1ddxbPBkpw
Qn+p+FQWqrTsYl0sfkd555Rt2HLdSbI26QCdxWT/99s2wE6eHBrcN6vw3xD3Kx/hV7T+beaXlk2P
uBDgHQKNJTGVHHDzl5aNQaBI4jgRIFJQSl627PhI4CSRiRCcYxwT6OZfejY0esDtWCQcOBmM8j/S
shn+vmVDHkkR84OKhRFPKACKly0bx0bHSc+PvTdDk1pW4Q9jk0PL7Iemv3CuLEQKpSlEJzOK/Ha0
GLawqGSvSkSbKSXFaPOUNybUKimSYI+pDGLJIjFF8Vabgl0sZO3SqI2vRjrXd/EQzapa83gbh3aQ
aY6X9rZydjjH66BzVfgoftMaxCIVQpFUl4vl/c00D8ae2D5awnmoWzKqZIrCqcjbCKd2jXj+AP24
3/IxRHvTtcKdyahA13PRxVJJXoz0KurWvtkX7YwyG5dMHJtxHnZz5MbNwGdogq4rWgDlOefvRh9H
baqxrq6RrBq4NAmqbyN6ueRcNikfEqI3jBq/86TvLpiTOMMSwDHg5w2hHWASWZ6ipMuMicimGniu
qjKQ6ypMIp0CvUS2dRuCsd6uPuBjM1exin3IhlKMaWl0lVLsvfJ5ko3NAMDcy0ZFwHaKRPKziDp7
1rXRW4rsrmamVQ3D58M44q3V0XGHSL4pUZURUsFUuRZ7yYY6Leo4USaO2XFTA56ZEqYI9jaNp+Y4
kcu9HKOToZhL1bVr1vv5rgT4eEqM3KC6c5uuai4n0p3iaWBKRtOucPZ4imSfDUOos3qgWbzyWpnK
LO/bSKyXpuin41rI4h1bK5NneWzZL3mBimNsbPU4doX52GEfbf20snQGuHE69r2+hu5ZvJGWGZ0G
JEl0qhvbr2e2pYVWBdNRrxphmrNI1Itqm6iuU9oKPaoqsLLe9k1S4S0U2f7YksYLNRq9NKnvEnE9
5FEe1GqjZoeKpv4lQhPZJwfK1s8Ae+LZsx3z81AqU6x0H5XGv0emqt6SsrKnZdQOJq3m1p/Bt7JX
01IBzgs9K1tVi7Vy6Sqp3K5jQgolkUaVWioPCVXxsj7va6OhFWM0YjXHnGmlueOqC2huVAdNLVtz
3L/nlsSp7Itlz20TPY1jP14D3xzTXJv2rM3jJVaSjNO+R25ImWZjZgsPT2JGQ5yOwwB70Dty2sy4
ufa2HM9QWy+Zpm2ZIeeqfU60vcmj0posikx0URXtcBs3zmasM0sqmZZ7p+s+Tq3LTdYz1N8AHDen
yxKGK9hE7DTwclZmXSNFgKKrYZjEBq1Vt7ELL7YIwPdTPK5BMbsk78va0seS0rE/9z2pRLHFAx0m
Ndmlr9ZbNPNp8GqJVn7KE9ltvekGFeINbUy5AzAGcHuiOu3bKnmfUwDusbUiBQG+TJOaoAyEjlgV
XdXdm6Tdxu7W1J6edni1W1uR/lLXbt0uXfmx78KNmf1JX647ov2mNGNWk+EC9f3e01bNS20uoko0
+7of2CZo0afBFN1FS8V4nhsbssj6G4h8uMY9r9KO2P60SkK0GadePDXFkJy0VJd7lq+3lI9APoq8
g9wvxkfeNPNVVYzdydSbzSybi2Ye6e1UzsUnpKf1aV6syNjSaOjDSJ+GFRDC4EQL9UCQs7yJ1nsg
YYkF2Jp3+2725Qb0gDZDvSFpAOx3DOUTCEeDiZJQ1LYhbwoDVH8gt2HhLI2EbHcyx8V27Sk/w0ay
t3oJ7XnF12Szhpm9y0nUbRm9nZOTetRXBe6TzLSd2CSjvYos8ZcCFAb4kKI4IzrptnRGc1axuH7D
7cQuZi+iN46M7d5BaFJtp3wP+FlfQk8DQaSy45RWIo6VGIV+1yey308hmjLRrPQNXZt5W0wiuXSB
hlXlBIebcsLVpmsKu4unBA3KE5S/NW2L035Zk20H22xH51IDWdHVcVzr6IT0y3ISN75KcaUz3bg0
8aLYFDOvoehRmuKiik6o9PwS88jtIsDzxneLKvDyOJa+UnNh9kNV7qY5viytvq31ch4B8j4NI1AV
CfxkZ7DrUr8UWOllKLYtSto0r2S5EdSPWxGhBYSftt2UYYREj4IZlGiGeU/WpExlMa1Zxyq9GXV5
p3OWpKIcxFuxtieUQRInzZr5KO+dmvVhKzKi+6wJvN3Ow1BX0HOjAafNVIrTuu95DnoZWvILM+Na
ZI7pvFfDvE5RBlsMf2RiqY/LxlTJsSlyZu5wR8NuzF0n06nT04YBtN51E6vScl4GYLZEHqNpDWcT
W2Z3u4jI1Jsi6S1XutWeZHhYkwToHNP+RhfUPdY492/4Yuz16LUXwP1RV6dzafNSVZUvK1WN7TTv
AzCzIePlGN/LUsrzummsop6JJz7lukhDCblwYapDbwHuXaQrGbqQJn08HI9tkiPFurbBAE7gdBrU
jCg/6Zeho4rGhSaqrovAVIsr1qq2rOMPE8iW/dYOa10Bf4V9sMd5qe+dWIDwRybBWQXV2qkAhf5y
qqU8XUDg2FOJpVGxARqQYzNc4T48RlV10xV8atN4pcVHNDnm1QRqZb+D/SSvLdLFfi1yBw3VhDZb
F9ELlVPUVNuE+1XJukTt2dJqm7kApG5uubjNF5AhTp0X7j6vWW7U4kfQ42xrLxY2AINmVquGxE2u
0FxUowpNPae5deWezHTdI+2jdwAZq32UzMXdTMXwjgTTXE1Nb06LMiwbchAM/Bz7O7Qir8oW0cwL
YOo7Uy98w9Yhfiz9UB2vB61ihmveoqoaT5aDpqEP6kail32ERrRtnffBqP/7FOGLLE9A5fp9kvDB
ffx2/O+FFn+Y9IUfkCMQJRIMeP5wlIN+owfgu4jDqcNEADlIBILTH18FPTg5BdofiGygj5MEdPyX
7ACMGg5sA1NMBcj7f4QegCL2WtGLEViocDzrsBIQHcEWeE0P5lI2zlsJCC4GVWbsJ/vRlYZlvrM2
qzQDKUAe9nWumau24Xm7iyWCrR8OWeCFx2mibQGIENJjfs6UCmqGV6FtAPm1KxByEHHuWhH/klM/
XNFDws2hTozycPJyPx4SshGDvyyfszQmRQ6i4SF522HV93nZTWJfIAIpNj5nurco/uBzAvnfPNcC
9lwXhucasR7KRftcOfxUtfiilkuEVLtGwzGf6z6krM6L1AhQ/Y9jPprpQjxXJXYoUM2hVCWHogWM
Kr5Hz5UMrYmf9/a5wi3P1a6vhr5Ocx5BFeRutNd11Y1vaNe0j/i5XpLn2lk811E/FTVXGFpXvRGa
ru62qmQ4o1Muj6tDKTYoAS5wKM+irUF/eK7ZS4jCrpsbae6maLHJMT8UeLgF+TiM6xyBeBagA5TP
3SA8d4bmuUv0bBCn3cAgMJqWTZW6Q0vhh+YyF6NnGwDQ4e3UBV6pOhnHbbxKnJpm4Dsyz0CVBg3l
BFTXjBVeQs1ti8xMeP6l74A10AoEUSeaNyBemWMyTWwPLQWdFx43J6YJ68ncEpNpzwE3OtdXtzY0
q0rcweCQvD22+ZKozvRdiuwKhkvZf0L1WAIqBCIarMPVuY4DtmlOhF62wOFzvI+0nNcKREUTiVNw
/Jf+zdQ2XXxPejcHqLJE18tVCDVbWkXCsBZQXSuQfn9Zhpm0Wa5B1L2ZFgR/t21oZdpGXL9Popq0
GwIbR9eKDQW6hTodH8cONy2QqJ7uypA4o5ImgiqPdJ7QTZhRK7aoZNMJt4V7mDtRMjUVusXKJjO/
4TUjJwMpZGo17AUVREFv+yivz+Y1DkhFtp7uyISmOuM4pqeOilmBwUTfAq6RD5wHd1mbtb4WjK/H
OWbdlQZh53J2etZb8Ac44K5puSfaQH8pVlJqVRoyGMWcoe+M68kDMMT5RKwAsetm6VMOGl2bWTkl
2zgp8fskmWu/sXRurxYvq7fC6SW1gTabpBnolauagz6Qx2u1mwWxH2tgehcEAFg4GeMmblViwpy1
K2Cde7RGWg0SXMIrY8oR6C0YU0tfijNrJhs2K+n699oloG5HwgCpqxAuQNv3a5rPkd1CeJftouko
9oF0RKeSaETSGnP9yTY0blRRFPoe9LAOuiMV3mXRSssL3vtSp+Wy2A+h4nEE7Vvzq3hxt3FU8bCx
B7m1JSs7z5812Pwgx3bPyiydB4ezGZzTO83NGrb1QdAdAfCaFGDU/NZWQMG3NjEoZPFBJAZvrOl2
ujWmSpODvgwVehrSbq0LVa+Lk1mMqmlQ9KBbTyGnQxo8eG3rqNFdfZC6/3g3Pf96FP+1KfbsZf3q
mP0vddMeXp5r/3ro47l9Hqzq3++2384M/CrHQUH91mqfpTgMHvXBHwOXClrqZymOQK+V8G6CxeE4
EPTVl81WSsYPHRrBUVj5QoqjR0SAWX2Q6ZLD+QeY9dUqfOVlwn9z+PL6pe8Nlv73zRZOjFFGOdwP
IwG+8OtmK+xAaDnmyk6laZfdiqCbqJg4lBwHi1Z5AQJHA+hwAmx8PkJv9VnsbT8cl3qRFZBjDqLy
Qnh/K8bGDFlbzXq+TBwDySRipiNG6bFD8qSFalwmihJCrIMZFYoBzh9M865GkdlWRPTlXkAesbRF
pePnFHIZHHntIlBJDBqZqn20YuU4nBBIp6UUJSBx7BrFY0wXNVhXeTUOVXxOWRH9EiLDmerGGVnF
mFjP6ZDoX6rSxGUa1wT89IbXUCJdTXNwvebKWFVJLdo9jXxRK1rNdUjLnJQGBJoy6bOVL75TRSlm
0MiAoIOeOIGUsuHItA58ECC0e9pQ+z4RFbmgQFDwxmurL/vgk/sCS/beaS8f25wkfTqsbDSq6Iep
gqwcMX+fE7jlO407z1RJQRY4X4lN6pN5quykGkdykY0MUXlMbbO6mziU3GehDTOofSIkQypaIcMG
TUUOejsb5Z1zQ4xvmCvGcM7KfjxLeC4XiGFk20aZYQwnFnj9cDkMObLHpBylVy0n1Snh8eKVG+bl
faNzOW67RBbgHE1Lk9+5opzodk6iot4PedHHoCl1ZbzpzNB97NfGgTzVSfFQ8AaQDSIrvZtr5j8g
4yO2wQBcdqPs2i4t2kY+DDm05aycDWijfajYnCJcOzD9JKuRklL3pyVjoOFiPq5s25dcrGlFzWAV
WvkkFBz9iEW6YFjWjg0cbKQe7LW9d1H0WEyRmdUyG3OK86G4jkB1/gSw+K03uoWTCwNg3dR62bbK
ltLcjLNrDDygqttai5c4jULfR4oHEr8jDtxjVVFUr0qsjF2PdCqJmsoR6dSAPtOCusSTCDSEeQA7
bKmX90vDY5Qu3dg8EB+Z/uAT4VoFzsKbznIGa8PY1FsSOxBbbTOFKo0T1D8VpM4fQBZvLgGt449Q
+Uu7HbRbZjWKrpkyoK6sgt9m/kVC5ncKqBLpdznKR8AKaxI7NS5NuKcRay+nmI1adV2/BFVNTnoQ
cEAAULLoXFAFMaU7IR74rjKIOJNqYIGzggMuK1LEBBze20rnD/UMFABOqjjSnDI56ha2bt0ON40m
tMhEDnKLmjyprnDJyHW+ttUZjoLPs6Kv0GMHZ0YCKPQczngMUynfl0zzN5775L0TwjZqarEwxw5O
qrjjYrb1ZWcdqJm1JTmFlBNlC6KK1E8AZpFWrO8kgsE5kHTo5AqIKXazTnNowW/nQhcJlLIijG9L
Z/WHsTzEJ7GloWoFnI8yvs5Q+kA9IACU+OKsKmLZQZHCujtPZFm/RQTutslFud6FdY4L4OpDD8iZ
87G67hfa59BmI15luQzgupKim3eccOY3uueL3bBy7td07BzVWQwwCxKq4z0Cr5laAHF5rQdQKMDK
UVEyxm1GG1zXWQt2GdrC4STAjNpVh2+XmAhQBnVTB993MudDBMaPcpgnFeB42eaZ7GPwzlcRTR8i
JNyHmnZgWcxz1E4qAhQzZ34xcVB2lGsJv7VfFBcDv7RDM38cpO9P20UHC+Y4azzYJe3SZgOn8TVs
2AVv1ry2idKUFvPGrB23GfifIIO2kHCNiuPgQR+gAMZAFJLlvBEgQxWXz7J7X40VHDQC9HxtunoC
ASUP47YhHdTkjkIIJCjj9cHGHerzPPDGnfralrXq1hKsjZciu8xrn2x4Xje/GNnBpvg3kZ21vOCZ
9dDvYFsv5oMxyIwpeEtIZgmk2i2l3IPSm8fuJK8JHjaVliDqglKdHzhiQAg0bTuCt9kRJpWPaq8h
SW3UZVY7UNRcSeo7MxR5kwmPGFYd/FpTtKD2jhiXRGk/Al5TEzCSIrVNzT4Uvqj0F2Gbl6HYdLgt
WoWFALcbUB0cIEG4/CBZzlFzDHCQzfNdzmtIaMWLHj/Ovm4uxhBMBe5JEMdsqOpplxtSfSoXYi8Y
SK1vSWTCBzuS/qGIoBamq3P8EQ9jlKvVIXS3uDJZVTz07hPVrNgtQbhTi0P4xWAyngPwBWcWSDQY
Nm1X9i7rOgv40nQOXx8co3eclRrwpXBVArJ1EO/zLp6dAtwarisThU9V5KeTz6prb6jfzRaUyPRZ
XaUEOARYeAgDOelJVyjUFQ6OPxQTPmajgD0zzhU4OQGSBgSwcYaTHI2Z+G2lI1Sl1X+Td2bLdeNa
k36VfgE6ABIkiFuSe9IsS7Is3yDkQSABcABJcHr6zm3XYLujTkfddf/nrirsbU2bwFqZX6Z6yafM
YmOH/qtV5wssXdgKfix71pVfhiUwaba4LmJ5bO2a3v/Y24YqiaKbAblSlf+xty26qQXFHT9V0asR
ZCzxwm2k/vLXxS2ZfXqlBJ3MVaKCSeNmwZLbPCa2Gk0xp5rhPWD4Io/eBD2ZM6FqQk9rEFty368O
eyxnva0LxG5EU2At6K5TCKD2shlLcBV80/QLT9U8f6XrqtxVa6UNQLNVNU4mK3xVrLOR0fmV6wbb
sYw+KxtoeEZkrQeJo4jJsXC+krLYwNjJE3ZxXz4n2xgwAHJDox/HdWraApoo0UdZzdgwsgSnPM3r
eMU3Rozhih/7NkzyE9C6IdrBGRLs2Po25W02CTuxFAeXFa7Z93E8kW9wPfDJB2kUksOa6GDeCvh6
bMTamNYsvRLVKNe3USzE3Aw4IPr9GNVpf10Z1fbXkhgtTjBa6RbvaswWy1xspCF2X86d55fK6EiB
OlKtugonZtXntg9gCZTjQvBj0nE95hWT+ERhBcv5uEjPoiWrFxWxrx5Kpr1QZlrNHQdBuuU9xung
0AxuJBeyWyfs+Sveu0frApfsHdmMzfE2bSMwTklFPwxkC6uDwhYN4aWq4uUpnXSTwu2MZ+ASOnSO
vwByoR8XGSzhoU69fCM+jZJDY3Sy4pQwK0RhSYjG6o83czFOtR/3KWSj8QhT0awnfM+Nz1cyVUOe
9NpBa8LBYyGdhv5bgDH6Ol0k/wSHgvA9TWFk7mk/DOEhws687uamamC/cCq3vI0TFRfbxqsU37Sp
venSIYh2q6eky1sYfuoqwBdmcx5EFHowRu0FxjJ3n3EmVH4fT0MKjYKSioFJmaf0duQejzlNbdTu
GMYOh2nNqwj3e+j8LgGS9+awXmKCF1WD+dtsLtolHssy4KTSSMgIfLGYQabRHjAgsD5z8YLnTYoY
px60a/nEBGyzDI+qe2wZpum9X/kY5/08Y1WtsYInu45X+n3Xr+VbEyba5HY6e1tiYevl2MnaZQNG
6rFoG84UyInBt9ngkllkvQCgekFLhW9xz0n5HNAOjpZPlCH5GPW6zpvYG4wqzpDyLvK98qcGYsWC
8Xb17SWbLaQlqOorSLk50M1RANHluWn0xqC+e9Ncu6VPyqy1qQthxrXrGegBWQPglU9VrlsKRSwg
+ClkvExMvGNQ38vc4B+zBYEJLfORQbWDML42PlfzsPJi1uW8ZmQQ8xewBhZT9FC237DlW7FzsoGZ
2MGOXvvCqQDLxQpSZyu2hA7tlruWT6nPIwhdvcnaafSLg47POzrtsXaI2BYQf8JYZs0SgZ5bV/DA
uTEN57cpznx5sTWj7m94Xy/6mcfz4mXe9JGmXd5j+GePGD11hAGh7+pxy//L9INf0hy/6Ac/UPoQ
Ovc/qwifXuu31/71f/2S3f9ZvMerf4j3/B1g2zgRuLIg1adp8peigGgL0pvQ7REVhEoACf1nRQEk
CHSGCNmWEPmkX+R7AEKMAsYNOY9T4Pf/QlHA5/K7opAg4JTgg4RpGgKp/43uGfGWjnGM79cO4mSm
dTLBrcfCMWVlMIErTIZAYKPwTGTLqoCXl42xF8AFQYI0hnkwjwOQAImhuopkmMW6oi+GgMXJWM2X
iwmweJNLMPZY7slKv5nKrQ8CT/NebfivIRj7qyTywH8jwo9uWtR1CmSRgo5Pol3ZC36ZNim7E5Kl
qihDDRIeQGh1FAvXsBt9yPJ5oGbJaZ2QfbOK6oJpy8ICG3+izpKvf8GyysCiEqv2dTt+JSlI9mxM
Ce8Oa01bnTWOQUIXpKxP3EwY5KWuCw3PZdjJgFVXGNywvhoakr0yTF9jPpV3eAxbAaikql672k+f
xmbsDNwBA9SoNO6rgrfwNuKEzSgGVOxocVl048xPTCT+XuH8iXIAT1jx2JTKggxjfIUrazyyuWzr
S2D10d0EE/1ags4JDiJYY3cMpoVXwEZcVT0PY5R89ixRn+mMizXBkRpmFjd8WOi1GkA+jC5ZcqAA
wQcKc+S01bhYdoB91ZdQxvwmNXN1Eu3YPLQhH/Kq1dORePzMMdu1Gjv2CIXCHCoRCJFraof3Nef1
W8U7F13boPTfqlBgPunoJsedD8xwS5ib8jlIlp0Ai37dGrZdRVEQHMCrhSvQjwUkUkWm8QK35nKn
q7neVYtqVNZ14/gYlTwac7/K5rZ3DXlcvcQ4Vq7TZj9XzqRfyngkV30aYZFvZ58IWK8zPoO6Fz09
WarOu6r0HCBDO7bjfihV9LY2TfkosHI+tsGy9lmfbnMJCgr7wm5zqppzbdvwXiPq4PdSQv7J+GD5
V8MtK/eBkfppms8COaCm5IEbhg9b9WZ6BEwGB3jFnD8UfUt9f1HKZPwwTLQMCqx/c5MH4SyXvIxq
cqfHLbG5l2szHZqtMc/45nUBGNqGamjZGFRfojHZ0qsOQpfPdLPBssbV2l/IQOH68wQ47d5BWFJA
PVvZ75jx6Vw0roUB5oBt5vjAlkEl2EqgWGGr7seylHdqqUo8OyRS6UWzGQW3SfYYrge+fJ0Cmx6B
kvS5TNtJFlCyoyMcLzg+Fm/wDOJJcqc1bObdFswriOBtAU4L21Hfwijx15Wo5ZumZssnNpkpS/p6
eIpaP1e7sZXTvoza7rJnDDJPypseWnkLfjoJXXoZtbIGpc0HloELp08979bTunUc8AO+kKSYcMsO
GZ6D9gVvLn3jS2ZYQf1cu2KkatPFLOYREZqN1bmqRTuBlFexecC9vLSHDs/+89aW3Y73izrGjqkU
r/iObidb43eR2XoCbj3WUOo4jjTN4BJhskN7ytTF6iPl4QKwWsfBhi+5s/NhXCQe8S6oTyZEbU2u
GSAdUw3T3b+/Yf8f1d7/b3fn+ZL557vzl+6Gn1T4H/fu+bU/bs7kHYepHGFSgcjMKDjHP7V4hl4D
ngqsnixhKYvO+v0fxjcSvRDZQ8Gh0kWUnINmf2Kx8TtC8VcRjIFfHQkQMv/m5qQxANufoywIoSW4
TvHv8BATNIoWftXiI6z0A3PV2c6pbyIjxFtIVjYjmTGPUwYKDzGS0QxEwi+dQ4gUwOkf+o3KpTCD
wM5P9PQxDkckvmzbGcyvQTx9bZu4bLHOD9XrhBgZ1F1QQMOFRngBss1ggyBTeu0eR4N3ZiaDAGff
RsePm0mHGbR/4p4a5tVe8HpucbglU50DykgNqNVavlZJWNJd1cjxSoUB57nscDflSy+wU1Idmat2
YtCTyl51zQFrnLwOIKfhjOupK/NlCLd0R1eDzXqNo9RnCAliRdhAQpxMNwUARoOUXLTaJmFR15MG
YuQBee2IrMomnyfANAcZb6Y/jCZw9zGmE6g1Q8PDfaj0gm8TkmUfw7kFz0qxTNL9GrZnbanxA9Ba
SPM0D4Ox+6ZWPvV53awzvuVypbs4AA9R0LhZ5M676mUAGAHLeJSVyJKm9keCfXRBeg1qNRBHg9HY
Jdjldtiwog35lkrMeWMgDe6st4HPhnj96PDgY9cwIuiuSm94kuFTakpEg9agg484QjVgfMs8SIG3
eXBVW2yzxufeldxFN6MC9Qu9pezyQTfkxCV+LB/x2czvBxNuX8Kkji4X5eBcTH5oXtQQ0mv4ncMG
+w9xkTwKyunRObHpbFIieegU8oq7MOz4CynFeFI+YZflAjjyAHOIf9WSfG5xY7a7PonmIjIJ7QoH
xcLl2xpxhaVydJ+bStgu04mOry1nBs4CvK9Pq5Irvxwg2VQ3Q5fQNxP7Idq33SYazBb8vFwJ4SnW
qg6ZkHQL24OrAmRK+rLEH2IHAZed8BqyrWHt6ceusoIeKPM4bjg2qG3RQWZnCrqT6SowpxSicJMb
gjBFrtY43PDSKPogpmEEGwuI7Owi1LjrlUUgc0fL5TbRSQSgBgfQH9m+X5y2v4zNH4HTv/73/7vU
4DnxDuH6P520vzVM/X3W/vXaP3cURAxwVKY4NykV4IL+PGlRMIM/wo5yTtuG8OV+PmlTQgX+JZom
FGdgiMVm+JH2jd9hp8E/lmLCI9h62L86aPlvpifgonMDUYqIxPmjxL8ftNouden7OK/tMR4qiAmC
qakI4tF9SxqrDnIl4snZ0VyEfg7utrIrcxHpewx9K4bK5JEttMYJlugyZyW0E6SRo2zuYNNleuuf
VNOsuStdf2H12sIfTcVwOQKwM1nkYetBq5jKw+ZrclMGiF+1E9K4AbQ9en7K69tgjN8gKJefOXD6
F5wVJLe1CS+3buWnyAbbUVKqd4Nww66yMySpGSwwvpfdvoN+vCs56PIOJuQuIu0EwLjCp7c0Kfms
SniwcxV/VtOwfWMo5dpDgU4e6dKGO6EI3Bu7keVq1Am5XIVSJxIv0Z6303A1ST8WYwyO1AvicmfM
soOrph7Yura7CAhxmfUmASsLCXzXNh09InghnkjN2Mded20RxpOH/dWPGWkEx+PYlkplVdwMt4oK
f1vBY7s1XdM+NJiTv0BxuR3TlOHLI/Zouh4b4zQQgDI9tOPJDCrjPfxAV8fsylcs3ivd4X9nHB12
7sNTWff1R5UglgApRBZiXOJ9LZb+aiaYg+cUMchEmsYgxegnnByAulJWxxc9DtEPOsVBGEbr8NSD
53ktGw/D05nokMi5/LJA64xxvyXlRQhtv3BbuV6WbdLNiFO223WUSiOzOIhhxaXIRO+ghbodqWfe
FAN4y0NrOmh5XLILQMblej2X03hpXJx87Llyn5MFUbW+26tgkzSfu23c0Wksd1535oT9sD5NDVX3
ZPLqYUSgyxQpCmNUFpXbeJu6rdtjYk+Pfna6iKs23i2AYp6qCpq+aXuPd+AWP4tgro7jOrfFhD6G
I+Wtv6WOhwc3LuMlt7b/GoJ1vdhi5b/iFh2ajANY3iMHFx+xMcEUwFpyaKUJ35PWIuDHjQMYC1hc
BZDcciij4r8I24z+owT0S0fL30crBh2clOz82h+HK3uHvgPUD54loDMgyf8SgMJ3HPFslGKwOAVE
iRTXT2Ms/nqM1gxEuM4FXimoyj8O1+RdhD/D4Yo/xseBYfBvTtcEB/jPUyxOfMhMOMNZEqZRHJ6D
5D+nu8agmxfk+XIXE9gtsAL9dbO1AdSRSHmz6+I5PUk1X6FLQbEcKyE4skG5dccoCGhc7uQGaqq5
ipGZ3E/IW0OvlAL6LE6V8vuERWo4HTbCm3jCmzITvQClnMbwy9/PBEjg+0jC8n8izRmT13oO82mS
7BoB7KXMlohDSaibbRjx8NcNRAMxvIxInGLIUP1yE9BkhpyUsgbmEzDR3bk0Ys2sg+eRr/OE2Itd
AigKQ92WHxj24iifMcetRUOi5JYhxLlPRtJ+nVQU8Lz0cBzwzBGNqa9K7Jvo3aXv9BpdQYkY1kdk
00Rz+7Oei7TMnOZ17+rkpsTcFN1sU7r4HEZzYA7dFEf9R9sJXR8g7Sfzzf/80eWPZ4ThTf3Pa+JP
PXL/x9N1fuVfSyKGjwT7HnKQYJ0J3t8/gC2se3jYQHfSJP4tO8nfxech5/xIYnHD+IKH9e/RhQHM
RT4O0ioeB4xC/0JeZfS3JRGzS4ymEkSZMGCh+yD+bUkc1042qLrIbR/WF3Ebbtd9DOQqq2burkib
tE921fWlm79gSUMQkgOfd0itQSVRBAx1aK6FRQI9k1GPt7VLq24frsN0bIdtfMG0MmFqGOInL6Zo
OhNXFW7oCfIIno7zPqNFTYEmGMgXcxCuh/77xoOOuhkwbFUC0un62V8u1bIh0R0OD16FLc8YbKST
nNOyLlI/0Z1q/XqEIVK/tFG8IdCYUFFEaZAUPaIFG0wq0xU9VrLbCNPUpatduqv7Fe6V7DCqRfNc
6BLGIrx48iBpG1/GaAlGa8CmrhI6dqRQiI3snUMqiqNCZl+mEJARyKYnmc7EFz0KGZ47VfKCeTZe
suAM6eChKvNurug3wTa5ryq5jFdR1fOtsLBsPgKrqhCrouKhTGJEstzaqgEnQSV28ZDKC6TnNToN
as4+BqxE50DtjLibpqWab6agNkiW0iX4hEkMCEYfJabPWySvbhoczQdguxFWb0aXQ1nyHd/i5iYO
CMUHsGfzSladuPdBMF5aoKgXTRun+D5BRr7Ylr5b8mRGVDAMRIL0WLhMLcamqF8L7e3ymZKtegI9
LABq8YHLQiMOO+yHzW+oKKD+BLWEXFJx9t2rtcuhGdKMtmzYdQwNEWuA/hhMeO5D6bAJTnGrc2u7
ENCxWUFcreGNHHFgVhJvi3pZjg1pvkJQANDjkdEc2i45VJ6H+WKb9JIN0t4kMbMGXRM8OAG63m4h
aDxxp6/izdWZb1hy6WwMU2us6Y5UUuNL3YBxANU/SINWj4mKu3YtCd6caXjTdL48tuBrbxtsD6+Q
Bj6EJWCwcmD3zhEDSA0BmjjeSmgIzSfkiEwWlOZMOY9H2ZLu1ap5A7bldR4DWftcpmBliQZpsI6o
3Xjwekgeqk5eoNkmOZ1F0QJfp9klToCAsxLU7Tgx+t4FInr0foveo6tmOogwTt43VbXeRZ0SV1tt
oW0YYssrxNZwe0yIi2U+mdIj0ML4eqGmOfBVf5NeRmMR8uqxF0N4t2wEVyXTUb4NkuXLvMEo5fDg
UouBqx5W4D+JbwAxTvF1KBwtkP5xuzipr0MVW5gabQephZGdt2V4F85mPUakQb1PVqq6u6xgptgM
SHcEAtBOBbjr6ltQi2avIDo8sHENP4In4l/AEYtHVCytgCVWdhuy9ZOqx5Nn3Q4kPWkzzoblBlkr
xC/E5NKXoE/ngxrwtpjqbULIk+1UORwrOnxCbBT5yeUzb4cdF4EqyKjop6Hv1j2etQJX+9MYQF+Y
5dcIhUoIUG27WGI/y1Kv0z0Bi1esPrrrwzTOVt5+9LwCrz+M9c7OEhRr0g/51G8IgdPmja6j2iFV
2ealDqYTIoIX2GouJzi8Vwgdp4VnYSaxSwEibS8W1AijKSK6g/92waryWweEPh9n9DXYIVF5PQ/m
Djxkgz1kvBkMwsQl9J9jX6WXUzA1u4nbh3WUpw6kIxnsB7vCDBH1JZRidzUINGgQ2kNXb/uXuAT4
pVQaZW1H97FZd0Rve0QR7pHIjjLXr3u6rflMmiYvy/TN2JS/b6QKCu7iC0nt64z+mWhg0IW2EYte
kAwwnhaa1ZXYw0J85M0TX8YHDDpxLkK4x0OXPvix/uTtvI+Z2y6SZrvDFrFf4uoCgEHhjXpCngBc
sMSjDqYgRkR0Egh7xdXBIof+HNZxhtWBfw24xL8qygjzD7hB07EbOmvIRWrin4IEy8Uyl5+mtF/i
bGiXts5supjLks/qgkXruDMLDQ5IqEtUqTh2rQw8l1yndo/Lke2Rsq5eUaY15g4EVw58xO7kLNi+
iyVS9hJQjQ7K9IbPABHCxiERpOi2W+IQwlkXw5TxygCLsx4uoIyv3NTy3ZICjor19lDLeg+OiuT1
2o830tK1iFi/c5s4hnUAshM4bKGsLHc9NvcDHSJMo/V00fSrxdY/rwd4Imkh+zF8HwUN8JoxDrsM
+JfIEZvTxeZm8rpW6/xe+TQespkTGQD9nbaoGMaJgOMSFcceK0Xeflf4FObel0DCHlNDEnyC829O
EK2bW818EVSQtTwUwgtIeNVhDWh/+J8//vHz7kIgzP/z8PdrRenf899fL/0x/aXvUJgRU9iwCUR4
mOkYr35Mf8k77Fz8XJwB9Qq0PsXW9Wc27lyqgbVBRBj9ElyUf1sEAjMjAcgvaMwSOAjpv6rOiKLf
qjPQih0RRlHJg8I8OBjfLYSfeupCQB/N5te9Q4fD3UaU+ERTiGbZsKSNRC2USNqTRqtMbmLmg5sK
Ou89WCCrs9E1gclUjSA4q6jLdUxTlS+xr/vc1UBNgXb2oMmx1NFbTDTdLQvIcEZa/HGziI6AgHa4
sWtRT9i8Go6TFBVZ40NAt+ATMTV/MstSPsQNLOx7xyzUjtCvzc0mMDPkVe/HA2NrGReYjsqnUaPd
AD05RhwjGkBfmxHggxCTbqdysMORd8g5M76S6oDwTVTuMW8hlCQ0TXAV9DP/qBHkRa9XQPql0LGE
qFa1Ed31eCSuwpraD0vn2jkH1VsPgGKC6GaO1xDctpxwmZJhjYLTxtR2s7TG7roGgreRtjxJ0tGi
4q27RAsI/TB3agY6wHmUjbNJ+ZFzf46RzfwhsAuvIe6ZqrsEodM8bGEAWbALiX2ZWmEeU5jqe0Nk
/56I2gOv9aqoyEymw0TMuocv7Z8tgaADVafG/etiJApI0F+DpCtv62ir7lbkK8ZsBXAz7BBIsqDZ
8DCcIlKjuQMK7DPeqvObnHz7XMmpKSDUQ6ZaovWDCwPElgd4HdO+q1d93IxrXhEK3NQu4l1CENGy
7kaA/HmBMYQpf0uSm1jx9FxeyJc94Hl9LR1Y057T+Ytsou0kpDYf7NjE0Amp5LemAbXQ6HCSh5qj
zaUAltynBWxvdlExxb+hUjB5i7dATAW2dZSDlEjPCeC5o/4Cp9VPgKDDoDj7VUiBdylKBLwWMGDm
0YoctRZFEnRgQjtAfCekIDp8BysfPk5yau90Wg79vgHPlg2RBS9ry4UcRjD1zTFuuv4jpjuUrnGr
L4EMrkDbE7eEiHPFyVMruAbh0cISBC8O8COcVlsd6XnoabTGhWtDHXyiioBHPIMjA25m6LNnnATV
SfxYbQ3SCmfYBCf28iDPAIpJxfJQBdgfQtGAT5m/sypqWpcL+51gsbDw75QVJdBrvKmtd0BdaiJ1
3pwBGItA9QUwUFAx1nQAaylk3yivzuAMRFfgr8GiwdNQGO8E3yNXfYjOz5hqcB4UyHzz6yWh7sMS
TCw3VLx1rSlfmcAQnkUMvzElH6sKNZdRurV+v9Bwynxdz4e10gPmUhnEH8E627ZY0fj0YYg79jwP
KXvflchpAHxBYLMc1+YW5Sgwu8RS8W8VzMFzShOZCTiHCNmK3ow3Uw10+rAuKz4YmZrtOojn8pVo
Ru4M3E2dAWxGf5nW7mTLhF05SEBdFngZNAB+ZHLfRqjPKZAfENUO8GOQg2x2d1Uqxpt41NiD0O6w
5Zi0gpOG9gIqcBNLkW6rKcZVmG88cpCWQV3OB5ky0OdDz8M6X+NlWPdnCvHkQPb3O7zDzA1hOnwk
JdpxMm3Sri6s2ADmz8AI3lOfzMcgSVuosOFc5RI/tzs1IZ3StWwp83FFm8uGujcw5Ch/0+gh0ssq
97JP4CkAplWvqOFrUdrRSI1uj3RhOXCgbiygQbD9hpbSZ0eCJQVPLSLo2ikSSjnOsuZprHFAZISP
wGYmVtfDI62ioEg7Z17aypaFTNZh77tGQnDa5qdUBSgsLaX3t86gjPVK1D0LdqgfpNcE1pzODZIZ
fD8QgsBOPaJw79g34friKslADKKn4yqibYWCvc3hJxmiviO6BCWlJ+AOaxWBylLxN3QytXejrewJ
n+qE5CwnyFXMoLh2KFnzZ2qod4cR3KooFpxkLY55zrrnQKkS2YwI7RLNake3S1FW5o8zWlYBUaXN
gg0gLisUJqRhOeSmHqc3uKWqvOIIA9BDWaeThYSOurP/gpnnT1kYY8h/mnp+/3VAPyGFEV76Y+oR
UIAxWEAbJkgkQsD6y67jCCmighczD7o/8YttItiDf049CDBCaIakDKkZInT8t6KMvrAYgnV8dvkA
NHA4ef9C8wrPROPPkvLZrKNgIyLMVzH6BX6fevoAaUGonodWb2i6jPB5Yu86zwCotmgvZbKU6PtT
TYcOI76E2KXkJjPu6GuJPi64/hUhb2OKGsPDug2XjttzsM1pd6NxBQ9H7NriZqtG7HVimezzMqDS
94TM0/nxnvunrdUS8HRcV89KBZV+EEOktxz1OhB9/TSEh4S2wcHinbll2qG8agQodhyjoTIFinaW
3YbrH3yDDYa2YCroD2JYMX0xbFjXnFedzdcO0q5V+IKylmCFpmUFktCjbcVWy3wRohVN4vCf/B1n
Z7yYVUhgZwrQ+s2AOege84QtShzYr6rTyVupB/fNNJsd9w7n3/1gCTLuAUUPDogLoAiWBsn9gKuX
7hsWN0eHmk6TWSz6O8jb7GvkFrQhqsrhwyJdZ548SzH3kcYtV7go0Uuou22PPjn2JU5t8iyQb3FZ
HA70qjUEX2zMK6DWlgCRJiNO4alaP4HfJsvlhIDfWnBi5D38LwiGfsPcA1Bqek5QqvZiwQvkVKOm
FZd+92Z1f17Kw+Y0t1bfbqRPb1Ml67sQebTjhg6hzHkAl66cECkJpondqnBK0Ogz1veYeeKjA4B5
iwwXfup+48MrpFw9ZkldmSfTpOY5UcPyJCaRHjY2xF8jM0Kta1S8ZzEOxgzNl+obQAaF8OWiwicb
205mrbARO3R4ZJ6QZU+fNOohPoJK11eDipBkgzvjMcDMEldN4+pyhxLY6RKxMXPsALP4C8EdQTgo
RX9U2M/ldeykPnYq6W5r31PU1krdRFmI4Orz2Jg0L9M1ukc8Rnw2mADZvuma8NNUTuZr6KvgM1pY
+Fua6PWIVBraVTZmUcI50efOpPR2jkuGaqV2vZmHpX2Z4wVNT/MGTmeK1PW4aN3m5OxG4p6NUoiZ
KxieoWrnZ45vGcvcSOk9KH8oZkkzsk/DiOVYJar3KBVtmg8QqpMP1ONQLzuCGjGdmG9+RXNlimvn
bk4SVaRAQx85HdP3UzdET0yNvS6CEvCNCJNLDIXda4QCsdsqwKqHcg9EJjKGKkrIcGHUPiOAIYEC
3bNuHW/QFI0ysqRuL6atZ7elWNIjnMrt5M6Tqmecn+akM9fDeY4VHYF8lGjLbzRCWAjvR5h4h8nd
IJeIMZgMnqhdg2rB1/Y8J6ODxmBk/j4+T+dJGv4u25fn6VqiIOgZSer5rdeDeA7PUzjIeMzj30fz
5fuY7oIEI7s9T+/U6vI2PE/0tVZsP34f88154k/Os78+azvl94WgPe8Gc2Ls9erT7g6/nsDtUfZt
HtF7U780dsJigTu/eZi/rxvy++rRBhoVEqkLMpCYCT+q85aCERkLi1Uj/VCetxiUlEAOFEKd2vOO
M5+3HeQBV+ShqjA4Jd/XIfDRWI3C85ZEpcDCNH9fnuh5j6pQkbZBm8GK9d8gNfA44ljL//nSvf39
d++c71ygJj9e96eHG3//DXJwmYAVQhqAzfNDZzjXAiTibPOglRhD2tlK+uPGFfidZufGgASMIFoz
0QLwl8vEoU4Q0InY+FCOCI7/X6GI0bkG9NcbF58TPhIq9nG3hyz9zWVq0TcbozMvZ06Y6w1v4CZX
ISZ7LGo2uUfpnESXB4I5uXGa7xMyVm/CAasOaKT3kMD0PkYUJm8DIvdDNfd5M3CyN5LKK+6X/03e
mS3HjWRb9lf6B5CG2YHXCMTAIIMzJVIvMIkUMc+AY/j6Xg4NOVSqrqXdfuqseiiVMcmkyAjH8bP3
XjtvgYCg8rAZJO07meSOucxWGfcdzqPj4nndo8MD7t2XvOjA2/Hhss0/2plVHL2oZNxMfDs9GT3X
v0xGzi0nbg6N0amXQ+2F5R77sdilc14dLG0QpNj5aRLIalkQ935lX5WZsG/A77IkJShqPrV90+xc
zRu+ZN14l3VtFKID2S7435nDnMRs8aCPmmwCGdudATLEbd6jRq8u9Zq3UiayVCgKWLjs0hSb3S4N
fS4ltgv/P0gWzwVGGlftxkd3rrd1U5Bjqn2zeoE8bR8drPXoSlOkX5V5bN+heYcfpOsvwAa8AcuR
KPzokIIRSk6dLCcuh+lymlKIOvdLmmrWpQ9abyRn3GbAzCaipNZFZcY1ekFTh8N2KucMnF0hE+OS
hF92CT8su8QDkr027ozneGqH6nPE+9w6FjLqqo+WtC3z3NZuDUnYh/IQID8RiaonvH87HN51iuOa
Lc0Op7Lpg6pJdR36dmKNy5uB5jSctUzWINRkwWPMxTp/l4sku9S0vAQHHYNfOdm1kUYfncoy8+Nc
sFp156F3A2dGVHO0dEJRVFmvpuryl0qME/4brwpcgoJf53qUF+lYGpfWUIVbVLE7y+PGB464Pi2L
lz1ja3IvDJK6PTnxwXwZHGTNfRONPIu0uEx2eSzNHQ/ZqN+UMpx2vBujN9AESZDamXEaB6faQVOB
OGOPEdDjLl64GMd1dVhmmezmfKgvJtynN5PlVF+l05PuQg0wz9nA+tj3qvHW6CBRZzXfiBxaQQhh
io9j1svdHPXWjisPQWwydRd14YMCLSfhvZSWvBsT7WwIv01JIwsMrAvr8sbwYKHNDmJff3THqd6B
yqhu5niE0OfWx3TMtZs8L4No1D5HZnLdoyMddEMYH4p0vqsYPctt4ZpPsWWLjVnrLVepcnrMJPRy
i35Vd0yiYNHQZMI5izG/JnLaz+7y4uked8Gye7Ojyfyi9f1x/a600k4AzuPvGVNMWKM/uRsrqz+o
fyDux7tUM166BMJFYuUDlqGq3YdNLC7C1k4PIkTBHK3yCkWlvW9ER3gex6AKOgLWbJo7ia2i3Rg5
kT6O0DNzFsn1PAN6m13nZIf3VSLfSot1QFjZ1kXtRddDwiC6caBi270D7BuwpEqQGxaiS57vwySR
lx6a5pXRkNWxWOZ9dtrCeCnbpr/jndG9uYU5bae4OQ65jvTh9uZXt1mW3YhT9R5NeTpEaRzeEP+2
j6T4HgynC491YXkB5/jHLlvSO8OdLMIl+gczlGdHn45CfYEIlYBlBApphRS3sefI+tCW5Akd9h3q
//Q0bEzgjE7l0I5bafX6DsSoe7TipsFhmw6UDhBtdgf7Rev9MJhMG0u1CN9aFnwM6Pk1S5FhY2th
fsnFZX5iE4wV2/ShyZcjdxVXv2MWJ9Ui9WifGuJtVqOPlSTWY9EM2n3R+Xlg4og+4I5/KTtCuQeC
Nfz6HCvCJgD6U+YsuKbM/4TmaQVkdfB3FZnYqJ99Ku3bdKlJ2YaOyR1jboi2qFgRzmw0qkk2u7aY
A5Znn7gJoWc1oH6XeLI3ECvdbUJGOKiM2TuEtnY3G/kIg22cQBGO8SOslmFjkvo5lfA7QGTEtrEr
2EDv08pBEfI7GTCuupucOGX5L5hRvq8GlH/211PK/dqr9eu84c/lgPK2EHDAlssFQP2RFcAPSYQs
hbK2YFCjVIsR5+eogmFXdepgtHVVdw8Mo5+jCvY1A/eKzoeVicVy/lEBCD6Ev44qrIMEOx/HVh5h
hqM/+80mi4Ae2dat7Ev9gUdD/1SUiXe20jR5ygXD9kaakBkuvoGMShaX1VUkNf1jBHSPtWoyg8r6
e6RRlixAUSaBdvtHrtGAMbbfkDyoXzUZme7elB4obuw20yfKGKaH3nbsEHVU9dIQeKdboSmnnVx7
a3QvrhwWYFlNn41T022DVWY8T0zkyQmz5QLyyIqWbsNr32YHbcFAGiQwje0M+ZuYduZAlqiRYmZk
/TR5DlPX+qwNLaScpdBp5xGzIPsQm2bRbJ0YLWlrR7WLixZ3LINTGcJDAZyQs9vQ0CoxM+nRhZPm
KKz6VGmbsovwDGEznHnTykJeEWeHFM2WRbCYrPzws5kZdrH3zZFHNuDulnqI0NLuB3cYwCuSgd8Y
dmiY137UdDyZ3KyEnS7c/jYZQ6QehVPhAHbi8NzjGikP45CTEJmMPrsa19wIeRzupvD1yJPE2YKv
AFI51qHYYvWwlY4Zo+BQVnCsc8MlLdBP1dVs6ctrXWKG3RECa1wQqPXiPs/JqJAXsumvrVgOT21q
dvquAmkXbYh9Zc59lZvFocQxs+zYepBZzWRRf00yQmPkSEZlC9CwkBx0CEdnthqmA9KcpXcT5pIc
ql6/x30oGU5t68UZloQrHbRs0l1k6TVUFX/6WOJ7HzikFFzrX3GH4hXIifDr0+kmGsr/PJs4Yb59
4o9LlOKRktpyOESw9ai8889LFPEDziyAuTZAIv/3lIGgoZuTR1UjqCgQjLWfJ5MLWw2oGp9F0IAo
lv6P2GoEqP98MuGo1Q3HNXQHkCkfdf/ihOUBJmOzzbZ6bDSAb0A5bAD/x0HFReNJpL79eXLCV0I2
aP95lZjofF5rnzsPZW0zRZphbhnuO33TG847A0r9dVl8zds4yRRaDGgZYUqI3/BKU/NiVuvxbckL
c77S0CH9y9p1WnevWzLsqM/R7RfWpNkYcFaGWNtyVlHHjqtKsm3nNAy3GRdPemxsqG7dYrY+MExm
QChiI64OM/QwZVQsJVuaQQSFSvwgu1fTyOb3ouyHh673hupQaJn+4Me96+9YlUWXhcfcuMn6rtD2
eB6a+uQt4H3YajlJchw521CxErrHgpQTqr1KUnNhHWtTe+bU1vwQpzEgkLFqY+BtwsXAJ5oiCeKw
GPINpmECPNU0A4nyu2Bo5hl5xjGb9C6aGtnj+uV2sSRWdGdFo/Opgm7FVdAellvUXgtJfDYgZdtZ
lL5h4+2fXTDpL14Pa6vTSawH7GRxa4WFoD0hITxgHhZX+JvYFyhwLsT5U1e5zCwTZwRIp7zMnkCo
dOaOxLXxaaAGLtuns+YfHPZ791G7TA9mWHYfQr+L+2NigqYinJTW7RYu30IWIZE23URJqSbyQceP
hhLesFWFvsrXn8IwZ5M8INVG0MgPaPfiIe944oCxGczlMkJom3ffMBaLPpeXOGnMkNvLf2NZLEkb
kqPIcbQdfkW0cCLpXhemNB6/US0adnlAj6bS+DuqBXEVyhycwb9J6/+JbAE3CWtY79oxBVPKOV0o
DzVXLzEHVexhrea1g816yppowAGHcXOixKGBfqNM2UJABNk59cALcqGV4SEejOmaSxdmbqwF3Qso
uPKUr2ZvZgeB8Xs1gQN7cc44PiGorCZxczWMy9U8LlYjOb88TOUjDxbetMXMBMotDuM591ZM6EvP
zQbVXpnTbeVTT5VjvXEr/TqyOjje2KZmiofwtpurzd3H8F45ON/RAzHBI6/x1nKUN77+ZpNPLKfl
zqjKO8zIFV8b342PBpvm02w61rD7Nzw1CIAJTutfPzUux79FaODx+faZ3x4bHPM6oydRCOZGz2Fu
/P2xIQjy8o/7wNNUFoK11/fdG5KW4XqMrYaybOL2/n2g9fD4MBUjkQHR5JfBE+WfqF0C3ezPuzeb
7wvPEDFlrryGyi//MUAx1YRFp7gMkqHqP3lcTlWOaHxMaUR7QoBNT47Tt89l3DvDhYtczwomlVG5
YeFWPwm9zR+qxXTfQwiP3tZMGlAAVVQbdxMBS0iebNp3lmVNr3E+k3clJebLvROy0Ap0A3/2OYQo
SIIy8ebLmkrO+C5cKv3WNCKvvaRaEi+RgNyzXI6JWbSnaSGh7Nd5dib+kCZk2uf+RR1Sr/Oi6cVl
L1N4Pn7d+Ph4HccKD6OZ5NrWMsOOKyzPg0s9cYxoF+fl9D7ZU3VvzRawIspXqo94cUrrSCFQ/pQD
np6wxHb9iwg96ue0gr4YIFDhHd5eKIWjPkfG3rAtzjNwWH2y7Q19+kyKButRlsATHrylJeLshtal
dNxGp7NOY0dQABhwLgorM7vrpZRAn70aVNQw1faAjlXKfVZKyfFI/nfZjnaNDzHhlfQMFMmpt7ob
1vexYOUiKGv40pcL02jEUogUlGzlazlrZhSYIZ6NC4y21nKqlqya7i1HG5IHkEx+eVXYOZHvPp6L
YIo9/wP36uI67Qb3ucxmHJRYwa76jKKwvOXX4vUQ+7D/gnrQ9Ma5GiqTB4SMl3GfRnl9v8Rpz7Oq
T/ck/KAa1gubK3Cow0MWjXybQ6ez5Um96c6UXbo3cOK+eIAWL7qklVddM6Z7kH8ZSqCe7n3uOMYu
lFlynSx5+mx7dcvWU2++dGio17Clafab+HHuvTEeL+JRRqomzEkvlqG1pr3E2TEF33hVsrJkve/7
ItnPTVY8tfY8QG1emvh2rPFo7mDn4UcDBzh67I2LBmvFfwFXlbmevM/cn44eGDoaHxi0Hs1KajPb
r78SrPRGhHABo14UxBat5FFSAaIBbOAuBolOxOnZrVXLW4ajBeQj4lWdsKYOjHLS7jvTm/b47RLq
NIr6rS/04kjmb7hoQ05+ZOMFv7Gn73gY2HvhA2yzKpEEns0CHKK9/ABparopqVw9iAIP5ziGBIm4
fL4I2Yf7FJ/VxYSnk0aehoJCi3D6OXZ8XnQjEI+xMSosv7H1xBXP/zrT17Q3aUCENzZk181shpAa
y+41cVL99A2Y5XpLEJaaszcQH8/WaD83Xj+4QZgDgJIoz3PgWK77PLZREX2spRv6p25hDxBoU2Z/
rUWbUebK1tZbF7ipVtGH4UxFOZwXFpzLm+O5WfjIs9ab91mdgAycgWdWO6F17In9sPe8Xeg5/Nla
98fNuks2171yxPrvOYrLRdxooVo6j2r/7HLBAhDUJvnroPbTNejPS6qxIuMyt6Y028li9IkAVLTj
bTHSsuTuv228vXX9Pa+rcMLyTn+fqQ15q3blybo2r9YVOt6egQ1p6KeERivzohz06nVJS+3ZwYZ0
tot4fHKKGNYLHByaFmmzxbLCXFVc1yY5/Z3DW7cIzMS2r+Me3WIzZLDFofxROlRPI+lPECJ6jElc
zEmQj1l2xsjvYOeO4fx1+M/D4N/wKMdqghX2vzzKt6R1uv+zLqn+7h74/fN/2FdssB5IZqQaTYcn
+I/nuaDrHQgVPioF1sA+gmD2/XlOz7vPuEjfHW9BC0zh74ktiN2ez34K14lJPpzH/j95nrPb+uvz
HMS2Yyh2iM6IqKvk5R+f5/oIitcOs2AqRZkGaUOqeaicqcWo/7+BV4MSXrg9kU2aNv97eDW87u3g
ukn7/wxgzSWcJW/eYzqgTefvMdaYi9vxIkpEEh48YxxvfWqoo8DpuqYO0sQVBLkRPuJbu6DIYhOi
V/o39ZK29aEtPHfe9OjqFEGlU/yBcFrXUKugURPHpD2MO98qfefkjzr7HYJbSwGxAjKMCsJQbTl5
2sKsrf59ICu7eOs2dU/cxMl6e7vQEk3/roj1L5Y5eBcSiGu0sYUxhUGfI8nv2I+Fb4TRkC4xhmtX
kEiBEMqmTdNDw5e4N5ylu+NyN2Os1DIgFzxRTbCRXUnOKGJemys7fBsbm8eeDmAjCWoSoxWThYq2
Cnq3aCHLagC0qTu6zoFjmC+FFNZ96Mu6egFUDEqbkgN261GtRVSt+aMS8fEmNfsxJhOOij9R4Mp6
lOQUg6v95HoF2OCe2yU1COAvz4JST6RICmgxUENlIxEVgxQJZGG6j421NO3ebHLYU7ldgmvB+Bm2
ByvO07Mpwj49li51JZtk7R1v1g5yLK3+rahNmsnRdAt/u9Ai56t+bvI/IColESrVa27SdoLMV4Ec
3LRE/a2Dvnah89BriMuvRek4lNOBfFiVsvXIC7RIMkvwscrKbQHzpql5iZ6RQrpZKfFREo7uZqjb
5vn//0P2hwrAVurXN6ZHLkxf/gt1kE/+dsZS6E1jKAFX4dqgBen9/nHI4kogMEtkgr0a1EGi6T8P
Wf83l4gOD2KKDByHy8zvFkGFVVJuBSyELt5C5R78B5cmrIV/PmRpoMNDodQI5RYCSv2XQ7bjLK8R
4RjRpEkO0aR7ZaW9YwN2Hhgiu6CfHMBA33Dvoy3796nuGgDnvXGgeaa4b+kOO+VstndJ5dIHUnrA
10pNfc1icV9MwA9RemMRozjNlkvUiwDGONGJlrv16+B43l1K9Rzg2+e5zQljxgfbqC+FoDUuCwQs
1Sst5b1X1robGBw19wh2MsAEQJqAyN6j2Rb2oYjgcyxUkVzGvEnvk9yDA5/SBb0tolb/0lNMkojW
PABHs9nfG8M5K01qeYe4JNMhVSHjxohs+YDdIDsPzRA+VIVWXC+KNi+61uYbLDEzJV9yCtFBvNXo
+Akmra1JKhcrVJM+D1QVKWSZUYktIeT2q+dXDLb+QAVxNzYPjt+zrOFhewStP9PE4/Ww04iIHB0r
yx/zYSn3uDkDu/CCOIXckfSN0RI4oa2FmjHmJ0tv2jN5qo4+n7m+NEgIX/m1Ed9KL5o+LjXyIu46
/US1Gqy2UjQR2bK+vtPUnpLrV/JQz364Y1CdPoH0cQKDaf+z2bgCKJWbQOs23MUJBuol0sDsTNSL
IvWqt8nNmcah1H4iSZB8RODvZjY6dMfubLeq1bIznZ5yi67vjTnAnN8OmoA1RBCEu9TYa3hE3KG+
Grs83dVpNx1zB15jgw320Bupce9ouThwzuVPLSkjLyghruNepojQgfI+niMnMd4tgqnBENK1GHd9
/YpdHpY04rZJGyLWQF+/bQ1Q8dAmuQsFbm5wg8voj+G100R5sbcBZLJUDSF4ANjg70ZhfEyg2UyE
8yjpi70Y9ElqB+x4FlG23sBr3rTFcCDv1EY7L7bkooqySZxEVpQBp7JdjactXsjraNZ51ZM0G94l
qL0vpVO86+M48zT2CRk8gBdO7qTQRXZZdmX5CofB+DiZ5KZ341Db/kmo/mdfT2gjWFqaoVvTpzJD
h+2wBfmpffZsh3kAZmIUBrQlzbsKnRCztzDSYteDAhcHSx95SDQl19Q9rfbdm3Rn426w5uK1o0Xk
UiRacTvQ2fOJXr4FbA0OxdfI7oszGN8HGmuHG5kI8VGAO8yJ9E74ioifzzekSL0iyOwYeZxZ4T3H
K1rvhc0tIxF0DwZ13VXJjYAx9tZAjKlPDaTtuzSuDWARxhKLSzLWXAm3ImsjbtAZIRXKH6aYX4pc
hHdj534N2F6kpH1GvU6n2y6N25PMqaUNQohqnwZ8+4+GL8d+n/mzQ0g7pzCVFflCWIcriUCzm6Za
O8GYtqEAttbMdtbPccVDBapuIm8ejsw/YL47jJjbqtQa671oqbh8JFK8wBnFFBMFFXzzKN94dp2X
x5xOil1nR1TVykKjwk+FZIc9AS8gPOw7kxCLapvSKVmXeK3wUIOTtBoffSIJ20cE96UMat1pP/ZN
kt1PRpnTwVb0NGa5mhW/0rbVddvWGGlYFlnphwdRS9xOrFiyg9dZcr90sGmklb9WqJCXSWPqz1bs
3dGhq+qXaJbFSfTc5/LKWrRzZNMHGNlcoxgrziaxpc1s4GzdlV3qB4vU/YNPZDyEtdRo17YgLCAt
GjRG2M2B9BuH922ejxPvESt88Fu5BL6WLQdnLvN7ITsqBpFs2o0JLYGApepAMbFmnyJrQAIkbF9e
YO9sy0NO0mkXEYE7pKkxBVO9tGccaQTwK1UlUXU/u1EgscO537REqK+yqrS3XkczNC8QeuFpc9BY
aefFxaJ8INuCt31+XptSotaCueeynHrPeW977CEy56XzxndQPC7moNH2+U309K5SHn1Me7u/WstT
pnF2bnWvmj9MKJCX0ECGq/9sUeG3XPA8CEfanXmE57BszenIsqgB1TnWsMBDej63cmyoNp77PI+C
QU/EPUnAdFtHFUEgj/AK+kQfEwpMOmMMBI+YDxY13F+afmgOrhgQUv8105b1X/fTa1XUf15nf0Q5
+Nxvw5b4zSJJCiTNMLgn/xHxbP0Gm4QIKoW72EkthM+fwxYTGsZU0p7sjhXP5w/uUA/jKJtr9V+V
4XCoVPwHw5at8439eUNNtkNn1GOBzv/go+Pjf0ihyhmPt2ZHOyaqeJf1k36GwA+f3SH6fhd5g+px
qpw3m+z/hcWK9UityHCI2nC6Lnv4CKlVJZdR58vbgqx6tcNv12CK4moGJlHeygGSvssu6uQo3s4m
1+zZm8++dLP0fYb7eKs1TYJ5vmnLwQNhvqaVlp4G5FOtQkztmmfqVLSp7FXKyTOwnG84PXJB0ECQ
hPIS1ziHaz6qzbgOXuWmM5Br4y+9cVSYqiiGcM9yIdy5XEcDFtjZywSghABnVw+3yZzPr3jPMZDa
tCDdcA8vnow1u0W4gBxXu2a69DXexVDJhUxlvvQ1/0WvNJDINRU20tj32QQKLINkjY3ZxNgqLetv
e5mLNtAGkmZEK5NbqdJnmAWpIMa9OB0jx7bvizWoRnkjoTWPgmgaRVSWzUvZOqmwfnyxrIm3vhWk
35BrScKNKhSnQbJmTa6icvyS3SsFMCo2ItLCC7lG69hzeHc2ljUKvEzpHLQ1ioexsKfFdZzdu2Xu
MK+1a3DPsVIHnFFaVaTBIu8rdRPVl7RL4s+wOudzM9rQVRApDOcwRS5bdtaAeAqlzq23dasRvN6a
KKSQqXtv1rDhpHKH4IktcLtkEUPyFpxGVu8+u5VBWFGq3GKbMX/thzXTiIKalltnzToyS8WfqSQi
z+kl7QdNBSOjeGINT5c0dld6v8DtDoB3rRXBm37D8QJAtVGiBT/XWZuvXNIW/RVT5ozarjqF9vZo
1ojp3DLvbFIxjPm2W7jbYdKL6khljUktRwsreeuqTo2dJjqv3KaUcHwaIVJNOzHW1cBEysPsKp0R
lEEIZuec5yf0Ut/P4u1gUOuxGZuwMh47A/rTxgzTYVdK0e9tEoqfsaKYZ51r8a4YOnfchLod7tux
ca/0qeP3iGUJgKFMmgsMM+YHG7jzU2g7xU1q8usYxqH1rkdKRx8WgFYWLxcQUmwIMBiDnyi1OND1
uOMrFFlxMaa9457iYSZVqVU6pp20n6x6IySPnu3cNzNIBH4+B8+0OwKNi9V/NBOXblO9TUOxNRoZ
naKZ1yizUgG4pajEHix8+dr6dfGa683yyqKbNFDie4gjVYVAhd8HokbsWOQZc95okaCApnXMazhp
8RHaiHv2iWL1WwLIlOGQJmVkyZfOSgJhplDPXUkT3TZalvIdYBZxS9YYIXI59TTRWQxxE92Wo049
BZlq+cHPauvk1s54Y0rCX5tOpHR09X7j4jHMZbzntHAek3osXyeQPjVLoXRuoRE6VM9EFGmOgUE/
DpansbWeJWwMyIKVYy0BQ5Jxou0Up0FXhRGtpxmB/qO3eB3FXxPQoYyC6AZHQj/z/jKxzt9YHjcb
+jhV1zVnj4MBTFUtZAQ7y01KCektOTHhU/ndDDRphkNRcgp6tX6mKs11NsMY0S1m4os8YTfTVSy2
HxZ8o1bxykzmSlg8Y8QFaXBYf+4iS07trrYzXdvSRVVijJo5Bin3UhNDZWvEYJj6/bpKHsyc6PaG
ptCvVT0ngIqolns0+6K5M72mIBntIYFtm6bLoxMv/r8tN8mJde/h5zpHw5zLj2vDiU/E2d+3GQTZ
LeMzZhNjqAksuXa2LXQnOs6rjFQoRSlaxSWiTuMFET0kJ5exOeiVDuUlafuFH197GSuVqrCG5Npb
pSt+0ul+Mdpsl2b8KTN0eeXJUb8Aym29GEoBM7nJ37mrLOZRzHWtuWaPiopqZq0CWlkihM1KVZM0
lN4PSmnrV9FNtLpzRfoWKU6H0/zFmfLlslNKHesH56pQ6h1ueZf2NBS9UWl7ej00/j5cdT9z1QAh
qKMHxqs2aKw6IecPhxWuPvmqjUpJZGuIqugqgTHi58zNYKnv8dygPyI9Up9mpRXOQX1EW8ogxOcH
Q2K0HVh/s0xUciaMeJTNfFU581XxdFf1c+DnqO+oBbSIBpTdBBYAqZTKCFTTTgmomBzQUvVVV5Wr
xuqveispyPBOX1VYOgURZJU0i1MQlTZRgq1nE0A4agUybprKFD+fEnf72Jrel1XxjZT4a6468FjT
erRN4yiZt/yxxvWd0Ha4t6PZKC4z5nTruTHc6tzy3qhprZcegPswm+/pshMGSxiDIUSLw/aYMkJo
+4gr7CH19OO/ZjRVRRy/XgQ+kK7pq1/OpuqTf7gnGIJg+pLEFfArcNL9WATav+G1cxBOGD/Z7zCh
/j6bWr/hjcDTYPxHoSljK5+jUk1CGMpz94+SS+ZaL8IQFVXlGrNSoSVcymSY+Q5Ny3X+YroTdB36
7I12vqaPuJPGrDzyer4iJD99rHgQXMKAqD6XY6y9wisor/jbzl9GQ/evB5aZgKfpRBRjnnUopZnx
2HaGdwIn1hzduHDe1XkjN7bTGDdYpijbEX14cilSvIwqOZNQdZ39rMn5RRuseJenlvmpQa5E/ZfX
lTTzrbZWIhQDz9IZdwq9ls38Nrh6h7tO9SgkuAS8U1SF1Cs4TRdCt6JzATZBUu3GtYpBTLTwbIU+
eZcjrv0x6Jxa4xBfSxx6JqYKyV6VO4RUdJ0Ag4CZMkaP+odlmQyqub7VQriqIoLqVcKDrJyyjwP0
V3lI1kKJyKJbggpLaiYqMiLlVm+NhMl3baJYSynmiPRRQDaUZTwpfvnorRUWrZGLhzYte4ZG6sbw
X6u6C+7CYKLWEoyy7Ixhr5mLeTevNRlZxDNxZ7nWFO/LtUrDU60avRVWjynPMfeyXbs3RrMoIZak
If6FyOYRiBUwCb9yZvePJJP3WpJNG4+2uftcS+iHnuEoo2KIRX+UqvpDaIvdbytVCBKv3SCWMIpd
pQpDGm70J9g1tIjQCcdKquXBh7JOzcg0dv5ZquqRRZWQ9KqOpFqbSeK1pSRThSWun3QWnWZt+S6H
qeMcV90mE6im7PA/dafZIiRG7bF0V8Qso0mn62XBCXHVFZ2R7rE2xDAZzJrCqsLJ6mVHUOJnmVpj
pe3C34HdPNQ+Sp83Eb1q7EoNolqYRvMFz2Yc91l1+b1kzV8gFbIOrVh7TlPYXYACdroLOVpYHuoZ
WvqTp48meSjZPDpV1BgwSwv9YydGq/qcAGlxCXThsgi8xnXubbODdBI3JHXNtp/PstEVzh7c3ghq
DEuelmEOMvPIcjagJOAPNdqkm1dpwep0KvrybLSuuJjzVhxSJrPDCBbiuRMDFR1DPOTP2hxmz1nk
Mw+Mfcashkq/L3PNHECupi4rDzg5Dg2XA32VNBzgZqLxUeGAkmqTGbVLUi9uu43XxNmFxc4u6MOY
9nGP6pVuy6PE3XHPSNERozmmvFjtkv14to9Th3tjM8Wd/WC3rnEiNGC9oVUuNzSKs3PU/Gp6rXkt
v7VhjyMKbwCCFE/YMGEmMbEI9tRLRjuGGOWzsIetmDk1sYA3OpO5KNwLMErOSQpKxbEZuPYhs8Pk
mar0bD75LKEkNne9u5/tCku+heOHqtYiZpEk8urrv+ehhtj064fabf65//p5+PVTjc/+Lm/pcOkx
f/sYCPAFqFDKdyu59xsOQaV7eWv4hZ3H7081/TfLU880QZcHJTY2X+479dWDqCHo2tKxmfPIM/9Z
xkW5HP+4cFFsZvLCvEDIy5ClWR96f1i49CzrhPJQC8yvNAWr9wZr0yi2NgmrExbSjt8IPG0E0qAa
Qym/Syjjrk+lO7dvzNRNcuMyeCFIuKPHOrm0d1OjO+DiW695p6NufhJL5xeBo/bkg0550cZb1+ft
Unkfh3WnznI9Vlv2UO3bw3X1LtUWXkub8rZXm/nCjsvXtAuNO0bc7q1dV/ilq8feVqeU2Lweh2KA
S2Sbwy5lURHudEkA8wLfnlagmrd6dcSZ2AMgF2ND+cjMdvzCdCCGUTYStc6plsXwafIMaO5Gi45x
bdcSZFfb29bR4WZ8H3ci/2xPvf1kA3d+9gxOU9i4VKNsnNkbW4qi7EbbcUsennpKpk5ViPzEx0KM
1qkmSNtUxDIBIwBFox+FY4VRn2rm5DqMBV3n3FsoRZw1uvgu4tk/OYUDn0LEESDPMLN7e4Pr3h4u
DZ17bADrMh/okY395LHIkvAjbSkwEvq+faJzsaN6xR61r15o+MdO0fe3UajVTdCEwLiobqzeK2K3
2YYdCbmZufa8o+PkKXXDeRc/wTmk99ElO3OwiqbG3mAqGFTjafUuh+vk36WKyIZjSTyFitImmrh/
iMqU2BN+DA7NeXEyQKjsdPONZkJ6s5cR3Cy8hRv2iMaNZikkXL3i4cYVFcfgDrjEUgS50TWbU7di
5UiScgjGijanh16nXY+pKVil2+ZVGYraxXJF5xMxsmncwiyyeKH5Wful7Y3iSJmSDK/mFiXhahBu
eAZ4D+g0LOyx2/BoL22IR7Z2lXFhEhuwDj22Ub8Z1bGZG3Bb5LjLdb2+ytgD3fBrsIYgRmUpKQrt
DcqcCSGwmfejNGOwi7OXbPbynS0tMu0Ftq+vY97qe5qMw50wXZq72OoNn6MhDW+a1o6O5RJGO+zn
s74VeTG85KBkMYJ5BVB/M4diFVqe6C40rSW+1GA7480YItjy6kQR+vec1NwTfn1S33R/l/f5YWHg
U78d0yC42X9zxVCURcWx/3lM23wE6V/FevBuczvFn/Dd6oU/2+cI5z8mC3LQ2XzS92Pa/Q1LPUlF
trpivbH8o8sHrrE/n9MEBnhMrAe1TsMp1Mc/L8ZZ6eUh7crbjnTIXR9mHruVlLi8GMJjny3hLso7
cMGDEDSNFwuxgci8KvwhRSpKIZ9N5nVN7A7qKtJaw2h2Z4EYBJ0vLuA6b7Fj7+s3Q2O0atzJpPp4
NKLP0scsq8cRsEM5mQ92oX+CJIg9IKSXybAaMI3/l7wzWY4ba5Psq/xWe2ThYkZbVy0QcwQZnEmJ
GxgnYZ5nPH2fC0mZqfxbaaVlWa5kMikoKhi4g3/ux1PyumECAh+pnJC9EGtjcNkNzJARfYVaTRHb
vFcJ4J1z+kxXXF7EZi4aqp7jab7FpwZioWvLK6yx20ooH5mTlUcSl+MOpn75SGFKiKEY6OMKfBxd
cnZw7zTmRpvD+eDnPEp1DB5PjdH5A8D+23kW7iYvwk08YJDte9SiYlaavZaK6FjPXNjGqgNl65ax
7iW106+iPtYfIjQSjJZpQROGWwv7sgtKlDJboYSNe9y+UpD2DavMMmyvLSuy6xbPuL2Uo2VRwdj5
o7MuarP5rI96duaamG9SIISMx7n1zV35jGZd7WZdP/Yuve14Jeh79ht1pxczz3xaNOY66MvusiuH
+iKZapF4PU2PG+b6wqsjs/+sViI60NGqHmcaeg+aPT9XU4g91Pfr4UTcJ+dgCneZq1F1Hw3GZRlm
N/4wKJucqvddC/doNeo9/05NW5/8CX9UWu+uOXCqgoOreOqyhk68kgVW9WftgnbBfm/XolmHg6me
KHJJLyxj6vdlEgYUc83dE2gbE3yBo+5IyN/bNEBv+sa5D+wh2wdJcwsCIV3NeE1AGdCOPGVzgF1m
YNCwOGXRXM6Ny+SgA131bAQYyKp68pj3PmMvEzt676LL0hr8R9xk+k0qORa6oQgwwzmsgpLyslli
LngSQSyRZd3OHdOj2RlrItwq3c+CaaxQ4pduzFPecKV8J9vFAHli1LWiKF1sBlCBJ2Ww/E8xAGWi
vuMXu2qqY1IxD5kgFx4UJg3XfVCadEiMzSrlvcEHYrvtxldT9a4zMn5iTj2dQQgXp3nU2isDpPAa
/5LioX9DM8ip1/RstWUGX8KbT0OM745VKUdn0NM7QzPGe+769bqQZJAqTM0P6FPpbdwMNxwxxusa
+8JKsUvDK8bgzlbsJyap+jkYpu6WOkILwc4m4m5C7mokhYTHHCCJZQ/uJTL9sG4xxTLnB1jCeKnY
9QxIVjD0IbGbiuJNdLsXYzTvCPyyjaYRC0uQKfRcCOM6mbArU7ZSr2pAaut6QN/O+/pTXDjNTuXZ
4ELeJYeZYfiWMrD3xOm2es+Xdm3/efIdqNIyCSFRK2CSyQFGFkOiBMw5jPxwpbRDc2+DQllLYubK
5XSzxm2Q77kmDesQOOCG6T7VNpUWrJKpBUTaz9FhzHMqy8a6WUfYPryZ/KA38QivYZ28G4P9xp1T
3Xfc7Q65NmOTSm0L6VFcAAz/kisk2/KRwZ2aJHeNtBrlpfKFeoYz/UO9h/MpgMgwiJ6TEivqmCj3
Iz/MNR4dk8oio3v3Tce/Fkkl2w3UfK3qw2mu/C2pYZguih5sG52xGGGWbKVqLF55hhWkmgllA2+f
VrRXNvu4mLT1AOzTxY4gGHlhqLocZJyFw/V1kdZPXTjJk0SJIYsXtW56IswwHeu8eHAJ3mzgQYGd
j+Zg9Y85DUiw8d+cBvL3n0uR8qXfpUiiuhBGXAAEDlhAOXz/mv+FMQAUwOacIMhxcUPjBPHtNGD/
RmOjRsKX/Z5xOSmr308DJiIleWKOBEzK+QucIX5hTE6K7Mc7G/WzjgYYAfsv6qb6FyFSaQxgGUBt
u7ZNj7Roj3tdBvtCQUpiPfNNmLgveo7ff3qn+DhJpfNfzBaviwjO/n/9Bw6Bv/7DjqoBiIIVpTkc
iaWz/c/T+dx0RC30ZCVs/MRbJ6u0L2poWNE5jWNHXGKEnimm4Dp1M1nYeVZ5UNUYbmEK3cwB40Cv
Dqy7WlGNp0lTi5CixHx61BqHdvlkUOMXZsbc0JjChjz5RZ+/U7s4zFSa9pnv+Y2Anq84jAM7ix6f
dT0NVo0YZZJWa6O+JLz0aCa9ikEsZmOEF+vWykULdrfxghD0O/P2In9SIMN9cQbAqmtY/p8M6Hs7
HdNB4QWTwcYuehUDUBbAXFqHgEMIOU2zaDnhz1a1ouGjyQEmFK7gOZ+tK7eqIAxwiyo76s/m+RFe
wXirMdoc1+HcAaSC+avMq5z77rTKnRxbXd/XmAuoBkO1mcRnXtEzZ8SGN8+Tc0GJYbUvQ9CqZYYb
ruojo1glvYieaHyfro2utD8x+Blf4dRCzaPcFiiD1Qd1tDM7TexsNepgDFfsM0o4Vlwe4cqDaGuA
GLpceK5nv7aLdWtyyPK0uGF5UWkuvmtsDmJrTBR22fF+N9WowBmGHwsoq0sUIEGM3QnUIBAXZ/JE
EsQyCUXdyqv3GGVJvkHkjGa8XuTBBj1u81OcExBkFO7E9xEp63ZDChdiMHdzQtKEaXVOK3N94WfT
1HmA0CMAzj50+1WkmogPelja+oYaNL/f6XTpvUZFJg6KLXp/RbGAasgcnC089d4p7MqlXITRXhI0
xM2rJXruVBgBVlHbt8ARdd/xt2ncxniNRGZ8JuLhNh7COmF2eJUE22u1G6YL7OscC7VJP8C6cffG
EodP887VN9MSk6fGpfzoiM4rc0WI3hWUba/aJVxfgUO8xApMgCdZ4vcDQXxLJvIHZ3IeKF2RjlO6
IQB959FtaiAyNGOTJlfdyOOO54PWkbtxnNKY74PEEw76sUsP/5z1HZXs5+v7+aXBdz783Hcug7df
13gs5LjKWZNtPEeyaQuN7esaz90NSJ3GJQtO3lcH+fc1Hp4td0HKbOSoymUy+fsSz+pPpJYFXsdo
qglZg/YLSzyL1L+ttcyhWWJ1jXAwdva/2M4j7DCKlRobpIdmxTFKf+1EnD8MZlRfl13jXqChM3tl
l4AU2SsY/VZT0YxYE3FTaJvSjLlCKZUB2zwxm5AjWRQSDTGE5VNyPrSTdqgAB5Sc3jJbPVpuGnzq
ais/2GVDY73TZBb+0AH27aF3W9s95YuFNF3spLltYy3VdT9+bbpKYXgtzaddMDvPM7TTCStsyYRo
8almi2eVmbbs3piihkfTzRVnNce2HZ+VReLQpdrRFlD8cH7ZHWdjqYdgPRpVelw50ddSLwmlcpIj
L72gYyKn+FJZAfmnbrNSCz7MRXhJpQbTt33y2S1H/XNd+8BVQ6c98+XNFMS71G+YXKDlqGEbXWVS
4IGrPmxavRdnYXbNedBottGdQttx6mfugA56IuALO6NhhH1ZuFinoNbVdItnCq2dXodGT6mGFmzM
MB3ORlvmNmuF4GZhAwatIPCJ8Ay4s34F+YNIFVLwMXAJQrsqFhnLkIrWKLUtaxT4dDQ3BMSWNFNG
+UIidxsln5znQC3q+1Dtq2wXQeVIN84CsK5NCbNuKrf70tHf0qwaQEIJYLJmCNbjgsFWDS3t9uXU
VRAUI1PHPbSwswUSU7EG5mO5a2z81S7oRkjbxqyDomjaLth0fm+XGTczZVJvrLrTopNdK0MP3I5s
KQ5w0ZuvJVCO6EGJQpOiG/rxEB4MnxwCi7rRnX3UBMcryFTREQH4DiWr91UuYCjTV4Qgsnfs7pNC
X7tGkqK2Y7uFhKNGr8ZsqyiO2Ea2WTXl2Jntrha7ToFSzHXXIb26QvSI4pcwQZBdz4lrtp9HLQZ/
6ucutFUaZdwbPtGxc+61Thmu7ZZalJPfVr24U3rbbbalcONP/5wFlpXm5wvsqQiin049ZDbm6+JK
PtJiNuGaNnso3lDrdxKCyQrK0RlwAsukDvKAZfd3OY1rOlMN04T5pRLe+bOcZhLLYoAio442B9lf
435LuPiPR2jGMTK6yVdl7ecoy5//aexR+fPAY5KuJ5LL5uPQDdouLqOYlIyltJvCjv3+kGfTfJkS
Mhi8iVn6SVNGPGyylzXt7fEAI0h5cxNFBNin4gETcxwcsnq01lovitfK8M0dURl28Azn0lphGth5
VaIW5VZVdDiBVh7X1+ZkFRuXQcpOlEqTrSPFiC+NggZf4CyCkjWOWDOBQ6txbPI3evVaZLJyj6nS
fT1n87ti1MWuGeyBPGKqVIcaTeepieuwotlicE7O0NKO1mcw8NZGjL1i06Ao3UZOTQElIKMwIWQ3
pPjBptB4bEmPZGs695Kz0sx9cMfKExhnO49MCjbCxPTXCvOTcUurVAAC1dLSo7o8c25okOVwtDKI
X1RjUouVHwpFyVj6SN3t8uXpLaNWp/lLaoAMf6NXhWZDIFvLU09l+ayshFwMyGS5V9ayQpCZZrUI
Cl22kXV1yIwpj/uzXs6Gc2Uhax476enNWBOvdenzlWMr7iB09m2MfOqvE+kIjpky3xvuTAcncM1d
kdnmfojV4eAsbuKKeiVDOozFrHNtwaCvXrZxjwMZm08o/T7JYv2ZFhsQ9gz1Ml3MQYr0CVFigGWo
WexDtXQSpYupKHEU/3NLHKXe2ovjCKoX7qO85X8Eh6CHn2OHTM8Jx47GbtQqvVlZdCdnp3CYlNfO
SNrPBMgBX/iSgTFJGsa4gDGcBZIxLsAMSLPAM5QZjka1IDVUe5pOPtkJQBtWEkjoBjB5L0nJQNBN
JsEcGpOwt0HSOlKrUVFCJMMDqyG2DXdBewRTZn/heUzvSjcHtDGmJh/dHFeuHO7lSGtZaW076BTw
qXUH0dBQeuclpIT4M3A8etTYYWIcLoaywg5o3yAWJ5e02nWX+D/mE1O1ficd6uVlnU7JbatXMBGS
Vo++NHrSv7eBWd402AA1D54SnUCNmG/5BEOjxb23VXGC7S2hhJ5W6vXBJv5DVMo3CkoZKSUOjUpd
d6lJBJQqgSumlcoeDwdZ2CFL4WGoYylRPx8jrlqaCFXBvxITZ1ML/bmvdKUhyEXl4lqrZamhKvsN
8xkDHrWIxI7JOVCAKJYyRFP2IhJZrcZV0rTNsVZbd/YIvVhHPy67E35EihVb2bFIvkLj5yubFwnN
bpShGwkHylrGDN1gZ+hjcK6W2sbMkRWOg6DNMU7ijIvBUvKYyr5HH58oN+y2NT45qR26O9/V/SPI
IHdTub1SU50o4vaOTIl7FyyNkmpXfZrVxpqZXMnKSUe2Txayh9LW0/T0z9n12Gv+Ztf7eH39m22P
137XjYTFLgUAiMyqxcfr+5VC/81gusSWQMkVVw0SFr/vekL/jX0IWYhtTxLdLBSlb0MkiQZCMSLm
qpvoSio8oV+4UyyugT/vepjhLC42pmHa3Hf+nb1dlbZpBszqfUpc2l0bWpiOo0rJ3/pmMO9N7hv+
KhM4qztpUqYOAdFXX7zLFg/QVamM+jGV1uZskC5na3E8i5GT/SWQD6AhgS1d0aE0SNuLV9pZfNOj
VhjRulVEfTP3jv5BOi44jqqC1TqUrmvIa9G+smKdwQmebDUZOhRvfNpkCNuzKkYXXX58TCKNPtep
VldG4qK+l4Y5v1XS792GbfHmo5FvcW2h3EK5DTxNesTFYhfXF+u4LV3kCM+Ma0cGVBQO4Eunti/D
Vs5NfrxyFvd5N3FpIpir4R33exLw0p6OpIJVnbkvtnX4NukBAidmdiOzx8wb1W4+A7fH6R4iU0Mr
rhQc8Pja67suqVrnDHI6fJliJSPmi22eAYz26Eorfby46mdpsM/NwLrgzulvtYwBiofZGFqMNOUb
sClfjNRot1RVdhsVRwUxhcXJr+VsmF5oUPy5gi8gahpD2uQykhEAsaQBoq6aLsD1avf0I0X7fokL
8P00z/4SIiBmLe84SRI+aEvCAOdGxGIZUvQAoSbXd5MqsCcYBiT01Tw6VCjVZdV4ba1NKZJ/PqOL
ZEPRXnRZOV9EMuVg21n4acIGzfE8L2c0qLqaXrCvgakA2ocVYhJFtxldZ6RetjICZ02NY7BX4rzc
VOhHT9EwjQUzwMBM7sLMLUD/BrNBKZo70JAtgKGQ86c8WGLTE25jOjIk6hYNFM2EycvF0Wito4oY
xKqxy+mg6bl4mEaKlzwDiue9rVXOqbNlCNK1c7q+inTsQbaP5Qnsdw/fqBsiyomy5iGu2eK9iGT0
akIT/qLPTXeJcBZfAd7jDtgLje4vUBFmsxEZV7op4mcDYVwpt0XQ6XuaJXCg57q6LY1Cew56HJwV
xoXPo3R1BlDgDtQ0midDej45G+KQlz5QfOdYQieY0F/oP672TYNjFN6Ieo8lG5MkUQYmB8HorHrp
MsVoML3atZldxOXkv6H/5S+l9KUW0qFqlUQgpWd19Mfe3IzS7EVKQLkyFgfYvLjBGPM1t3LP77kd
Sr9YUjfxJ0OayLrFT5ZKa9lc9NZhsgxRHUiO+tp61mvpiCzZVxXaaIky51QizxOGyW2Q1o3jYafD
xlFJW1vgY3Cz8PJpVMbaM8lWDHBIcOIoSsO4cyP6XTxfWuUEUcQ1M76oWU+Ll84GI7ShATbmgru4
7WqL+TPek4T3j9RCvPjy6JPAo+cvfj0V+iLevcLFkqKSsrgapbmvSKXPz188fyMjosdUGgGDGUtg
Juz0k8r0GkyutAwStg530zTZu9KMnAO+2/xS4gT39eI3ZIyI91BffIjq4kkcOPcjs+g2VkVpWtQa
fbrMZhsnoy5NjU6RWbf+4nS0mi62Vi1n0+IFdVl9shZfZB3G1T2kQw0NU/omh8VDOSYBk3ABY59h
mp10wXPJnH++HGMza5GllaDYd4HdrTujyua1BqI2eotr0UTUCQe68d6NbZceg6Sfkmtbwb6/qjuL
xRJdGB3Jp0u+WqnTONv7FHwHBdfqnPCpBWior4AeqP2JOllUpoZkdLQLKhvirBtF5vjg9FSoeLlp
DhG1An2YPY8abaU3uRGnx9kPq+PoK6xHtjXHwIIZGeTbRuRPPtZjciFLRqRIRvC6nOe47yd1HRMk
cRVhvqmElF4JAtJSC8jjXPUxoZNuCaBwvhFHinOJpdhLRKXKRc3JfImudIHLByJtAsddRTLdEi9B
l2QJvZS0vZkrX2Zhosq00GHQvz1S7yK+Eg0DW36iDpATpx9Bt/eu1p6adGxuCqbvzr5eIjc5WgVl
czKJ0y+hnG4J6KgDWZ2yNHNwm2xodIkvcR66cIqv45j/fBv/T/BRfJvHNMt+/0bupY4Aw/zlt/99
VX7kd2398dFevpT/V77097/63z/+lld++8rrl/blh99sME230033UU+3H02Xtt/PGPJv/k//8F8f
y1e5n8qP//qPl3fuoOuoaevoreVstPzRn/vB/jYwcKJ0N8r/RsL9PTFAB6qBeusamBdZ3Ri5fT9v
AWHijCXnd7CbZGKVAd43lYHzlm7g7ofFCL1JRcr947wlfhMaRSjMuFCGwfj+EqZXk9ryj+ctS6rE
UB/5Tmg6+auGW9pjYFB+sGsYEgVYQSiatGab4cRM+2S59FD2spKyz0ZN85KlqdKcSYJivKHoKmmp
sqSySHHXhR2KZG3Msu0Sqqr1xeoG+8PKKMP0l15MGjBwHNRlMPo7dZj86xJP31UYG/RphsqQADGi
yWjAgXYFjLc4VkZkeDXW9CsOVd1WYMx7MpdOpG7yWauslP+ZNzdGceXLAiUtD+wTQz7giWUDZKJs
9AdOus6tLcuXAoOSbSdOkmt/rKn0kyVNUUldkyaLmywarB4DnTKncOl1amXFkw1j4DnJCbJ7dSvE
jbO0QRGhHJ5S3OHpqq5dZ9O0mmKQgpQtUi1dkZewawE4GlZwGmXdlMZtF5Y/FVSpkmlXjnDEE0Og
dNsqo7VBs532vqyv6tpReY0rP3mPue89EyKkIRH7jvuK4qHfkAt1Vj4HlacB16judb1LT1YRUJnV
UoS+12WN1tjM1Ytvy24t0apZd2S8mG4h29fhOvbn5nHuFObyUxh+LgPcTZ5f+Cmk3bmcr7OYn07r
IFisIk2rLhJtvsiaOQ892h7oROHMkuwQVd27Ps9nXhRU9SXZXJL6dksTAxo0QSeQxEjmWTNol4Wj
NOvA4dzoCfyLRCWQZThi0xvF3phqL/Fo5/j7M/dDzHm2HpIgusw1c1jn7mTTHu244Ze5y5VbJ+kI
1+JkcQaPCKAD6RgPKFYhmmQfAWCHxVoYTXDKYQy82TOwOTNtipaESsq6t66ZmOElGZRhP4bEubxp
AI6wzpXBDrF0THO0xh5fXs0W2sKMBqwauzBEW9tUoDT9NaUjqn9AagNo6WG50Qmb6Wrqv9gTDTmP
FlR0zEkpYZGNNbdjv5L518ILZ4DIz5HFrXYzi778YidDdNDa3j4TdwQRmkF3pI27hGSaivlkQXrq
1nnN1rIaLQSZtdkgK3vE2oZ9y+cJy6huvdpqFUVP/lIw4SjIfnumGSEl4okRXAJV1a+DDv/riaN7
u3cE2WS9RyrQh2ycPQWjqw7YxupuinbAWGeY4brMQ9mSI82waTh/mXS1fCdB5L51eVuS3KS04tmw
5/DFUXHiU5LmuNdB2cWXCfVZ21hLGgy0yN0XGGbnZiOJ1rpvw9vw1TA72FbgJqsxE8RER9K/5c6B
HUGFbtG+l6OaBttoiIwzqk37OUBfYKJDq4i2ziY3OlJ4SXOSioc3XNpr0ziYmYfKUluRZ+rOkEW3
pdn1+d5d+m9rWYVLqBIX0dKPy2SguA5lae4/R0dgN/m5jnCMgr8dTvLir0ICN3+4UiqKHZWBFFO6
bC1fh5MQF7CC4v83NIGd3bR5zR87GzZRU1Zmqo7AsfqnnU39DcUbayvbETThXyzx0pAk/rKxsUri
9tJhRZgWFqgf5fO4kL7KIT5U8Cu3KHSUMdklsCT8oqvYAXu+soICb7TvOP0aGLmewBly+/fZt5Ri
7ce9+wWbHOXVzWCdBamhVcHR/UAhdb5Gw/AP8tr7ELcD2Tm16YaVObqql8xiXossOBeVg11jqP2h
OTl2ll8Hgdqmuxqi0uRxKTIcOpQc5TG11MnBdDiQfMa9Qb5hGDFr9JR+PmO6eKiFGxRsNE31UmVl
9ImTeAueOPRJP+htc+pcez7oVl+cbbSEfJOrcD+9spnGa7Lm/W2XDA7h9ibuu5VA/z+Ygt73lZJT
dbuxAwB9m5mb0EM3yku6o5fOO9NRZc8doLyNfJ2FHjZWsMXPVzwmoqrVR9HrY7Md29Ex7ibcEy/M
CXNKtapQ27ICjCttLFT8vMSbSFoMXSAJ4aMCFhX7/nQCG9GrXqc06qtvT492PlODDVLlsbY5BXuR
XUUouanuD17Y6cw/GHZHq9IQGR3JdV8cgasG+FssR1qJ8KMmB0JpkXlZ9rpxbRpTvnEKQrxuXKYP
+OjLa98dsnZjUJ/+iYGku7VGFcJi5uBVdghOYaXXhiOXSe3NKiLjiQ2KPSIdoSt6ehBxDgrqcHzh
eGftxyIYgm0I6eYK9bu+JvfJvd10s1tuDsVVHijOm8Vl6KE0kEe4PRnyAt9la0K/3WNAfEolBuZn
F8CHjHuu0CazRI2IiMWOeczcwbpjwlkID99PbALHmfI3lvD+qJgt+IAm5LnbjED+bLJdbUH+UK9p
LSoEgMg2M/WD1YTqvRFX7oPaCXFXVrhPAFVMFeeiOu187TYISatdqHK/HHA34rLp8+RRs+qaulW7
peYkc0a+eZVW4sJT5f4LaDf8Uiybct1gWeWiB5pI7tmG3L0TuY+3ckfvls09WTZ6Te754bL99wCr
3kp5MIAh3EH/WM4LeTqaWGzkMYLeE0zCDYDqjVqmMotQWckukecOPrPyCMJhpOvs6qJZDig0QHKS
lKcW9D25ZS+HGZSE4PMkTziRPOuwDnHsceQJiE61ZB+Irj9lso10XIpJTUtQUkoujo67RnaX9nDr
P1Fa6jyA3dQf+JwaTD1ih8JT9GxIEswp7HWc2QVHJIhpN53sSY2NaDjrmWO+E+ug7iCgT5XLJs2q
g4gfQg03D0TulubVpYQ1iq3uapLNrK1tZDeKoK3V5km5wpKknTMmXMe6oOeilwWv7O/ZNRcz52qU
9a8DxSGHJCZyA0mz/MIVVl0nsjAWXdT/bMsS2a6harMWRFTpwhz8my4xIUwkvUX3LMDl57mFfxLq
jAipFqOkNl/6agWA3osRlzkkGlzSTyUi4lsuS27pMaV3QRbfauEwdB7dfcmDEspm3DjINRq3ieG8
j6OhEfcDo+ZlBoW6NV4lsTVD1bpJg5jGXZ/3nvmTO9DeIyt5E4oAkAoHp/wAyWV9cRNbf5llja9K
QvOGdJR25iaPV1ixJol+EVZ3LZYe4LAuhuMsy4FVHLU7LErjOQlkd3AEywEmk2wU1mW5sLP0DOv4
tjHsRVgI8m7Gjj3EwEjCjjQMlToBpBi/ck+mldJfbBEy3LU9pcYN4yHetxkb+bWOvNXt0kjtb4co
mjAjo6Bfh7a8EWUUgIEk5RgFMxE3meCx4C8UdgBsDlg2HsDI4DniSqLX6EDdcBaTpVEeB3vlTvH1
gTjlXF+n3HZusFTJ5I7eKfrGpd44XhcYIN7b1tS9OQ5bcdEyuULMpczBYqjES8KpVd/JP7jfrJT/
iLs7Z4GfH3AO2d/Ya3nld3eAAbkYnpRK8ZemCzno/3q6sQhLuiouKsYlKnul4DXfTjcmrqyFnswI
A9OIKTgSfZuTmL8RrzTBfsoIoyE9U78yJxHmvxlsXdxgNt+aaWK5I2X54/EG6I4VRY65mjMXm2Zd
hhvDdIdtGPYOI0dXPzMULy+NIWr2hdoL8PB9PR4NVQs/6cxEVz5inocRR7sL8PxvpyQglJictAbT
AfXOanrw3Qjlmv1z1TPA37aU0x8ZmHTX/PfyXSK6FzS1/JM69MYxyIp+yyDF3tRK7e9jTa9gy1uf
CwqqPGbe9Z4RYvmk4Bpe170iTpadaw9FH9Zw8/VH0ekcz8KsInKoZivo8PW+p2xvpIYnXalOFPBd
1s7n2gjNU4fL8nKmFcfTS7/0an26MjLCImEdBsecep8LTPvFpgcYrHh1UWn7NiyVk+UAPEUxazZQ
TWNUc33e505pH0rfAqs4GDSSxWry2RJT+Bp0JiQmO7sKWJAxPCphsRWicO56sB1noynCne34MHBM
/Ez4cQ21OZW5zghiakAeBhokD6UqH2DyIkEWQ8GkxTJKb7ZiZiCjINUEEZ6Mv0sjgx6DOCDhqHeD
cl2nbXL01dx9QKBXtnPulx9mjBjKqdIcT5q748j2jNTZNHtTQyk9x9BPtincAHy+tf1sWp12pL21
8CI8dWe8BPQLDaJdo+D4VIC7JC+wKjxks6NflGxlbwbD+ierqvqd2+afQSGm1DDgG/Y4SuAYtti2
AObFOaZQI3sLHItWcH5PGn+aj3D/25tUC7o3dbLzrVEyUJgTs936dl7tMIh5VTacJ0ejv9R0ypXb
xE8E0Lud6vrTRwtgh37F0MXQEJ2JyRI7d+ZVMSA/zMEWmi3gn0xpNrXZh8fcDkg0hm3MGIl9V6O/
yNGS4Z8zITaQEH++8G0/3j/ql/Rfqxc8LPx6/1HXUVvU0/9H/pRf6ftCaAMm4cFEuxSshNbvA2Pr
NyAoJv5iHZOphir5x0Lo/maofA5cA4MUK6Xt8OW+LYTOb8x25UIo4fRcAX8pHG7g3vrzLQ8DrJRI
qYnBrqWaRCZ/XAb70jQCN843dQ74CnjPaMEhrXRMfU4j+nhL92CS7rB52e3RLnTl3QEQ7q9GNTHn
/TT55qvNZYWUb946hHHDaHrgzkMlGStyd9G5ZtnucY/iKuSA0GzNkVBM6I1d2wMATNXL2lbxp+pj
Gj4yVJ1OXRoxd1XagsPKaHzQPhrSiBphf8fQGRgPcVVjpwSIXANlIprgTBddqFkhTD4GhqU35PAg
VgP+yqSGQgztz1/Af70SiPxk+I3LpWUaKN+IV78uaFxGb4Ssii/tj8L8jwL//1ZF32Az/vnDscm5
h/7UNShf+/1xcNm8sU8YUPtMGcD541zARmyhbAi6aS3LVPmsfjsX2HgkoPHApcRTKKjx+8OTzZFB
tjNg7wMWjpFa/JJ/QpP/yF8eCOkadLE0kRIGgviXByJnlI9EW68rbAp8XHPtnIdivpYFgnKorBwC
aohIRWBluCnGODoOoPqRCaP+QmlcPtS9Nl7mOuNkXHGtnFvBernAS1I/BAaYejvWBjaGDCokeRlx
QBvgwKAnuv+Ec8TygkoxUo+RVXCvZRoDqj4dXRMxL27p6a4kJtZo9VsFyYYxMpi8Qg/tW7KkLf4o
Y35pU6vHgKbF0SqM6eLewj6sXa/Ry/iW4QqODjOoVsFIVK6XCN6uc6SWiHN8Tdh5Pky+8VFQ+Uk+
V0S3XVeRVUxz/1iIsdiQP4lvs3qGQe6L8C6Y9JxjSqa+Bak+MDhVhxvX1yKgQFng3ykxk1aGo679
4AyWc19yODkggZofIbayXW7pXhmZPKaYJ12sBo2+4SHlJBLg7NspmT69V4Q77weIJ1u3d5s9ark4
pIM/HRrXiT4NiaJfUpBkPzpRWFx1ttpNDFpi59IBKba1qlrfRnqlbysnrJBhhcWobhYPdZWbJwb0
+ZaSYVyZNA1sqtSoriElM/ur3OYYqdg1M81W9n4whACzQdvCvjTDfT7V7drxUZpy6fkUiRZvgAQ0
e5/ldS1GcGtzXNK7rE6ap1QBbzvGBWRpXKNdxBfsfaO/4lTa7GcnVA6z6mKZ6zlggH7SHvEfhm+F
qPVdGwD+1JPIfBH61DxE7Benysr0x0TtzaNt9vY+C7r+QPtWTpDYGWi/oYvCy5qivgjVytxqbkIA
irIgih7c9FOZ0vQYFR1KHO/7titGk0xRbwCprM3t3CcNA9moDL2px73h1EBjdLdJ92ZscmKheCQD
yPQWl3lxFyp4epDh8ubKLkJSX3PuShq0XrfETZHKqpibW9NWxieNW+uD0YRi30QFHrbEaniDIqJh
+jRxzIw4nJZJMsKIV6tVY7rxqvMJKZEIbS7gj+rb0Q2CQxNb6oky1/HCkagLJv0FN2amf/dA9vKt
0jXzR0sU6H1miaczQ9yY6diRTe9Dl9GXlWxsYr/XjRVJ5l1dbqeacnaEM7JLNNmPxyCwlZtc9P2r
EbTq2nEzJT5hKmfEVE7D9tc3i/+lg11pePubbSCJ2p+76ORrv24DVDwTtUWptm3WPvYC1uGv10MD
W7nusNYDNmJt5Jzz+zaALi6gvP2OYsAr9/1UZP+G606WMNrQd1xT5ha/j7ivv8Yev87V/xi7/xiD
/PfrofTysU9xKMI/bvzletgMMC8N1C0aQ7DaJmWxwsXEOFVgbt74mkYZu4pP6EHVpFcNGBsl9VnZ
HMJAHT5Fbaaf9TwVN+ik2qsT9B9DrEwUHWv/j7wz220jybbor9wfyELOw8sFmmSSlEjNtqaXhCbn
PEXO+fV3BW25PZfrqh4KKKHR6LYkUkkmI06cs/faJM1lbVB9mJAmrUvMI5ie52hlc6AAZiyyBeKl
E4+Ty8rutZdJVy96NLR7QF/dg91Zmt+X9XTrzJnqrlrPvU+hEoCQlWLaqMcln0azsvGGxNijslN9
lYTR9TRpUQTiYOg3blSNy6BTg9sCxQ9aKDTPWPC8nBZn3pHUKqW7JgvGHIX13qmGM5F20GVmkZ7Y
bn9io0bvG+0ZO+CwRIZnbjGh1kdqhZSHGBjOnyCC/AoI/xLZV43Etc6uEyCpp5MdK/vZA2eH9RoR
uIhTa2kWCsjIyVboqvfPGQSMNRT/2lrkfWWftE5brJ0+MLqjwGzjY0MxqxW710MTx51vo6h/L8Q+
8aJLEl3No4BAhjvyNJr7YnQd2D5Exrcs7Uvo7M4FS237Pu/silZkMbzDwO8My1xGbMHLh/pVh/hv
iGZgzdbVYtdUbXzUE2h3p7Ujo9c4Nf0U0l66OKAAUJK3J9SbwloRfa35hZapm0hDQoZWbmJsqh+T
4FZtVKgQ/BCxr5roVqFERpTtlJ+WjWjuAlRTK0I22kVjN8rx2CKqwXCfLnAtkNRQSRxFj+AL9AGI
ilbCKlwBtgKyOgSL6ECziCTYAvFavxwOtItBgi9qicCIMle7yCLMzwsOuNU2FZG2ytBGXafROJ8X
cznTnXbL83GuCwgiNEVB2aHjSpXcOUtS89aYW7hHUWgBLIqdU7vEXCoqEb/H7lXsxlyZz8dELMOw
Ys+LiNUlzhHuaM2EZoMB+IyNwn7496ybv1Qf+49lMf1i4fwsP5bHP5P2qAalXRbC8kT3ceF0QGHC
EaNCVvGfu3Jg96l85qBJ7+zwj5L8Ls+Mr+umRVwZw0ceS9NA2bBy/pV183Bk/aZ81qnEWdSp5VWK
ccaTX5pubKedKDDEqoqVD6yhw1KQyXUd6ZGKFCOMrjnKDTikjWgPLulJKeP3trBP+Fxsc3LsDSx1
4MUIprCym8mogVcVfdshEMyKq54h4lYp2/EsL5wNtAyG5lELCzdyB18HRrnEaHiPYRCCk63dMHIK
V7lMjxSzezKQReKnVhXt0TATVsXsm5mIngJ4Cm9MRdIeK9vczkbWr3IVYW+MxmNtkZ5SMMny6k3V
Mt7LJu2pzrP3EsS3nkYEK1YQsZYBRj8lrKo7xVUTLsEkEjVa1Od5o3bWMsGyv3amxPC1JOrgUuM0
RPADIEPVggXAbsI3DSgsKj2eVeeYYFvqDJBUMz0EUJ1X0WSRgJlV8bpXY+0qa5H1wXinLu8MdedZ
AahtEw1E4BjzBpy1zD0BHhx01fxk9VXySGeeTDArM10o3551T3jhSG2mKCuCSKwrIlxJqMazfhJ7
Vn+hGionGwtEy2yXxWUF1XdRxKW2KYnqbE39to69C9yJbArFcwuuBClzep67CpacidLL1fFCKjGn
8DrFOK2RS2FzTU1kPKaC3Wc2zGbFyYsHywwF2U1KRrcdG0srETqGKUAaagGHw81t9BTsfUYMM6Rk
TnvSTfOjG5WPEVzkhSb0I/p85RJVt8Uvk96DcVMswXHQMbSNs6RAFyWGdMSBPyAcrWk8WBXy8thJ
VMTKzrGIqglJ0JQvRRtbi6RXkrVduS92ql0nWX41z9bLFHXaGqELe+XIrBGOwbQiK3cfMHZmt8Me
5jpHXTucMpnuffot973W31b64O2QN+MbizBRBkjXZ0bSy8auu60lqup6bMMzhxH4MjCMx8GM7qzW
uFOM/DJHKLDIC7iNqWl2W/wi1SLTNfIKnOHWYoecS0jvU5mn6xZL/ZGuW7el06jIzL1gEZKiwqvm
rrH+P8Jgggjj6QzD+kzdxdy1u6rr4+fSNLS1MWjBdgYRRJuQjZU9QllHhiiXtU4lAEgK0JLduUtS
QJILxDDe5eDkzbomd5TbZRrv7MTWF/TXtSVpMgYO5SDqjvXcDqaV2+vuXpilsrZ5qmmJQhTsLH84
ESlmMK+heqIjsygd0Na6iywe9NP5cIat5HF2DiyHMHaOuLU87DJk5tybySMw4cachrXDyZhCIcTx
1XJe5gNvE+hSBTdJNyDRn+TRWhxO2bY8cCNZNjaWPIT3NGYhfzrQzRO4XgzVu2Y8EYYR+k1idXvT
Gelry4M9R9/kAn0Pp31DHvxZiz0YNzQDvNjTTqccm5InjwatPCQAwee8YMmjQykPEXWmi22LiqDU
RbKjap1gavD52IZxPKJai+PTvHDBZjlW61tj8kHUA4q4tIrccBXizA2oi9LhijViuHJh421rNTCv
qUqtnUX5se3Mrlnlppn6LbL247INo9uka81rLAhP/55dl13w56eVxUvRvfy8acXvfjyteLBdZItU
57BiGGyxX226mH2k9pPt00Qz8XnX5bSC24d+lmxPEQouXbCferj2HzSWuN3QKsoBFKedv7TrMvv6
pmnFyIgwcvrFSIawvMrTzBdWVwTTqYDcBjW+K/2mT5ITjtVVu8x7Ee8I+YZehjX83mgVEomNtnNL
4E+GYqw9qOvN0sFK+NTMWVOjevTyah9h1Lxsw6K5GZnvgWMqqrB553A4f1ALojOWjqcQ+GSoYxIc
EU7kMrw1pqJbD4eAKLJUEK8lBQPf4yo5REkph1yp/JAxVRzypkowocYHA30LqGt2LD+S4VQtAHtr
RzgE53WFKCgwl5AK+gO0QOILogPJYDIxorKiB4POyUHSDsyP6IMslRyEEFffEdj8bNw0Sh/pvqEl
wLjCknHe0hjsqT/JioawLA6mc7LMiedgZlcHrrrsU0Ad9+7BPz4cvOR8uvGVFyozsU3d94Si5FmW
bZEjKcUmQJGJUfZgmsUQgYEWFmljsKqZQKdYEmBp0lYxlrDrYjJbE6AkqxSNwnVshdaybio9ux0K
dchWtUePClcJLGUXxfllKPtJPlEX6rRyDgbfhKw5n1j2SgXcggMYyX99lNNFC2U7jSkku5Vr5L0f
HBpviWulhu8qFqbSBOYpFkgliq/a2FM+GD3mYRBlag9cJkBoTOoEPSsNU+9FrBBY7nutMRtnTMms
LV1IF+0Ri7Uml21dLuC2m9ZihTuOxd3QQOanZejt89FUphW+jYSI7iIEZN7mRIt2sE8umywfr7tG
US9xFiWPrR7EzzCK0HwhPzWv0Rc4xsrillnHSRZAKg7Iqqe/v8zEJNbk49mPHg23fVBgGFuGugbc
h9NsnSxpc0UbTqQXoWKU25D0+CWqg/cWZdnW00hlZV6YMQFLwsuo1oIPmlcbJ5rQboa6fUrVmg6X
JqLrYsijZdnalT/I81RiWeWR2ghzzXxDO0rK6AHCg44mc1K2s9BP1SLLzz0zmVZgX568xM6u5NOi
xHiqQu0krcDAJDQY1qLq4r2SR8+BsA7lI8jp9Ehwll65ANkE2YXQwbPSu7CGBINu0s7hLpv1iapz
nMf7uRlJTW2CPPfVudbJ9nGDowRZx00v/1A7T+DxBE57ZmlhQjYf8ZJF4544WUFztZcUDb3Stt7k
9mSgdcrG1CfQbRAExU1iajTv7KiRFDSrW8Z2qK4S1xxXlVB4GbPofV4lysqoNT7R3pymF0MDeHa0
ChaaOYRvAX5iGXrRvKJhG+4zcmyXKaKlsy4SN7n0p4pKn6gFe1Rppe0qt144YHjQrRNj8KY1cWXj
kqZveR06VbZW6hQ70RRUy3/PFsa+8Yst7GF6yZqfOykkVvrjJobuQmX+CMQck+qnPNWPJ0d4DQ67
lCqtqxBx6Jx83sTkt2jF8R/OdRwTVb71aRMz/+Cf+AWabuDCOPX9NUWG+s0mZqBr1Szd5jzK6dZB
APv1JuZkjW7i0caNXVfunhYXccSuQk4RzrCmsP3Ac3sskQSWxtu5m9p3RmgMyiJTJ3NeMNxPpnVY
gHxqbTHcKEKtPogAEDr+t27jIjG3lppdJye5NmmQMuvM0heI76kAsz6vXmApElCTiJ4UPxMY2Qbn
YWpdVqgSwwWO11b1gdl0782+bsEGc+suOjqS9u0wujUCfeyhwp8NlUwizy73dYZyY6kpbr51ahqH
GJQQgi3H1IhIMJ2mCqEmiZcPoda5mMumuM+XJCcPpT+3JYP7uq3fk97VDKQVi1tPIW1iAUmZvL8o
map3AFcCZYHbe+Z4GqKRPWbxMsgBRfL/MNRFhHpBrfvnHL9JsiCPxlD5h6S/zRpPPBWtwQl1jEr9
Ko0xLJND34DZwUnPmTosPMz+OkOLAceo532IUpGfYvcwXvRoPIuyMUp8nUVHX3hhS20d9E0LvzU1
jGuOqvrMCXD2oL8IFFzzRMjBe/zIIvEnTfT1Tu+8sNkXkeWuRY2E4laUVQ6FtY963bdC/JjovFTl
AV2O9sS7AadyMse43famcpeGQmynbA+bc9AwB+zbFF7Hv2el4MP5q5Wie4p+0WLilz8uFISqqOjI
JQARLhWnGprfHxcK9w+HIpj4FgojFTWD998ek6b/ISkrOpNT3OcHX9XrQoGYQVa6tO0BKsp15q9V
u/JJvu4xgQbBew8kxmFuwKD264UiiyfT1vRh4xoQRxbhrBa35F2a78MDvR1V+SXp8ZaxNSTdfUTJ
PSPm0kQA907t7mNsJdZxnrpg4aEwgIjHzSIImjig46tUgJEfQ4mUd0XDd+MDaj5Bp9/5PVXGElUB
MHp8FaiOOdcG/TH3P8mzzaynuc9EzmtIbfMmP4FQGKwcE+zRMpLxtTNIHE7X4GYWBFYJdDugjzYD
MYD61iSnbqHVFj4dO4gHG2wNKNXzvjdItjJwtyqb2gvt0A+MRod362qmsZ4cb7jvoJMHOMmHdmcW
OLM65rN0rDEpGX5T1VjCJAj5CLnlPCyVMUCQBgB9zt8hTbarrRnNrF+9MxDvFfeQVhaBhcQVf2iA
VD13BMZvUjA2dWtNG3sgSmwJpLk9A3ggjtKhSvrjtqqFWCChrI6ZsTaXFSKmvSPiiQ5CFIymr1n1
CA8SDbpvklFzleRDYhOS0nqNn7SaceeZpYP2PuhpYfSMJ3ZWolnnaor19pxwlexuClP6RA6MAlgB
ZocU1QP7tYijKHywoppxTMMr/yDro2AJHhKQLD2AztkGAanXyoCGeQhaoKxkDoBIVByq8ZKa6nnW
a3Gbx31GpD2OsX2rDbupi6DM4gqbwnNtUkJMukUzPIDVHxhLFmTYGaRRz8cAZZ3T0SEwRrGdJj2y
GUXXq5wkHl6jBqV9bUrR/XwQ4GeYG5fMtxIysg4S/X7o5GJpA9QkKMzrVKqqLJ12wL3Q+vOLCqF9
Bw9AYCCKXZjSGjBKCa9vEwdygQeueCA9xjavgJYMzVoF8qJeu9JogLANlf3BfRCiuzs3ADkfp5Xt
PANCAD02ScsCRj3cC8moVbFvHlwN1UAuATm5DHA7XiMORdICQc71eD47VlfQje2UnNUfu4TdxNNt
YrPLgdKVTScPzE8lLRb1wWxx8F1UpdUh1T1YMspYDtwPRo30YNoYpX8DVI7t+vXB1qEoc5ttkC0W
5/3B+FEcTCDZ4LYbU7pD9HJu4ZQ7mXcqkwzfO6IPjkrpKBnKyD6S2TQUn5l92pu1uFSkB6XgFFmu
VLNlM/QiTCq0znumSNK6Eh9sLNacBCdJWc/gHQ1r5bphxZIwCQALSINdKRLOmmawj0hfRjusHnTE
nZQUV1JcHBx0xu2MD9SfDvrjeoiqY2Tkz9GYn4rYMHYcTGhRS8GyftAuu1LG7HidLlYFkdDMYURV
lqv5oHrWDwroUoqhu4MuOseYcs2izOFj0hv1fDxoqHMppzYPymo0n4pyZs1eDEYpIGj+yhis6Cb1
gNWg99PNNZ8KGZPpKb11ZPHe36hxa4dLvWm90140aCFTE3gzPr9sYzUZTmniAl+qQVhio8aq+oFW
qXI5D3axV5BbB3STUW+voA1Wt8GchKwEmV3sKgdZwrKOJpv1NBp0kITOpMYbmxARPhFZs4Wvta0O
+RSKJ7MqhBzmg/NkyFiGEWEWYhbkWsiIC0uXR1QZezG1fPDfKTxAx2seIzfzSLXvdgHsOrI9DukZ
5iFJIyRTYzyka8CN0Es/J5YQ77fTQY7QD2kcwyGZwzRKjO/xIbHDo+9Rw7mTSR6NDPWIZuI9IlUm
fZiH1I9okAkg/5oyw0IT9fMy4z/PD/mvDHDytz/VGcYfDPiZWBk6Gkcqh9cygwIE+zYAG9VgKCVV
jp/PI5jmcMod9GPc7ypDq8/nEXKP6TfonuViq2Nur/+lURZdvW/KDOh2DMsYqcGIVXXjW4U4oayi
mnJjY8xJWi6VaII52dTqMTBm98rVnGGrzPN83IMJ3RFxHbwIxaFR1GnVRd1VZBJYbUv2aj72t6U1
9LsSg8SpCgPEW6RJbK+n3jGXTN2rq8zyer+1m5QRspZFfiN6ZxVadf4OVQsz/aJW7gNh9ulKDXDi
cuTpPGzmppqv02KythNdjTMROsFx2E7Z2QxbWd2Mbm/d4+FXLzt1VJxVbcWZ8SGYsxxflZOJDdk1
CeriRhmPcUjpl3MbMonKiYqza7hcdLTN8aghl5HjfRweZYgy/UZpxW4md1llqt7rj55aiZcJPtkt
/Ez3Pd0FkkYLtSxzvwkGd+XMRXqqW2oY+4xk3CXNvGbvzki02QcYMRWGM3wwGVrtWqYyFCZY015I
oA9fhqpmVi+wUj0R43hUqmP8gQVufCZXk/kUrvftZFYlsQqd8chAhg5WFEbeYhzBya31iR7YulCt
cG32rnZKG606dsOJoIjS0E7NNMczNTn6ll1Ku1Lh9eBIApYfrFA9Nb4K1ucODI6OfohsOUsOz/JT
r1OC920/J5dEgvgEMgz1UmcOe4S+oWZLUfJ04apI2RxbSQmUt2uencPoEa0zk1hUN9zrDTcJJWGJ
OtVpzXGThQoS8axPqk3sZuF1PVTpaWMY0dWUNYMvKIAZdTVl7XtjjjSrsx3lJi0UaNLa3N91TuM9
WwwC7/Q4juIlMy8EFbUJtrByMn1jplZyPFdCQ95fFAMzLoYsbAlm985URSzT41MF/LRnXSheZ1Qw
1WbalIKkxhUB0uLOg5JB68zDA1emhnPHEKpYpUrW37leoNDijDF7lhj7771MaAtqEu+KbZHNcXCZ
rIAKKd7RQ8jUhRuI7iobqyI+mhylv1NUp7zTZiveZ6ZTnngIFHs2oLIm41cfr72msre2VQ/7dpS2
RjEl+gqk0XA/lEW9pK2l7+3QHI7twhj2Rqcr/lj2+5jL2NXV2G4rWEIZTLy6gWVXcDlalW4MGHzP
dgK/1LDHBxwOzoJexGnhdt4ZobrYxqbAJnUZ+1f4oChx/TyizDEogGcsYzO1G5NaYgiQiJbdelTg
G9VV1RAPjG/lSOrPVogL62JLu7cxz8uQBsrCUSL10iYtqdzHvVC2tRfUazJa7eDJDSpFWwYMpXYq
gFvsYTBn5pNhaOLsWIs6cdWDlkvP2t4zYbWSkXyhTw3lvpr3zYmijbQC2g4wbTIFxtpslGHRmkN+
PdfaeQu2l2Ursk4FAakGSEbNHldB5M3Z0aQNVIEdx/NgKUu6fkkf0xGEag/GcoiwH+RmPyrHEINC
B0S3V2O5b/BrkCOo3cF/Jf7IqJzWvRiFVz9aDm+wkDlXq9DLCTz00IJuNDUckLKS0bEO+oLgJWbw
RsN9O7tBTYehTQgD52LKvRbpxaIbZ4LD6Kg3m7kps13shaQHz8MAczK38g8S2fQYQ2r8AJanE8dx
nBbuKcmRyqqEwjf7SchsnjAtspP2EAlF6Fcsr0zuNZmd3rWG4GxU0AAVFORHBsuv9U4pWhDtutHi
kwigwyBJShoEig5E43XqpADbay8pSeSDl8kuMBBhzJglcSjDJrmsFmrMi8bJLSifGF6EOzOKkhUs
CPrzkRtrTA4s5TTnHt7XgIbclUm7ZlqQz6hdIiqudo5bWyc9wCM/Fma1H1ul9nk0meqDYRQORZdx
pEkNSzZ8rARv5KRad0bMFKYJQnxLrUWBjgypj29M4Wr3hMJLBLpbPmsNFTG31OAGSwu/lW/ZMdAd
gDYMy1WnCx/ALFqrYEzHe600At/g03kVJAGIOLWtSCl3YJqIwMWIbahi1xN6sOrccLz599RCdDF/
UQs9xj/vzEKe+VQIOQRJ0VhB+Y77zXGQHL5WQgjf5UiPbxkUNTqlz+dKyAaMo2v4QGjmeh5NFx7u
c2eWGCswABwJ8MoRZfGXxJCUUN9UQvxNeH35G+AdsvLLpIwvx4vUykmELGfphmx22JrfxYZjszPG
BXeqtAh3lneulwr8tikls8fOHT/XipgPHca5tgMkoth8rNGGI/OoZnERC4c6YVIIjZiJmObcwG1p
F1uinuM1xdO0rod4nRttu6mr6FQYxS37W7gIGcGuAgXtsTY7Txav2rbtYhB9ebyK6lI9GoNUP5na
dD0HbX5pKol+UeItK6baPGJAlpxU+G3WYYJYmRPPVuWYPAzZTkFbsGgVB4k/V6HOkLdS53iKj1kH
oh0tyi3li7ZnxL+iSfrcNFN0Q5TeukHuQC+H1Ys52262AnWpx5jTpjYkmFUVa8Qgd/NArjTUbdGo
1QJROmG91fwcJPB0vNw8xjqoLgqkH37OVnfTZWp+l0aTe6fpIfRBxws3BGE1C6OJ14ZV47XJhvgk
MklhkBdqM6dbDKoqCKOCJhJb5gVusZJuQAKJQNwACR+2nddceIyh2IXDYIVBftthisbST6xMiExo
Uvy5MnlNUvMZS9j1iOH9JVYmch0KqAQKbCljJtwqo21OO5loHa0wn1V9TC6AQjBgLRxvxRyrXNRG
Y6HvtiYO60L4QW/mtF+m6VlFYH3vQjJed1o93FlVyOmvVZuVarWEPRFXcVLTKNgVtnZXa8Ttughd
JvpYGtZgPbVPlDh8TqR8rG9wGhtdU5+OtJAXTpg9e5MZP8v/EYdUrrVT9HiVRX00Kk2y9/pkhO4I
VPh5qqf4flaTYk95KYk7Rbixo0rCl0QJ8GEidjaN8VxGyL9WqZRTVFJY0UmJBcK01O9NBhK2FGCY
UoohpCjDk/IMTQo1ZinZgIWBeiM7KDmag6rDRt+RenPrF1LyQY5ufGrG5ejrUhCCwWNOGWiqyW5E
mCmkcATziQIdF1l6IAXqdTmMKVeAbF0dA7ahuBrPWY1TX5XydgbdKN0zNO9Un4TfUoY8l53+GKYU
NBov8uMgcFA6rd5VCy/VU/KtC32b0QEmrrirAMjMit9Il2ct/Z7dwfrJeZwDtPSDanYVHhNAXfPu
Tme6dI1O0j+KKcU7KTD57xQbd+ksfaZTjNNt2UsHqgAytYxsgHGVC+A5SxkxlOMVObdibUn/ai2d
rIH0tHICqm4YS4ptWDHGSGgJGtZYk2qWBltH+mJLUEFrV+PzInorv3Xj5sHV22Lj1G57TnZZcoz0
UKxF31QM9L1qNdhNxqheumuKmJcWg25ZdvgqwdRdBWBA8SyAxC4xPNyqRoy31wg45YeOLbaWqZcn
hCMYp+iAx3XRD95KKhXYIBlNqXOrXQoe+biLhnStKWpypIU126djDSd5qNq+mcZ8AFSl2Wk0qd/l
sfwkkxdzZ7iZfi1EW94OfUFfZix6rKwt7N5eJ0+Y1Wtay7ht3875L0sbn117HDfUAJ5ENBGM0hj6
7WwrzT7JJnEMvNJ9EoyElq5KSLfiUQ8UztrsppXWdLdTkT8REjERIppeq723M5LwNGQtJLEkmi6I
GFpUzLl4/dt3utk/UEA4S8itpzZavKSL8qWO9sK39OKy0xR7B2DlVBuLl7kre9Jyung1t4V7BNCJ
MTlB4k9GX/6D7KRf4PL8bwl5n/0CEpF3yEt6V/7/fujViPDjB/qKqvdUdkUrGX1hXBaUB/+l6jnf
yocPf9KB6PerRyDDOG67Z4B9ZKEw4GUL51N9+OIBs7IIP32bGoQvjJOv30biRGHzxSv0s9fg15f3
PW7w+8f56gL+DCworRhfVVw/eSG+eZz/vhAWgyq0WgzD5RXzxaD5ixfC/gPVMhEp/MjHr3/cC0Gz
DPn3W18G+w8dCAuxDQzmDl884Fcvg1SK80L8Y18G5HMWZMQ33g00FOkwWtJ//dX1k25BpYt4FtXD
x69/2udBqvaRD731+vU/+MxbMMi+unxJ0JSMDvqw/9DLxz1m47MiZu9ty4HNcmB7dJo5gL2+0V98
Dow/LMbMuNBev/1RjfMPXBc/rlMf0bKft5rvN4ifrosHfZBNmsvrO05r/YsXAqO1Q5iWxuT/4xc3
zD9yg5Dc/TdtEIwfEDi48MhYXL54BVwMNhCvpc3w49fHW+8fdCsgyKCP89YlwWVnAL1zSEv74vL5
JNim1Hv9U994Bj5ve+OxnrLx05L9dIerfKS+eAEADtsqXA7n9fsfez+/9f7/xg99LjiXBMw/H0rN
+KX5gtn8pz/wWol9/wDfVJJf/aDkOX986I/lpvz///vVKnGoAr/45mtVeHieT7/+6QK/f+qvnuv1
ql7/cRtDVBEcNQ7fmD79macPOQXr2fQDztTnO/y/f853LOrPH/5fPjqot++V/zw8vS4pmfw56vq3
Hn43kFH4o8cHEe3wAXrz4z88dz/iZ38uit76BEtAJs3/XMb9i/jRZUicDQXjW59lgTf/h+/yp9Lm
rY//n+Ihf/zRG/G5hn7rM9w/5B9++FZ/qk90Nom3Psdd+fjy+ihfINZ1lqe3PvQ7/vbHH9yor389
h8S3PsVVmZbtD97k16f4G26jw23afH+fvj4FG8Nbr+KcA+TLw88JN3/HonHW/GhNer0IipG3XsTZ
n0Zjv3HZO43DH60Xny5BDg7eegm/l/76xsvYP4Tlz28neeR462X8ecbiGy9h9+dxVm99hoffyHB4
83P8aHt4vZ3+ho/179C633gNf8rLfOPjE2X4+AsTI6eBt96sfxl898Yr+g2W2Fuf4c8xNW99huef
b3nm37Bx/w4w4o2XsHrJ2p+XBrIP+9Yb6zf8t2+8hsXv2KPe/Bx/bqx441P8JyXv/Ijc15/WONbf
8Dn/LenmW6/kTyURv3yCHx0zP08pvj98vk4ffvRrX5+s5U88ZS8P4n//DwAA//8=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b="1">
              <a:solidFill>
                <a:sysClr val="windowText" lastClr="000000"/>
              </a:solidFill>
            </a:defRPr>
          </a:pPr>
          <a:endParaRPr lang="en-US" sz="900" b="1" i="0" u="none" strike="noStrike" baseline="0">
            <a:solidFill>
              <a:sysClr val="windowText" lastClr="000000"/>
            </a:solidFill>
            <a:latin typeface="Aptos Narrow" panose="0211000402020202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Reversed" id="24">
  <a:schemeClr val="accent4"/>
</cs:colorStyle>
</file>

<file path=xl/charts/colors1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4.xml><?xml version="1.0" encoding="utf-8"?>
<cs:colorStyle xmlns:cs="http://schemas.microsoft.com/office/drawing/2012/chartStyle" xmlns:a="http://schemas.openxmlformats.org/drawingml/2006/main" meth="withinLinear" id="17">
  <a:schemeClr val="accent4"/>
</cs:colorStyle>
</file>

<file path=xl/charts/colors15.xml><?xml version="1.0" encoding="utf-8"?>
<cs:colorStyle xmlns:cs="http://schemas.microsoft.com/office/drawing/2012/chartStyle" xmlns:a="http://schemas.openxmlformats.org/drawingml/2006/main" meth="withinLinearReversed" id="24">
  <a:schemeClr val="accent4"/>
</cs:colorStyle>
</file>

<file path=xl/charts/colors16.xml><?xml version="1.0" encoding="utf-8"?>
<cs:colorStyle xmlns:cs="http://schemas.microsoft.com/office/drawing/2012/chartStyle" xmlns:a="http://schemas.openxmlformats.org/drawingml/2006/main" meth="withinLinear" id="17">
  <a:schemeClr val="accent4"/>
</cs:colorStyle>
</file>

<file path=xl/charts/colors17.xml><?xml version="1.0" encoding="utf-8"?>
<cs:colorStyle xmlns:cs="http://schemas.microsoft.com/office/drawing/2012/chartStyle" xmlns:a="http://schemas.openxmlformats.org/drawingml/2006/main" meth="withinLinear" id="17">
  <a:schemeClr val="accent4"/>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10.xml.rels><?xml version="1.0" encoding="UTF-8" standalone="yes"?>
<Relationships xmlns="http://schemas.openxmlformats.org/package/2006/relationships"><Relationship Id="rId1" Type="http://schemas.microsoft.com/office/2014/relationships/chartEx" Target="../charts/chartEx1.xml"/></Relationships>
</file>

<file path=xl/drawings/_rels/drawing12.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3.xml"/><Relationship Id="rId7" Type="http://schemas.openxmlformats.org/officeDocument/2006/relationships/chart" Target="../charts/chart16.xml"/><Relationship Id="rId2" Type="http://schemas.openxmlformats.org/officeDocument/2006/relationships/chart" Target="../charts/chart12.xml"/><Relationship Id="rId1" Type="http://schemas.openxmlformats.org/officeDocument/2006/relationships/image" Target="../media/image1.emf"/><Relationship Id="rId6" Type="http://schemas.openxmlformats.org/officeDocument/2006/relationships/chart" Target="../charts/chart15.xml"/><Relationship Id="rId5" Type="http://schemas.openxmlformats.org/officeDocument/2006/relationships/chart" Target="../charts/chart14.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3</xdr:col>
      <xdr:colOff>314325</xdr:colOff>
      <xdr:row>6</xdr:row>
      <xdr:rowOff>185737</xdr:rowOff>
    </xdr:from>
    <xdr:to>
      <xdr:col>11</xdr:col>
      <xdr:colOff>9525</xdr:colOff>
      <xdr:row>21</xdr:row>
      <xdr:rowOff>71437</xdr:rowOff>
    </xdr:to>
    <xdr:graphicFrame macro="">
      <xdr:nvGraphicFramePr>
        <xdr:cNvPr id="2" name="Chart 1">
          <a:extLst>
            <a:ext uri="{FF2B5EF4-FFF2-40B4-BE49-F238E27FC236}">
              <a16:creationId xmlns:a16="http://schemas.microsoft.com/office/drawing/2014/main" id="{1078F13E-52B4-8198-60DD-4D6C643C41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123825</xdr:colOff>
      <xdr:row>6</xdr:row>
      <xdr:rowOff>185737</xdr:rowOff>
    </xdr:from>
    <xdr:to>
      <xdr:col>10</xdr:col>
      <xdr:colOff>428625</xdr:colOff>
      <xdr:row>21</xdr:row>
      <xdr:rowOff>71437</xdr:rowOff>
    </xdr:to>
    <xdr:graphicFrame macro="">
      <xdr:nvGraphicFramePr>
        <xdr:cNvPr id="2" name="Chart 1">
          <a:extLst>
            <a:ext uri="{FF2B5EF4-FFF2-40B4-BE49-F238E27FC236}">
              <a16:creationId xmlns:a16="http://schemas.microsoft.com/office/drawing/2014/main" id="{5A0CAD49-5F91-5E7A-55C9-E6D3B4E2E6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52387</xdr:colOff>
      <xdr:row>6</xdr:row>
      <xdr:rowOff>185737</xdr:rowOff>
    </xdr:from>
    <xdr:to>
      <xdr:col>9</xdr:col>
      <xdr:colOff>357187</xdr:colOff>
      <xdr:row>21</xdr:row>
      <xdr:rowOff>71437</xdr:rowOff>
    </xdr:to>
    <xdr:graphicFrame macro="">
      <xdr:nvGraphicFramePr>
        <xdr:cNvPr id="2" name="Chart 1">
          <a:extLst>
            <a:ext uri="{FF2B5EF4-FFF2-40B4-BE49-F238E27FC236}">
              <a16:creationId xmlns:a16="http://schemas.microsoft.com/office/drawing/2014/main" id="{9053E8E6-059E-218E-D5D8-5E2C3A618E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114300</xdr:colOff>
      <xdr:row>6</xdr:row>
      <xdr:rowOff>185737</xdr:rowOff>
    </xdr:from>
    <xdr:to>
      <xdr:col>10</xdr:col>
      <xdr:colOff>419100</xdr:colOff>
      <xdr:row>21</xdr:row>
      <xdr:rowOff>71437</xdr:rowOff>
    </xdr:to>
    <xdr:graphicFrame macro="">
      <xdr:nvGraphicFramePr>
        <xdr:cNvPr id="2" name="Chart 1">
          <a:extLst>
            <a:ext uri="{FF2B5EF4-FFF2-40B4-BE49-F238E27FC236}">
              <a16:creationId xmlns:a16="http://schemas.microsoft.com/office/drawing/2014/main" id="{EFAA06C4-5229-0C58-17B7-EAEE94EA91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314325</xdr:colOff>
      <xdr:row>6</xdr:row>
      <xdr:rowOff>185737</xdr:rowOff>
    </xdr:from>
    <xdr:to>
      <xdr:col>11</xdr:col>
      <xdr:colOff>9525</xdr:colOff>
      <xdr:row>21</xdr:row>
      <xdr:rowOff>71437</xdr:rowOff>
    </xdr:to>
    <xdr:graphicFrame macro="">
      <xdr:nvGraphicFramePr>
        <xdr:cNvPr id="2" name="Chart 1">
          <a:extLst>
            <a:ext uri="{FF2B5EF4-FFF2-40B4-BE49-F238E27FC236}">
              <a16:creationId xmlns:a16="http://schemas.microsoft.com/office/drawing/2014/main" id="{8D454428-AFD1-5C9E-5AAA-6DBFB38F1C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314325</xdr:colOff>
      <xdr:row>6</xdr:row>
      <xdr:rowOff>185737</xdr:rowOff>
    </xdr:from>
    <xdr:to>
      <xdr:col>11</xdr:col>
      <xdr:colOff>9525</xdr:colOff>
      <xdr:row>21</xdr:row>
      <xdr:rowOff>71437</xdr:rowOff>
    </xdr:to>
    <xdr:graphicFrame macro="">
      <xdr:nvGraphicFramePr>
        <xdr:cNvPr id="2" name="Chart 1">
          <a:extLst>
            <a:ext uri="{FF2B5EF4-FFF2-40B4-BE49-F238E27FC236}">
              <a16:creationId xmlns:a16="http://schemas.microsoft.com/office/drawing/2014/main" id="{4CBE684E-C314-B7F9-7FF1-DEEB2BCADF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381000</xdr:colOff>
      <xdr:row>3</xdr:row>
      <xdr:rowOff>42862</xdr:rowOff>
    </xdr:from>
    <xdr:to>
      <xdr:col>11</xdr:col>
      <xdr:colOff>76200</xdr:colOff>
      <xdr:row>18</xdr:row>
      <xdr:rowOff>76200</xdr:rowOff>
    </xdr:to>
    <xdr:graphicFrame macro="">
      <xdr:nvGraphicFramePr>
        <xdr:cNvPr id="2" name="Chart 1">
          <a:extLst>
            <a:ext uri="{FF2B5EF4-FFF2-40B4-BE49-F238E27FC236}">
              <a16:creationId xmlns:a16="http://schemas.microsoft.com/office/drawing/2014/main" id="{A3349B64-0A19-6EDB-AC96-752706043C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14</xdr:row>
      <xdr:rowOff>52387</xdr:rowOff>
    </xdr:from>
    <xdr:to>
      <xdr:col>4</xdr:col>
      <xdr:colOff>981075</xdr:colOff>
      <xdr:row>28</xdr:row>
      <xdr:rowOff>128587</xdr:rowOff>
    </xdr:to>
    <xdr:graphicFrame macro="">
      <xdr:nvGraphicFramePr>
        <xdr:cNvPr id="2" name="Chart 1">
          <a:extLst>
            <a:ext uri="{FF2B5EF4-FFF2-40B4-BE49-F238E27FC236}">
              <a16:creationId xmlns:a16="http://schemas.microsoft.com/office/drawing/2014/main" id="{2ED1BA4F-D0C6-863A-32BD-E3F1DF9321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495300</xdr:colOff>
      <xdr:row>14</xdr:row>
      <xdr:rowOff>90487</xdr:rowOff>
    </xdr:from>
    <xdr:to>
      <xdr:col>12</xdr:col>
      <xdr:colOff>133350</xdr:colOff>
      <xdr:row>28</xdr:row>
      <xdr:rowOff>166687</xdr:rowOff>
    </xdr:to>
    <xdr:graphicFrame macro="">
      <xdr:nvGraphicFramePr>
        <xdr:cNvPr id="3" name="Chart 2">
          <a:extLst>
            <a:ext uri="{FF2B5EF4-FFF2-40B4-BE49-F238E27FC236}">
              <a16:creationId xmlns:a16="http://schemas.microsoft.com/office/drawing/2014/main" id="{7894C8F6-4C1B-4451-45FE-5F21066D26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381000</xdr:colOff>
      <xdr:row>13</xdr:row>
      <xdr:rowOff>157162</xdr:rowOff>
    </xdr:from>
    <xdr:to>
      <xdr:col>3</xdr:col>
      <xdr:colOff>790575</xdr:colOff>
      <xdr:row>28</xdr:row>
      <xdr:rowOff>42862</xdr:rowOff>
    </xdr:to>
    <xdr:graphicFrame macro="">
      <xdr:nvGraphicFramePr>
        <xdr:cNvPr id="2" name="Chart 1">
          <a:extLst>
            <a:ext uri="{FF2B5EF4-FFF2-40B4-BE49-F238E27FC236}">
              <a16:creationId xmlns:a16="http://schemas.microsoft.com/office/drawing/2014/main" id="{E7266999-FD12-58B4-2300-873CB5F57D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1800225</xdr:colOff>
      <xdr:row>14</xdr:row>
      <xdr:rowOff>90487</xdr:rowOff>
    </xdr:from>
    <xdr:to>
      <xdr:col>8</xdr:col>
      <xdr:colOff>1543050</xdr:colOff>
      <xdr:row>28</xdr:row>
      <xdr:rowOff>166687</xdr:rowOff>
    </xdr:to>
    <xdr:graphicFrame macro="">
      <xdr:nvGraphicFramePr>
        <xdr:cNvPr id="3" name="Chart 2">
          <a:extLst>
            <a:ext uri="{FF2B5EF4-FFF2-40B4-BE49-F238E27FC236}">
              <a16:creationId xmlns:a16="http://schemas.microsoft.com/office/drawing/2014/main" id="{6429F4B3-4332-2972-04F4-BEB9C579C7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433387</xdr:colOff>
      <xdr:row>6</xdr:row>
      <xdr:rowOff>185737</xdr:rowOff>
    </xdr:from>
    <xdr:to>
      <xdr:col>11</xdr:col>
      <xdr:colOff>128587</xdr:colOff>
      <xdr:row>21</xdr:row>
      <xdr:rowOff>71437</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CAEBB15F-32E5-AA1D-E148-7AD30ED0E43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557587" y="1328737"/>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editAs="oneCell">
    <xdr:from>
      <xdr:col>9</xdr:col>
      <xdr:colOff>95250</xdr:colOff>
      <xdr:row>1</xdr:row>
      <xdr:rowOff>28575</xdr:rowOff>
    </xdr:from>
    <xdr:to>
      <xdr:col>12</xdr:col>
      <xdr:colOff>95250</xdr:colOff>
      <xdr:row>15</xdr:row>
      <xdr:rowOff>28575</xdr:rowOff>
    </xdr:to>
    <mc:AlternateContent xmlns:mc="http://schemas.openxmlformats.org/markup-compatibility/2006" xmlns:a14="http://schemas.microsoft.com/office/drawing/2010/main">
      <mc:Choice Requires="a14">
        <xdr:graphicFrame macro="">
          <xdr:nvGraphicFramePr>
            <xdr:cNvPr id="2" name="Month Name">
              <a:extLst>
                <a:ext uri="{FF2B5EF4-FFF2-40B4-BE49-F238E27FC236}">
                  <a16:creationId xmlns:a16="http://schemas.microsoft.com/office/drawing/2014/main" id="{D0AF4300-4DE4-BF1E-DD01-BD128AB3BFF0}"/>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9429750" y="2190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76200</xdr:colOff>
      <xdr:row>1</xdr:row>
      <xdr:rowOff>9525</xdr:rowOff>
    </xdr:from>
    <xdr:to>
      <xdr:col>15</xdr:col>
      <xdr:colOff>76200</xdr:colOff>
      <xdr:row>15</xdr:row>
      <xdr:rowOff>9525</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692D8563-DF7E-E1D0-47AF-32CF502A48EC}"/>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1239500" y="2000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161925</xdr:colOff>
      <xdr:row>4</xdr:row>
      <xdr:rowOff>57150</xdr:rowOff>
    </xdr:from>
    <xdr:to>
      <xdr:col>7</xdr:col>
      <xdr:colOff>285750</xdr:colOff>
      <xdr:row>18</xdr:row>
      <xdr:rowOff>57150</xdr:rowOff>
    </xdr:to>
    <mc:AlternateContent xmlns:mc="http://schemas.openxmlformats.org/markup-compatibility/2006" xmlns:a14="http://schemas.microsoft.com/office/drawing/2010/main">
      <mc:Choice Requires="a14">
        <xdr:graphicFrame macro="">
          <xdr:nvGraphicFramePr>
            <xdr:cNvPr id="4" name="Service">
              <a:extLst>
                <a:ext uri="{FF2B5EF4-FFF2-40B4-BE49-F238E27FC236}">
                  <a16:creationId xmlns:a16="http://schemas.microsoft.com/office/drawing/2014/main" id="{A8C260F4-3716-A2DD-A059-97A7B6F14531}"/>
                </a:ext>
              </a:extLst>
            </xdr:cNvPr>
            <xdr:cNvGraphicFramePr/>
          </xdr:nvGraphicFramePr>
          <xdr:xfrm>
            <a:off x="0" y="0"/>
            <a:ext cx="0" cy="0"/>
          </xdr:xfrm>
          <a:graphic>
            <a:graphicData uri="http://schemas.microsoft.com/office/drawing/2010/slicer">
              <sle:slicer xmlns:sle="http://schemas.microsoft.com/office/drawing/2010/slicer" name="Service"/>
            </a:graphicData>
          </a:graphic>
        </xdr:graphicFrame>
      </mc:Choice>
      <mc:Fallback xmlns="">
        <xdr:sp macro="" textlink="">
          <xdr:nvSpPr>
            <xdr:cNvPr id="0" name=""/>
            <xdr:cNvSpPr>
              <a:spLocks noTextEdit="1"/>
            </xdr:cNvSpPr>
          </xdr:nvSpPr>
          <xdr:spPr>
            <a:xfrm>
              <a:off x="5562600" y="8191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28574</xdr:colOff>
      <xdr:row>0</xdr:row>
      <xdr:rowOff>38100</xdr:rowOff>
    </xdr:from>
    <xdr:to>
      <xdr:col>18</xdr:col>
      <xdr:colOff>438149</xdr:colOff>
      <xdr:row>44</xdr:row>
      <xdr:rowOff>10583</xdr:rowOff>
    </xdr:to>
    <xdr:sp macro="" textlink="">
      <xdr:nvSpPr>
        <xdr:cNvPr id="2" name="Rectangle 1">
          <a:extLst>
            <a:ext uri="{FF2B5EF4-FFF2-40B4-BE49-F238E27FC236}">
              <a16:creationId xmlns:a16="http://schemas.microsoft.com/office/drawing/2014/main" id="{07D0606D-AECC-B834-5CDC-72E8D4530625}"/>
            </a:ext>
          </a:extLst>
        </xdr:cNvPr>
        <xdr:cNvSpPr/>
      </xdr:nvSpPr>
      <xdr:spPr>
        <a:xfrm>
          <a:off x="28574" y="38100"/>
          <a:ext cx="11458575" cy="8354483"/>
        </a:xfrm>
        <a:prstGeom prst="rect">
          <a:avLst/>
        </a:prstGeom>
        <a:solidFill>
          <a:schemeClr val="tx2">
            <a:lumMod val="10000"/>
            <a:lumOff val="90000"/>
          </a:schemeClr>
        </a:solidFill>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US" sz="1100">
            <a:solidFill>
              <a:sysClr val="windowText" lastClr="000000"/>
            </a:solidFill>
          </a:endParaRPr>
        </a:p>
      </xdr:txBody>
    </xdr:sp>
    <xdr:clientData/>
  </xdr:twoCellAnchor>
  <xdr:twoCellAnchor>
    <xdr:from>
      <xdr:col>0</xdr:col>
      <xdr:colOff>42333</xdr:colOff>
      <xdr:row>0</xdr:row>
      <xdr:rowOff>57150</xdr:rowOff>
    </xdr:from>
    <xdr:to>
      <xdr:col>4</xdr:col>
      <xdr:colOff>542925</xdr:colOff>
      <xdr:row>43</xdr:row>
      <xdr:rowOff>169333</xdr:rowOff>
    </xdr:to>
    <xdr:sp macro="" textlink="">
      <xdr:nvSpPr>
        <xdr:cNvPr id="3" name="Rectangle 2">
          <a:extLst>
            <a:ext uri="{FF2B5EF4-FFF2-40B4-BE49-F238E27FC236}">
              <a16:creationId xmlns:a16="http://schemas.microsoft.com/office/drawing/2014/main" id="{3D254264-F8F5-8CA0-522A-5541685FC2CA}"/>
            </a:ext>
          </a:extLst>
        </xdr:cNvPr>
        <xdr:cNvSpPr/>
      </xdr:nvSpPr>
      <xdr:spPr>
        <a:xfrm>
          <a:off x="42333" y="57150"/>
          <a:ext cx="2955925" cy="8303683"/>
        </a:xfrm>
        <a:prstGeom prst="rect">
          <a:avLst/>
        </a:prstGeom>
        <a:solidFill>
          <a:schemeClr val="tx2">
            <a:lumMod val="10000"/>
            <a:lumOff val="90000"/>
          </a:schemeClr>
        </a:solidFill>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0</xdr:colOff>
      <xdr:row>0</xdr:row>
      <xdr:rowOff>0</xdr:rowOff>
    </xdr:from>
    <xdr:to>
      <xdr:col>18</xdr:col>
      <xdr:colOff>428625</xdr:colOff>
      <xdr:row>44</xdr:row>
      <xdr:rowOff>0</xdr:rowOff>
    </xdr:to>
    <xdr:sp macro="" textlink="">
      <xdr:nvSpPr>
        <xdr:cNvPr id="4" name="Rectangle 3">
          <a:extLst>
            <a:ext uri="{FF2B5EF4-FFF2-40B4-BE49-F238E27FC236}">
              <a16:creationId xmlns:a16="http://schemas.microsoft.com/office/drawing/2014/main" id="{F313584A-732B-4C0E-AB76-7A21E7BF23CB}"/>
            </a:ext>
          </a:extLst>
        </xdr:cNvPr>
        <xdr:cNvSpPr/>
      </xdr:nvSpPr>
      <xdr:spPr>
        <a:xfrm>
          <a:off x="8593667" y="0"/>
          <a:ext cx="2883958" cy="8382000"/>
        </a:xfrm>
        <a:prstGeom prst="rect">
          <a:avLst/>
        </a:prstGeom>
        <a:solidFill>
          <a:schemeClr val="tx2">
            <a:lumMod val="10000"/>
            <a:lumOff val="90000"/>
          </a:schemeClr>
        </a:solidFill>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581025</xdr:colOff>
      <xdr:row>0</xdr:row>
      <xdr:rowOff>76202</xdr:rowOff>
    </xdr:from>
    <xdr:to>
      <xdr:col>13</xdr:col>
      <xdr:colOff>590550</xdr:colOff>
      <xdr:row>2</xdr:row>
      <xdr:rowOff>142875</xdr:rowOff>
    </xdr:to>
    <xdr:sp macro="" textlink="">
      <xdr:nvSpPr>
        <xdr:cNvPr id="5" name="Rectangle 4">
          <a:extLst>
            <a:ext uri="{FF2B5EF4-FFF2-40B4-BE49-F238E27FC236}">
              <a16:creationId xmlns:a16="http://schemas.microsoft.com/office/drawing/2014/main" id="{1D641344-DF8E-4911-A5C9-BAB1C5881F28}"/>
            </a:ext>
          </a:extLst>
        </xdr:cNvPr>
        <xdr:cNvSpPr/>
      </xdr:nvSpPr>
      <xdr:spPr>
        <a:xfrm>
          <a:off x="3019425" y="76202"/>
          <a:ext cx="5495925" cy="447673"/>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marL="0" indent="0" algn="l"/>
          <a:endParaRPr lang="en-US" sz="1100">
            <a:solidFill>
              <a:schemeClr val="dk1"/>
            </a:solidFill>
            <a:latin typeface="+mn-lt"/>
            <a:ea typeface="+mn-ea"/>
            <a:cs typeface="+mn-cs"/>
          </a:endParaRPr>
        </a:p>
      </xdr:txBody>
    </xdr:sp>
    <xdr:clientData/>
  </xdr:twoCellAnchor>
  <xdr:twoCellAnchor>
    <xdr:from>
      <xdr:col>4</xdr:col>
      <xdr:colOff>560917</xdr:colOff>
      <xdr:row>2</xdr:row>
      <xdr:rowOff>173567</xdr:rowOff>
    </xdr:from>
    <xdr:to>
      <xdr:col>9</xdr:col>
      <xdr:colOff>398992</xdr:colOff>
      <xdr:row>12</xdr:row>
      <xdr:rowOff>116417</xdr:rowOff>
    </xdr:to>
    <xdr:sp macro="" textlink="">
      <xdr:nvSpPr>
        <xdr:cNvPr id="13" name="Rectangle 12">
          <a:extLst>
            <a:ext uri="{FF2B5EF4-FFF2-40B4-BE49-F238E27FC236}">
              <a16:creationId xmlns:a16="http://schemas.microsoft.com/office/drawing/2014/main" id="{A291C58E-A1E9-4696-8ED5-14DF26408CDA}"/>
            </a:ext>
          </a:extLst>
        </xdr:cNvPr>
        <xdr:cNvSpPr/>
      </xdr:nvSpPr>
      <xdr:spPr>
        <a:xfrm>
          <a:off x="3016250" y="554567"/>
          <a:ext cx="2907242" cy="1847850"/>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9</xdr:col>
      <xdr:colOff>419101</xdr:colOff>
      <xdr:row>2</xdr:row>
      <xdr:rowOff>152400</xdr:rowOff>
    </xdr:from>
    <xdr:to>
      <xdr:col>14</xdr:col>
      <xdr:colOff>1</xdr:colOff>
      <xdr:row>12</xdr:row>
      <xdr:rowOff>104776</xdr:rowOff>
    </xdr:to>
    <xdr:sp macro="" textlink="">
      <xdr:nvSpPr>
        <xdr:cNvPr id="18" name="Rectangle 17">
          <a:extLst>
            <a:ext uri="{FF2B5EF4-FFF2-40B4-BE49-F238E27FC236}">
              <a16:creationId xmlns:a16="http://schemas.microsoft.com/office/drawing/2014/main" id="{D4052DFA-0B4E-4CA7-8F57-1C31FFB5AD44}"/>
            </a:ext>
          </a:extLst>
        </xdr:cNvPr>
        <xdr:cNvSpPr/>
      </xdr:nvSpPr>
      <xdr:spPr>
        <a:xfrm>
          <a:off x="5905501" y="533400"/>
          <a:ext cx="2628900" cy="1857376"/>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19</xdr:col>
      <xdr:colOff>0</xdr:colOff>
      <xdr:row>22</xdr:row>
      <xdr:rowOff>0</xdr:rowOff>
    </xdr:from>
    <xdr:to>
      <xdr:col>20</xdr:col>
      <xdr:colOff>9525</xdr:colOff>
      <xdr:row>23</xdr:row>
      <xdr:rowOff>9525</xdr:rowOff>
    </xdr:to>
    <xdr:pic>
      <xdr:nvPicPr>
        <xdr:cNvPr id="20" name="Picture 19">
          <a:extLst>
            <a:ext uri="{FF2B5EF4-FFF2-40B4-BE49-F238E27FC236}">
              <a16:creationId xmlns:a16="http://schemas.microsoft.com/office/drawing/2014/main" id="{B2CC99B7-76A6-5D37-6B16-1683FF96F3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82400" y="4191000"/>
          <a:ext cx="619125"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565150</xdr:colOff>
      <xdr:row>2</xdr:row>
      <xdr:rowOff>156634</xdr:rowOff>
    </xdr:from>
    <xdr:to>
      <xdr:col>9</xdr:col>
      <xdr:colOff>403225</xdr:colOff>
      <xdr:row>7</xdr:row>
      <xdr:rowOff>105834</xdr:rowOff>
    </xdr:to>
    <xdr:sp macro="" textlink="">
      <xdr:nvSpPr>
        <xdr:cNvPr id="21" name="Rectangle 20">
          <a:extLst>
            <a:ext uri="{FF2B5EF4-FFF2-40B4-BE49-F238E27FC236}">
              <a16:creationId xmlns:a16="http://schemas.microsoft.com/office/drawing/2014/main" id="{6F17A474-830E-46E4-9088-3C5E74E5713D}"/>
            </a:ext>
          </a:extLst>
        </xdr:cNvPr>
        <xdr:cNvSpPr/>
      </xdr:nvSpPr>
      <xdr:spPr>
        <a:xfrm>
          <a:off x="3020483" y="537634"/>
          <a:ext cx="2907242" cy="901700"/>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marL="0" indent="0" algn="l"/>
          <a:endParaRPr lang="en-US" sz="1100">
            <a:solidFill>
              <a:schemeClr val="dk1"/>
            </a:solidFill>
            <a:latin typeface="+mn-lt"/>
            <a:ea typeface="+mn-ea"/>
            <a:cs typeface="+mn-cs"/>
          </a:endParaRPr>
        </a:p>
      </xdr:txBody>
    </xdr:sp>
    <xdr:clientData/>
  </xdr:twoCellAnchor>
  <xdr:twoCellAnchor>
    <xdr:from>
      <xdr:col>9</xdr:col>
      <xdr:colOff>431800</xdr:colOff>
      <xdr:row>2</xdr:row>
      <xdr:rowOff>171450</xdr:rowOff>
    </xdr:from>
    <xdr:to>
      <xdr:col>13</xdr:col>
      <xdr:colOff>603250</xdr:colOff>
      <xdr:row>7</xdr:row>
      <xdr:rowOff>120650</xdr:rowOff>
    </xdr:to>
    <xdr:sp macro="" textlink="">
      <xdr:nvSpPr>
        <xdr:cNvPr id="22" name="Rectangle 21">
          <a:extLst>
            <a:ext uri="{FF2B5EF4-FFF2-40B4-BE49-F238E27FC236}">
              <a16:creationId xmlns:a16="http://schemas.microsoft.com/office/drawing/2014/main" id="{DD4B4487-5338-4906-9B75-B98040DAC57E}"/>
            </a:ext>
          </a:extLst>
        </xdr:cNvPr>
        <xdr:cNvSpPr/>
      </xdr:nvSpPr>
      <xdr:spPr>
        <a:xfrm>
          <a:off x="5956300" y="552450"/>
          <a:ext cx="2626783" cy="901700"/>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7</xdr:col>
      <xdr:colOff>107951</xdr:colOff>
      <xdr:row>2</xdr:row>
      <xdr:rowOff>143933</xdr:rowOff>
    </xdr:from>
    <xdr:to>
      <xdr:col>9</xdr:col>
      <xdr:colOff>423334</xdr:colOff>
      <xdr:row>7</xdr:row>
      <xdr:rowOff>93133</xdr:rowOff>
    </xdr:to>
    <xdr:sp macro="" textlink="">
      <xdr:nvSpPr>
        <xdr:cNvPr id="23" name="Rectangle 22">
          <a:extLst>
            <a:ext uri="{FF2B5EF4-FFF2-40B4-BE49-F238E27FC236}">
              <a16:creationId xmlns:a16="http://schemas.microsoft.com/office/drawing/2014/main" id="{6184CA66-226F-4E9C-9E58-AD2C3CA6C111}"/>
            </a:ext>
          </a:extLst>
        </xdr:cNvPr>
        <xdr:cNvSpPr/>
      </xdr:nvSpPr>
      <xdr:spPr>
        <a:xfrm>
          <a:off x="4404784" y="524933"/>
          <a:ext cx="1543050" cy="901700"/>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marL="0" indent="0" algn="l"/>
          <a:endParaRPr lang="en-US" sz="1100">
            <a:solidFill>
              <a:schemeClr val="dk1"/>
            </a:solidFill>
            <a:latin typeface="+mn-lt"/>
            <a:ea typeface="+mn-ea"/>
            <a:cs typeface="+mn-cs"/>
          </a:endParaRPr>
        </a:p>
      </xdr:txBody>
    </xdr:sp>
    <xdr:clientData/>
  </xdr:twoCellAnchor>
  <xdr:twoCellAnchor>
    <xdr:from>
      <xdr:col>7</xdr:col>
      <xdr:colOff>91018</xdr:colOff>
      <xdr:row>7</xdr:row>
      <xdr:rowOff>95250</xdr:rowOff>
    </xdr:from>
    <xdr:to>
      <xdr:col>9</xdr:col>
      <xdr:colOff>406401</xdr:colOff>
      <xdr:row>12</xdr:row>
      <xdr:rowOff>107949</xdr:rowOff>
    </xdr:to>
    <xdr:sp macro="" textlink="">
      <xdr:nvSpPr>
        <xdr:cNvPr id="24" name="Rectangle 23">
          <a:extLst>
            <a:ext uri="{FF2B5EF4-FFF2-40B4-BE49-F238E27FC236}">
              <a16:creationId xmlns:a16="http://schemas.microsoft.com/office/drawing/2014/main" id="{66C52DF2-A1C2-4927-99B9-66A382619FA5}"/>
            </a:ext>
          </a:extLst>
        </xdr:cNvPr>
        <xdr:cNvSpPr/>
      </xdr:nvSpPr>
      <xdr:spPr>
        <a:xfrm>
          <a:off x="4387851" y="1428750"/>
          <a:ext cx="1543050" cy="965199"/>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9</xdr:col>
      <xdr:colOff>423334</xdr:colOff>
      <xdr:row>2</xdr:row>
      <xdr:rowOff>158750</xdr:rowOff>
    </xdr:from>
    <xdr:to>
      <xdr:col>11</xdr:col>
      <xdr:colOff>571500</xdr:colOff>
      <xdr:row>7</xdr:row>
      <xdr:rowOff>105833</xdr:rowOff>
    </xdr:to>
    <xdr:sp macro="" textlink="">
      <xdr:nvSpPr>
        <xdr:cNvPr id="25" name="Rectangle 24">
          <a:extLst>
            <a:ext uri="{FF2B5EF4-FFF2-40B4-BE49-F238E27FC236}">
              <a16:creationId xmlns:a16="http://schemas.microsoft.com/office/drawing/2014/main" id="{FD9D70E9-E75C-496D-93E2-B702E9DF0F8A}"/>
            </a:ext>
          </a:extLst>
        </xdr:cNvPr>
        <xdr:cNvSpPr/>
      </xdr:nvSpPr>
      <xdr:spPr>
        <a:xfrm>
          <a:off x="5947834" y="539750"/>
          <a:ext cx="1375833" cy="899583"/>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9</xdr:col>
      <xdr:colOff>448734</xdr:colOff>
      <xdr:row>7</xdr:row>
      <xdr:rowOff>103717</xdr:rowOff>
    </xdr:from>
    <xdr:to>
      <xdr:col>11</xdr:col>
      <xdr:colOff>560916</xdr:colOff>
      <xdr:row>12</xdr:row>
      <xdr:rowOff>88900</xdr:rowOff>
    </xdr:to>
    <xdr:sp macro="" textlink="">
      <xdr:nvSpPr>
        <xdr:cNvPr id="26" name="Rectangle 25">
          <a:extLst>
            <a:ext uri="{FF2B5EF4-FFF2-40B4-BE49-F238E27FC236}">
              <a16:creationId xmlns:a16="http://schemas.microsoft.com/office/drawing/2014/main" id="{5B8A7997-97E7-49B1-8DDD-A7407B05DBD6}"/>
            </a:ext>
          </a:extLst>
        </xdr:cNvPr>
        <xdr:cNvSpPr/>
      </xdr:nvSpPr>
      <xdr:spPr>
        <a:xfrm>
          <a:off x="5973234" y="1437217"/>
          <a:ext cx="1339849" cy="937683"/>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5</xdr:col>
      <xdr:colOff>105834</xdr:colOff>
      <xdr:row>2</xdr:row>
      <xdr:rowOff>179917</xdr:rowOff>
    </xdr:from>
    <xdr:to>
      <xdr:col>7</xdr:col>
      <xdr:colOff>285750</xdr:colOff>
      <xdr:row>6</xdr:row>
      <xdr:rowOff>0</xdr:rowOff>
    </xdr:to>
    <xdr:sp macro="" textlink="">
      <xdr:nvSpPr>
        <xdr:cNvPr id="27" name="TextBox 26">
          <a:extLst>
            <a:ext uri="{FF2B5EF4-FFF2-40B4-BE49-F238E27FC236}">
              <a16:creationId xmlns:a16="http://schemas.microsoft.com/office/drawing/2014/main" id="{0907F417-6F2A-D55C-83D3-461326A4DB44}"/>
            </a:ext>
          </a:extLst>
        </xdr:cNvPr>
        <xdr:cNvSpPr txBox="1"/>
      </xdr:nvSpPr>
      <xdr:spPr>
        <a:xfrm>
          <a:off x="3175001" y="560917"/>
          <a:ext cx="1407582" cy="5820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a:t>
          </a:r>
          <a:r>
            <a:rPr lang="en-US" sz="1100" baseline="0"/>
            <a:t>otal Patients Admitted</a:t>
          </a:r>
          <a:endParaRPr lang="en-US" sz="1100"/>
        </a:p>
      </xdr:txBody>
    </xdr:sp>
    <xdr:clientData/>
  </xdr:twoCellAnchor>
  <xdr:twoCellAnchor>
    <xdr:from>
      <xdr:col>7</xdr:col>
      <xdr:colOff>359834</xdr:colOff>
      <xdr:row>2</xdr:row>
      <xdr:rowOff>179918</xdr:rowOff>
    </xdr:from>
    <xdr:to>
      <xdr:col>9</xdr:col>
      <xdr:colOff>222251</xdr:colOff>
      <xdr:row>5</xdr:row>
      <xdr:rowOff>42334</xdr:rowOff>
    </xdr:to>
    <xdr:sp macro="" textlink="">
      <xdr:nvSpPr>
        <xdr:cNvPr id="28" name="TextBox 27">
          <a:extLst>
            <a:ext uri="{FF2B5EF4-FFF2-40B4-BE49-F238E27FC236}">
              <a16:creationId xmlns:a16="http://schemas.microsoft.com/office/drawing/2014/main" id="{C756A301-1E2B-4ABA-934B-93F0A4006367}"/>
            </a:ext>
          </a:extLst>
        </xdr:cNvPr>
        <xdr:cNvSpPr txBox="1"/>
      </xdr:nvSpPr>
      <xdr:spPr>
        <a:xfrm>
          <a:off x="4656667" y="560918"/>
          <a:ext cx="1090084" cy="4339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ysClr val="windowText" lastClr="000000"/>
              </a:solidFill>
              <a:effectLst/>
              <a:latin typeface="+mn-lt"/>
              <a:ea typeface="+mn-ea"/>
              <a:cs typeface="+mn-cs"/>
            </a:rPr>
            <a:t>Total Patients Discharged</a:t>
          </a:r>
          <a:endParaRPr lang="en-US" sz="1100">
            <a:solidFill>
              <a:sysClr val="windowText" lastClr="000000"/>
            </a:solidFill>
            <a:effectLst/>
          </a:endParaRPr>
        </a:p>
        <a:p>
          <a:endParaRPr lang="en-US" sz="1100"/>
        </a:p>
      </xdr:txBody>
    </xdr:sp>
    <xdr:clientData/>
  </xdr:twoCellAnchor>
  <xdr:twoCellAnchor>
    <xdr:from>
      <xdr:col>11</xdr:col>
      <xdr:colOff>539750</xdr:colOff>
      <xdr:row>2</xdr:row>
      <xdr:rowOff>179916</xdr:rowOff>
    </xdr:from>
    <xdr:to>
      <xdr:col>14</xdr:col>
      <xdr:colOff>105833</xdr:colOff>
      <xdr:row>4</xdr:row>
      <xdr:rowOff>31750</xdr:rowOff>
    </xdr:to>
    <xdr:sp macro="" textlink="">
      <xdr:nvSpPr>
        <xdr:cNvPr id="29" name="TextBox 28">
          <a:extLst>
            <a:ext uri="{FF2B5EF4-FFF2-40B4-BE49-F238E27FC236}">
              <a16:creationId xmlns:a16="http://schemas.microsoft.com/office/drawing/2014/main" id="{14B10409-4FDF-49A2-9841-6B44A376729D}"/>
            </a:ext>
          </a:extLst>
        </xdr:cNvPr>
        <xdr:cNvSpPr txBox="1"/>
      </xdr:nvSpPr>
      <xdr:spPr>
        <a:xfrm>
          <a:off x="7291917" y="560916"/>
          <a:ext cx="1407583" cy="232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Overall</a:t>
          </a:r>
          <a:r>
            <a:rPr lang="en-US" sz="1100" baseline="0"/>
            <a:t> Mortality Rate</a:t>
          </a:r>
          <a:endParaRPr lang="en-US" sz="1100"/>
        </a:p>
      </xdr:txBody>
    </xdr:sp>
    <xdr:clientData/>
  </xdr:twoCellAnchor>
  <xdr:twoCellAnchor>
    <xdr:from>
      <xdr:col>9</xdr:col>
      <xdr:colOff>497417</xdr:colOff>
      <xdr:row>7</xdr:row>
      <xdr:rowOff>158750</xdr:rowOff>
    </xdr:from>
    <xdr:to>
      <xdr:col>12</xdr:col>
      <xdr:colOff>10585</xdr:colOff>
      <xdr:row>10</xdr:row>
      <xdr:rowOff>21166</xdr:rowOff>
    </xdr:to>
    <xdr:sp macro="" textlink="">
      <xdr:nvSpPr>
        <xdr:cNvPr id="30" name="TextBox 29">
          <a:extLst>
            <a:ext uri="{FF2B5EF4-FFF2-40B4-BE49-F238E27FC236}">
              <a16:creationId xmlns:a16="http://schemas.microsoft.com/office/drawing/2014/main" id="{84007C08-DFEE-4631-843B-EE050C55C53A}"/>
            </a:ext>
          </a:extLst>
        </xdr:cNvPr>
        <xdr:cNvSpPr txBox="1"/>
      </xdr:nvSpPr>
      <xdr:spPr>
        <a:xfrm>
          <a:off x="6021917" y="1492250"/>
          <a:ext cx="1354668" cy="4339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State with Highest </a:t>
          </a:r>
        </a:p>
        <a:p>
          <a:r>
            <a:rPr lang="en-US" sz="1100"/>
            <a:t>Hospital</a:t>
          </a:r>
          <a:r>
            <a:rPr lang="en-US" sz="1100" baseline="0"/>
            <a:t> U</a:t>
          </a:r>
          <a:r>
            <a:rPr lang="en-US" sz="1100"/>
            <a:t>tilization</a:t>
          </a:r>
        </a:p>
      </xdr:txBody>
    </xdr:sp>
    <xdr:clientData/>
  </xdr:twoCellAnchor>
  <xdr:twoCellAnchor>
    <xdr:from>
      <xdr:col>7</xdr:col>
      <xdr:colOff>243417</xdr:colOff>
      <xdr:row>7</xdr:row>
      <xdr:rowOff>95247</xdr:rowOff>
    </xdr:from>
    <xdr:to>
      <xdr:col>9</xdr:col>
      <xdr:colOff>571499</xdr:colOff>
      <xdr:row>10</xdr:row>
      <xdr:rowOff>84666</xdr:rowOff>
    </xdr:to>
    <xdr:sp macro="" textlink="">
      <xdr:nvSpPr>
        <xdr:cNvPr id="31" name="TextBox 30">
          <a:extLst>
            <a:ext uri="{FF2B5EF4-FFF2-40B4-BE49-F238E27FC236}">
              <a16:creationId xmlns:a16="http://schemas.microsoft.com/office/drawing/2014/main" id="{B9FB6346-9469-4C33-93CC-351C027D6BB5}"/>
            </a:ext>
          </a:extLst>
        </xdr:cNvPr>
        <xdr:cNvSpPr txBox="1"/>
      </xdr:nvSpPr>
      <xdr:spPr>
        <a:xfrm>
          <a:off x="4540250" y="1428747"/>
          <a:ext cx="1555749" cy="5609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Top Performing</a:t>
          </a:r>
        </a:p>
        <a:p>
          <a:r>
            <a:rPr lang="en-US" sz="1100"/>
            <a:t>Hospital</a:t>
          </a:r>
          <a:r>
            <a:rPr lang="en-US" sz="1100" baseline="0"/>
            <a:t> </a:t>
          </a:r>
          <a:r>
            <a:rPr lang="en-US" sz="1100"/>
            <a:t>by Admission</a:t>
          </a:r>
        </a:p>
      </xdr:txBody>
    </xdr:sp>
    <xdr:clientData/>
  </xdr:twoCellAnchor>
  <xdr:twoCellAnchor>
    <xdr:from>
      <xdr:col>11</xdr:col>
      <xdr:colOff>543984</xdr:colOff>
      <xdr:row>7</xdr:row>
      <xdr:rowOff>89958</xdr:rowOff>
    </xdr:from>
    <xdr:to>
      <xdr:col>14</xdr:col>
      <xdr:colOff>148168</xdr:colOff>
      <xdr:row>10</xdr:row>
      <xdr:rowOff>42333</xdr:rowOff>
    </xdr:to>
    <xdr:sp macro="" textlink="">
      <xdr:nvSpPr>
        <xdr:cNvPr id="32" name="TextBox 31">
          <a:extLst>
            <a:ext uri="{FF2B5EF4-FFF2-40B4-BE49-F238E27FC236}">
              <a16:creationId xmlns:a16="http://schemas.microsoft.com/office/drawing/2014/main" id="{765D5FE5-069A-4FC7-BF2C-32580354A9B8}"/>
            </a:ext>
          </a:extLst>
        </xdr:cNvPr>
        <xdr:cNvSpPr txBox="1"/>
      </xdr:nvSpPr>
      <xdr:spPr>
        <a:xfrm>
          <a:off x="7296151" y="1423458"/>
          <a:ext cx="1445684"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Average Length </a:t>
          </a:r>
        </a:p>
        <a:p>
          <a:r>
            <a:rPr lang="en-US" sz="1100"/>
            <a:t>of Stay</a:t>
          </a:r>
        </a:p>
      </xdr:txBody>
    </xdr:sp>
    <xdr:clientData/>
  </xdr:twoCellAnchor>
  <xdr:twoCellAnchor>
    <xdr:from>
      <xdr:col>5</xdr:col>
      <xdr:colOff>116415</xdr:colOff>
      <xdr:row>7</xdr:row>
      <xdr:rowOff>89958</xdr:rowOff>
    </xdr:from>
    <xdr:to>
      <xdr:col>7</xdr:col>
      <xdr:colOff>222250</xdr:colOff>
      <xdr:row>9</xdr:row>
      <xdr:rowOff>169333</xdr:rowOff>
    </xdr:to>
    <xdr:sp macro="" textlink="">
      <xdr:nvSpPr>
        <xdr:cNvPr id="34" name="TextBox 33">
          <a:extLst>
            <a:ext uri="{FF2B5EF4-FFF2-40B4-BE49-F238E27FC236}">
              <a16:creationId xmlns:a16="http://schemas.microsoft.com/office/drawing/2014/main" id="{C021FB15-F087-40C4-963A-93F56724AAEE}"/>
            </a:ext>
          </a:extLst>
        </xdr:cNvPr>
        <xdr:cNvSpPr txBox="1"/>
      </xdr:nvSpPr>
      <xdr:spPr>
        <a:xfrm>
          <a:off x="3185582" y="1423458"/>
          <a:ext cx="1333501" cy="460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Most Utilized</a:t>
          </a:r>
        </a:p>
        <a:p>
          <a:r>
            <a:rPr lang="en-US" sz="1100"/>
            <a:t> Department</a:t>
          </a:r>
        </a:p>
      </xdr:txBody>
    </xdr:sp>
    <xdr:clientData/>
  </xdr:twoCellAnchor>
  <xdr:twoCellAnchor>
    <xdr:from>
      <xdr:col>9</xdr:col>
      <xdr:colOff>465667</xdr:colOff>
      <xdr:row>2</xdr:row>
      <xdr:rowOff>185208</xdr:rowOff>
    </xdr:from>
    <xdr:to>
      <xdr:col>12</xdr:col>
      <xdr:colOff>1</xdr:colOff>
      <xdr:row>5</xdr:row>
      <xdr:rowOff>52916</xdr:rowOff>
    </xdr:to>
    <xdr:sp macro="" textlink="">
      <xdr:nvSpPr>
        <xdr:cNvPr id="35" name="TextBox 34">
          <a:extLst>
            <a:ext uri="{FF2B5EF4-FFF2-40B4-BE49-F238E27FC236}">
              <a16:creationId xmlns:a16="http://schemas.microsoft.com/office/drawing/2014/main" id="{C9DD2D70-11D6-4EEE-8AE4-C29F0DD89A1D}"/>
            </a:ext>
          </a:extLst>
        </xdr:cNvPr>
        <xdr:cNvSpPr txBox="1"/>
      </xdr:nvSpPr>
      <xdr:spPr>
        <a:xfrm>
          <a:off x="5990167" y="566208"/>
          <a:ext cx="1375834" cy="4392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Discharge</a:t>
          </a:r>
          <a:r>
            <a:rPr lang="en-US" sz="1100" baseline="0">
              <a:solidFill>
                <a:schemeClr val="dk1"/>
              </a:solidFill>
              <a:effectLst/>
              <a:latin typeface="+mn-lt"/>
              <a:ea typeface="+mn-ea"/>
              <a:cs typeface="+mn-cs"/>
            </a:rPr>
            <a:t> Rate</a:t>
          </a:r>
          <a:endParaRPr lang="en-US" sz="1100">
            <a:effectLst/>
          </a:endParaRPr>
        </a:p>
        <a:p>
          <a:endParaRPr lang="en-US" sz="1100"/>
        </a:p>
      </xdr:txBody>
    </xdr:sp>
    <xdr:clientData/>
  </xdr:twoCellAnchor>
  <xdr:twoCellAnchor>
    <xdr:from>
      <xdr:col>5</xdr:col>
      <xdr:colOff>152401</xdr:colOff>
      <xdr:row>5</xdr:row>
      <xdr:rowOff>63500</xdr:rowOff>
    </xdr:from>
    <xdr:to>
      <xdr:col>6</xdr:col>
      <xdr:colOff>349250</xdr:colOff>
      <xdr:row>7</xdr:row>
      <xdr:rowOff>105833</xdr:rowOff>
    </xdr:to>
    <xdr:sp macro="" textlink="'KPI''s and Slicers'!A3">
      <xdr:nvSpPr>
        <xdr:cNvPr id="36" name="TextBox 35">
          <a:extLst>
            <a:ext uri="{FF2B5EF4-FFF2-40B4-BE49-F238E27FC236}">
              <a16:creationId xmlns:a16="http://schemas.microsoft.com/office/drawing/2014/main" id="{C243B05E-105D-4396-AFAE-7D7425BA03B7}"/>
            </a:ext>
          </a:extLst>
        </xdr:cNvPr>
        <xdr:cNvSpPr txBox="1"/>
      </xdr:nvSpPr>
      <xdr:spPr>
        <a:xfrm>
          <a:off x="3221568" y="1016000"/>
          <a:ext cx="810682" cy="423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B1887B6-4149-45D5-A04E-E98922B97A3D}" type="TxLink">
            <a:rPr lang="en-US" sz="2400" b="0" i="0" u="none" strike="noStrike">
              <a:solidFill>
                <a:srgbClr val="000000"/>
              </a:solidFill>
              <a:latin typeface="Aptos Narrow"/>
            </a:rPr>
            <a:pPr/>
            <a:t>4852</a:t>
          </a:fld>
          <a:endParaRPr lang="en-US" sz="2400"/>
        </a:p>
      </xdr:txBody>
    </xdr:sp>
    <xdr:clientData/>
  </xdr:twoCellAnchor>
  <xdr:twoCellAnchor>
    <xdr:from>
      <xdr:col>7</xdr:col>
      <xdr:colOff>395819</xdr:colOff>
      <xdr:row>5</xdr:row>
      <xdr:rowOff>47626</xdr:rowOff>
    </xdr:from>
    <xdr:to>
      <xdr:col>9</xdr:col>
      <xdr:colOff>84668</xdr:colOff>
      <xdr:row>7</xdr:row>
      <xdr:rowOff>116417</xdr:rowOff>
    </xdr:to>
    <xdr:sp macro="" textlink="'KPI''s and Slicers'!A7">
      <xdr:nvSpPr>
        <xdr:cNvPr id="37" name="TextBox 36">
          <a:extLst>
            <a:ext uri="{FF2B5EF4-FFF2-40B4-BE49-F238E27FC236}">
              <a16:creationId xmlns:a16="http://schemas.microsoft.com/office/drawing/2014/main" id="{3D673E14-FC09-4B9F-8434-CC4B443785D2}"/>
            </a:ext>
          </a:extLst>
        </xdr:cNvPr>
        <xdr:cNvSpPr txBox="1"/>
      </xdr:nvSpPr>
      <xdr:spPr>
        <a:xfrm>
          <a:off x="4692652" y="1000126"/>
          <a:ext cx="916516" cy="4497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7327936-24D3-4F8B-9881-40E8651AFAF3}" type="TxLink">
            <a:rPr lang="en-US" sz="2600" b="0" i="0" u="none" strike="noStrike">
              <a:solidFill>
                <a:srgbClr val="000000"/>
              </a:solidFill>
              <a:latin typeface="Aptos Narrow"/>
            </a:rPr>
            <a:pPr/>
            <a:t>4389</a:t>
          </a:fld>
          <a:endParaRPr lang="en-US" sz="2600"/>
        </a:p>
      </xdr:txBody>
    </xdr:sp>
    <xdr:clientData/>
  </xdr:twoCellAnchor>
  <xdr:twoCellAnchor>
    <xdr:from>
      <xdr:col>12</xdr:col>
      <xdr:colOff>258235</xdr:colOff>
      <xdr:row>4</xdr:row>
      <xdr:rowOff>142876</xdr:rowOff>
    </xdr:from>
    <xdr:to>
      <xdr:col>13</xdr:col>
      <xdr:colOff>465668</xdr:colOff>
      <xdr:row>6</xdr:row>
      <xdr:rowOff>137584</xdr:rowOff>
    </xdr:to>
    <xdr:sp macro="" textlink="'KPI''s and Slicers'!A11">
      <xdr:nvSpPr>
        <xdr:cNvPr id="38" name="TextBox 37">
          <a:extLst>
            <a:ext uri="{FF2B5EF4-FFF2-40B4-BE49-F238E27FC236}">
              <a16:creationId xmlns:a16="http://schemas.microsoft.com/office/drawing/2014/main" id="{30084F26-B2D2-448C-89C6-03C630D6D078}"/>
            </a:ext>
          </a:extLst>
        </xdr:cNvPr>
        <xdr:cNvSpPr txBox="1"/>
      </xdr:nvSpPr>
      <xdr:spPr>
        <a:xfrm>
          <a:off x="7624235" y="904876"/>
          <a:ext cx="821266" cy="3757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B36921E-D791-4441-B9EC-D859304B0FBA}" type="TxLink">
            <a:rPr lang="en-US" sz="2600" b="0" i="0" u="none" strike="noStrike">
              <a:solidFill>
                <a:srgbClr val="000000"/>
              </a:solidFill>
              <a:latin typeface="Aptos Narrow"/>
            </a:rPr>
            <a:pPr/>
            <a:t>5%</a:t>
          </a:fld>
          <a:endParaRPr lang="en-US" sz="2600"/>
        </a:p>
      </xdr:txBody>
    </xdr:sp>
    <xdr:clientData/>
  </xdr:twoCellAnchor>
  <xdr:twoCellAnchor>
    <xdr:from>
      <xdr:col>10</xdr:col>
      <xdr:colOff>52918</xdr:colOff>
      <xdr:row>5</xdr:row>
      <xdr:rowOff>10585</xdr:rowOff>
    </xdr:from>
    <xdr:to>
      <xdr:col>11</xdr:col>
      <xdr:colOff>412751</xdr:colOff>
      <xdr:row>7</xdr:row>
      <xdr:rowOff>52918</xdr:rowOff>
    </xdr:to>
    <xdr:sp macro="" textlink="'KPI''s and Slicers'!A20">
      <xdr:nvSpPr>
        <xdr:cNvPr id="39" name="TextBox 38">
          <a:extLst>
            <a:ext uri="{FF2B5EF4-FFF2-40B4-BE49-F238E27FC236}">
              <a16:creationId xmlns:a16="http://schemas.microsoft.com/office/drawing/2014/main" id="{5BABF5EC-8E20-4E22-9CCF-B4292A37367C}"/>
            </a:ext>
          </a:extLst>
        </xdr:cNvPr>
        <xdr:cNvSpPr txBox="1"/>
      </xdr:nvSpPr>
      <xdr:spPr>
        <a:xfrm>
          <a:off x="6191251" y="963085"/>
          <a:ext cx="973667" cy="423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A139AE3-D062-4D72-AEE0-350B0F2BF50D}" type="TxLink">
            <a:rPr lang="en-US" sz="2600" b="0" i="0" u="none" strike="noStrike">
              <a:solidFill>
                <a:srgbClr val="000000"/>
              </a:solidFill>
              <a:latin typeface="Aptos Narrow"/>
            </a:rPr>
            <a:pPr/>
            <a:t>90%</a:t>
          </a:fld>
          <a:endParaRPr lang="en-US" sz="2600"/>
        </a:p>
      </xdr:txBody>
    </xdr:sp>
    <xdr:clientData/>
  </xdr:twoCellAnchor>
  <xdr:twoCellAnchor>
    <xdr:from>
      <xdr:col>11</xdr:col>
      <xdr:colOff>610657</xdr:colOff>
      <xdr:row>9</xdr:row>
      <xdr:rowOff>143934</xdr:rowOff>
    </xdr:from>
    <xdr:to>
      <xdr:col>14</xdr:col>
      <xdr:colOff>158750</xdr:colOff>
      <xdr:row>12</xdr:row>
      <xdr:rowOff>42334</xdr:rowOff>
    </xdr:to>
    <xdr:sp macro="" textlink="'KPI''s and Slicers'!A15">
      <xdr:nvSpPr>
        <xdr:cNvPr id="40" name="TextBox 39">
          <a:extLst>
            <a:ext uri="{FF2B5EF4-FFF2-40B4-BE49-F238E27FC236}">
              <a16:creationId xmlns:a16="http://schemas.microsoft.com/office/drawing/2014/main" id="{73517C23-D3E5-4106-9662-56CA9BDAD8DF}"/>
            </a:ext>
          </a:extLst>
        </xdr:cNvPr>
        <xdr:cNvSpPr txBox="1"/>
      </xdr:nvSpPr>
      <xdr:spPr>
        <a:xfrm>
          <a:off x="7362824" y="1858434"/>
          <a:ext cx="1389593" cy="469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0755F81-DF11-499B-B4D6-C0CF5A1DFAF5}" type="TxLink">
            <a:rPr lang="en-US" sz="2600" b="0" i="0" u="none" strike="noStrike">
              <a:solidFill>
                <a:srgbClr val="000000"/>
              </a:solidFill>
              <a:latin typeface="Aptos Narrow"/>
            </a:rPr>
            <a:pPr/>
            <a:t>2.9464</a:t>
          </a:fld>
          <a:endParaRPr lang="en-US" sz="2600"/>
        </a:p>
      </xdr:txBody>
    </xdr:sp>
    <xdr:clientData/>
  </xdr:twoCellAnchor>
  <xdr:twoCellAnchor>
    <xdr:from>
      <xdr:col>7</xdr:col>
      <xdr:colOff>116416</xdr:colOff>
      <xdr:row>9</xdr:row>
      <xdr:rowOff>74080</xdr:rowOff>
    </xdr:from>
    <xdr:to>
      <xdr:col>9</xdr:col>
      <xdr:colOff>412750</xdr:colOff>
      <xdr:row>12</xdr:row>
      <xdr:rowOff>105833</xdr:rowOff>
    </xdr:to>
    <xdr:sp macro="" textlink="'KPI''s and Slicers'!D3">
      <xdr:nvSpPr>
        <xdr:cNvPr id="41" name="TextBox 40">
          <a:extLst>
            <a:ext uri="{FF2B5EF4-FFF2-40B4-BE49-F238E27FC236}">
              <a16:creationId xmlns:a16="http://schemas.microsoft.com/office/drawing/2014/main" id="{88C02DA9-6325-4B92-9A54-5F9AC64F1AD6}"/>
            </a:ext>
          </a:extLst>
        </xdr:cNvPr>
        <xdr:cNvSpPr txBox="1"/>
      </xdr:nvSpPr>
      <xdr:spPr>
        <a:xfrm>
          <a:off x="4413249" y="1788580"/>
          <a:ext cx="1524001" cy="6032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743D2D8-492F-4E4E-B14F-1F4EA63B5B82}" type="TxLink">
            <a:rPr lang="en-US" sz="1600" b="0" i="0" u="none" strike="noStrike">
              <a:solidFill>
                <a:srgbClr val="000000"/>
              </a:solidFill>
              <a:latin typeface="Aptos Narrow"/>
            </a:rPr>
            <a:pPr/>
            <a:t>Central Hospital Benin</a:t>
          </a:fld>
          <a:endParaRPr lang="en-US" sz="1600"/>
        </a:p>
      </xdr:txBody>
    </xdr:sp>
    <xdr:clientData/>
  </xdr:twoCellAnchor>
  <xdr:twoCellAnchor>
    <xdr:from>
      <xdr:col>10</xdr:col>
      <xdr:colOff>102657</xdr:colOff>
      <xdr:row>10</xdr:row>
      <xdr:rowOff>38100</xdr:rowOff>
    </xdr:from>
    <xdr:to>
      <xdr:col>12</xdr:col>
      <xdr:colOff>253999</xdr:colOff>
      <xdr:row>12</xdr:row>
      <xdr:rowOff>42333</xdr:rowOff>
    </xdr:to>
    <xdr:sp macro="" textlink="'KPI''s and Slicers'!D17">
      <xdr:nvSpPr>
        <xdr:cNvPr id="42" name="TextBox 41">
          <a:extLst>
            <a:ext uri="{FF2B5EF4-FFF2-40B4-BE49-F238E27FC236}">
              <a16:creationId xmlns:a16="http://schemas.microsoft.com/office/drawing/2014/main" id="{41E47934-DC89-40D4-B73E-B0E67D89390E}"/>
            </a:ext>
          </a:extLst>
        </xdr:cNvPr>
        <xdr:cNvSpPr txBox="1"/>
      </xdr:nvSpPr>
      <xdr:spPr>
        <a:xfrm>
          <a:off x="6240990" y="1943100"/>
          <a:ext cx="1379009" cy="3852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A45ACFF-A405-4F80-AF37-95B8F9DE8E4C}" type="TxLink">
            <a:rPr lang="en-US" sz="1600" b="0" i="0" u="none" strike="noStrike">
              <a:solidFill>
                <a:srgbClr val="000000"/>
              </a:solidFill>
              <a:latin typeface="Aptos Narrow"/>
            </a:rPr>
            <a:pPr/>
            <a:t>Kaduna</a:t>
          </a:fld>
          <a:endParaRPr lang="en-US" sz="1600"/>
        </a:p>
      </xdr:txBody>
    </xdr:sp>
    <xdr:clientData/>
  </xdr:twoCellAnchor>
  <xdr:twoCellAnchor>
    <xdr:from>
      <xdr:col>5</xdr:col>
      <xdr:colOff>92074</xdr:colOff>
      <xdr:row>10</xdr:row>
      <xdr:rowOff>48684</xdr:rowOff>
    </xdr:from>
    <xdr:to>
      <xdr:col>7</xdr:col>
      <xdr:colOff>63501</xdr:colOff>
      <xdr:row>12</xdr:row>
      <xdr:rowOff>116417</xdr:rowOff>
    </xdr:to>
    <xdr:sp macro="" textlink="'KPI''s and Slicers'!G3">
      <xdr:nvSpPr>
        <xdr:cNvPr id="43" name="TextBox 42">
          <a:extLst>
            <a:ext uri="{FF2B5EF4-FFF2-40B4-BE49-F238E27FC236}">
              <a16:creationId xmlns:a16="http://schemas.microsoft.com/office/drawing/2014/main" id="{843F5A05-E130-41B3-80B5-54B328517AEE}"/>
            </a:ext>
          </a:extLst>
        </xdr:cNvPr>
        <xdr:cNvSpPr txBox="1"/>
      </xdr:nvSpPr>
      <xdr:spPr>
        <a:xfrm>
          <a:off x="3161241" y="1953684"/>
          <a:ext cx="1199093" cy="4487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0A355E4-91CA-48EC-9BBF-32FA8147EAB5}" type="TxLink">
            <a:rPr lang="en-US" sz="1600" b="0" i="0" u="none" strike="noStrike">
              <a:solidFill>
                <a:srgbClr val="000000"/>
              </a:solidFill>
              <a:latin typeface="Aptos Narrow"/>
            </a:rPr>
            <a:pPr/>
            <a:t>Pediatrics</a:t>
          </a:fld>
          <a:endParaRPr lang="en-US" sz="1600"/>
        </a:p>
      </xdr:txBody>
    </xdr:sp>
    <xdr:clientData/>
  </xdr:twoCellAnchor>
  <xdr:twoCellAnchor>
    <xdr:from>
      <xdr:col>5</xdr:col>
      <xdr:colOff>148164</xdr:colOff>
      <xdr:row>32</xdr:row>
      <xdr:rowOff>116417</xdr:rowOff>
    </xdr:from>
    <xdr:to>
      <xdr:col>13</xdr:col>
      <xdr:colOff>497417</xdr:colOff>
      <xdr:row>43</xdr:row>
      <xdr:rowOff>65617</xdr:rowOff>
    </xdr:to>
    <xdr:graphicFrame macro="">
      <xdr:nvGraphicFramePr>
        <xdr:cNvPr id="44" name="Chart 43">
          <a:extLst>
            <a:ext uri="{FF2B5EF4-FFF2-40B4-BE49-F238E27FC236}">
              <a16:creationId xmlns:a16="http://schemas.microsoft.com/office/drawing/2014/main" id="{D1BADC5D-032A-4B86-877B-560804611C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0</xdr:row>
      <xdr:rowOff>31750</xdr:rowOff>
    </xdr:from>
    <xdr:to>
      <xdr:col>4</xdr:col>
      <xdr:colOff>582084</xdr:colOff>
      <xdr:row>14</xdr:row>
      <xdr:rowOff>107950</xdr:rowOff>
    </xdr:to>
    <xdr:graphicFrame macro="">
      <xdr:nvGraphicFramePr>
        <xdr:cNvPr id="45" name="Chart 44">
          <a:extLst>
            <a:ext uri="{FF2B5EF4-FFF2-40B4-BE49-F238E27FC236}">
              <a16:creationId xmlns:a16="http://schemas.microsoft.com/office/drawing/2014/main" id="{21A2E06B-5729-41BA-B49F-9CD28DF6CA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370417</xdr:colOff>
      <xdr:row>13</xdr:row>
      <xdr:rowOff>127000</xdr:rowOff>
    </xdr:from>
    <xdr:to>
      <xdr:col>13</xdr:col>
      <xdr:colOff>31750</xdr:colOff>
      <xdr:row>30</xdr:row>
      <xdr:rowOff>52918</xdr:rowOff>
    </xdr:to>
    <mc:AlternateContent xmlns:mc="http://schemas.openxmlformats.org/markup-compatibility/2006">
      <mc:Choice xmlns:cx4="http://schemas.microsoft.com/office/drawing/2016/5/10/chartex" Requires="cx4">
        <xdr:graphicFrame macro="">
          <xdr:nvGraphicFramePr>
            <xdr:cNvPr id="46" name="Chart 45">
              <a:extLst>
                <a:ext uri="{FF2B5EF4-FFF2-40B4-BE49-F238E27FC236}">
                  <a16:creationId xmlns:a16="http://schemas.microsoft.com/office/drawing/2014/main" id="{742E718F-1730-4878-9642-DE8A9B9D1CA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3418417" y="2603500"/>
              <a:ext cx="4538133" cy="316441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21167</xdr:colOff>
      <xdr:row>16</xdr:row>
      <xdr:rowOff>126999</xdr:rowOff>
    </xdr:from>
    <xdr:to>
      <xdr:col>4</xdr:col>
      <xdr:colOff>571501</xdr:colOff>
      <xdr:row>31</xdr:row>
      <xdr:rowOff>12699</xdr:rowOff>
    </xdr:to>
    <xdr:graphicFrame macro="">
      <xdr:nvGraphicFramePr>
        <xdr:cNvPr id="47" name="Chart 46">
          <a:extLst>
            <a:ext uri="{FF2B5EF4-FFF2-40B4-BE49-F238E27FC236}">
              <a16:creationId xmlns:a16="http://schemas.microsoft.com/office/drawing/2014/main" id="{4E34F3E8-AB00-4337-BB04-B8B2853E53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592668</xdr:colOff>
      <xdr:row>29</xdr:row>
      <xdr:rowOff>158749</xdr:rowOff>
    </xdr:from>
    <xdr:to>
      <xdr:col>18</xdr:col>
      <xdr:colOff>433917</xdr:colOff>
      <xdr:row>45</xdr:row>
      <xdr:rowOff>158748</xdr:rowOff>
    </xdr:to>
    <xdr:graphicFrame macro="">
      <xdr:nvGraphicFramePr>
        <xdr:cNvPr id="48" name="Chart 47">
          <a:extLst>
            <a:ext uri="{FF2B5EF4-FFF2-40B4-BE49-F238E27FC236}">
              <a16:creationId xmlns:a16="http://schemas.microsoft.com/office/drawing/2014/main" id="{C652E3FA-977A-4D3A-9E3E-33AEC52A67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xdr:colOff>
      <xdr:row>30</xdr:row>
      <xdr:rowOff>15875</xdr:rowOff>
    </xdr:from>
    <xdr:to>
      <xdr:col>4</xdr:col>
      <xdr:colOff>550334</xdr:colOff>
      <xdr:row>43</xdr:row>
      <xdr:rowOff>148167</xdr:rowOff>
    </xdr:to>
    <xdr:graphicFrame macro="">
      <xdr:nvGraphicFramePr>
        <xdr:cNvPr id="49" name="Chart 48">
          <a:extLst>
            <a:ext uri="{FF2B5EF4-FFF2-40B4-BE49-F238E27FC236}">
              <a16:creationId xmlns:a16="http://schemas.microsoft.com/office/drawing/2014/main" id="{190CC2EB-02BC-445A-A694-EC98676EC4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275167</xdr:colOff>
      <xdr:row>19</xdr:row>
      <xdr:rowOff>116416</xdr:rowOff>
    </xdr:from>
    <xdr:to>
      <xdr:col>18</xdr:col>
      <xdr:colOff>169334</xdr:colOff>
      <xdr:row>31</xdr:row>
      <xdr:rowOff>12699</xdr:rowOff>
    </xdr:to>
    <xdr:graphicFrame macro="">
      <xdr:nvGraphicFramePr>
        <xdr:cNvPr id="50" name="Chart 49">
          <a:extLst>
            <a:ext uri="{FF2B5EF4-FFF2-40B4-BE49-F238E27FC236}">
              <a16:creationId xmlns:a16="http://schemas.microsoft.com/office/drawing/2014/main" id="{09328685-D28B-4FF0-9880-EFB4E17986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13</xdr:col>
      <xdr:colOff>603250</xdr:colOff>
      <xdr:row>0</xdr:row>
      <xdr:rowOff>10583</xdr:rowOff>
    </xdr:from>
    <xdr:to>
      <xdr:col>16</xdr:col>
      <xdr:colOff>243417</xdr:colOff>
      <xdr:row>11</xdr:row>
      <xdr:rowOff>10583</xdr:rowOff>
    </xdr:to>
    <mc:AlternateContent xmlns:mc="http://schemas.openxmlformats.org/markup-compatibility/2006" xmlns:a14="http://schemas.microsoft.com/office/drawing/2010/main">
      <mc:Choice Requires="a14">
        <xdr:graphicFrame macro="">
          <xdr:nvGraphicFramePr>
            <xdr:cNvPr id="51" name="Month Name 1">
              <a:extLst>
                <a:ext uri="{FF2B5EF4-FFF2-40B4-BE49-F238E27FC236}">
                  <a16:creationId xmlns:a16="http://schemas.microsoft.com/office/drawing/2014/main" id="{200167A1-AD8F-4A3D-BC7A-2952A67350DE}"/>
                </a:ext>
              </a:extLst>
            </xdr:cNvPr>
            <xdr:cNvGraphicFramePr/>
          </xdr:nvGraphicFramePr>
          <xdr:xfrm>
            <a:off x="0" y="0"/>
            <a:ext cx="0" cy="0"/>
          </xdr:xfrm>
          <a:graphic>
            <a:graphicData uri="http://schemas.microsoft.com/office/drawing/2010/slicer">
              <sle:slicer xmlns:sle="http://schemas.microsoft.com/office/drawing/2010/slicer" name="Month Name 1"/>
            </a:graphicData>
          </a:graphic>
        </xdr:graphicFrame>
      </mc:Choice>
      <mc:Fallback xmlns="">
        <xdr:sp macro="" textlink="">
          <xdr:nvSpPr>
            <xdr:cNvPr id="0" name=""/>
            <xdr:cNvSpPr>
              <a:spLocks noTextEdit="1"/>
            </xdr:cNvSpPr>
          </xdr:nvSpPr>
          <xdr:spPr>
            <a:xfrm>
              <a:off x="8497094" y="10583"/>
              <a:ext cx="1461823" cy="2095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264584</xdr:colOff>
      <xdr:row>0</xdr:row>
      <xdr:rowOff>0</xdr:rowOff>
    </xdr:from>
    <xdr:to>
      <xdr:col>18</xdr:col>
      <xdr:colOff>444500</xdr:colOff>
      <xdr:row>10</xdr:row>
      <xdr:rowOff>169333</xdr:rowOff>
    </xdr:to>
    <mc:AlternateContent xmlns:mc="http://schemas.openxmlformats.org/markup-compatibility/2006" xmlns:a14="http://schemas.microsoft.com/office/drawing/2010/main">
      <mc:Choice Requires="a14">
        <xdr:graphicFrame macro="">
          <xdr:nvGraphicFramePr>
            <xdr:cNvPr id="52" name="Department 1">
              <a:extLst>
                <a:ext uri="{FF2B5EF4-FFF2-40B4-BE49-F238E27FC236}">
                  <a16:creationId xmlns:a16="http://schemas.microsoft.com/office/drawing/2014/main" id="{D641F68F-0E0E-4067-9AAB-6CC5A8BF25AA}"/>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9980084" y="0"/>
              <a:ext cx="1394354" cy="20743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126999</xdr:colOff>
      <xdr:row>11</xdr:row>
      <xdr:rowOff>84667</xdr:rowOff>
    </xdr:from>
    <xdr:to>
      <xdr:col>18</xdr:col>
      <xdr:colOff>338666</xdr:colOff>
      <xdr:row>19</xdr:row>
      <xdr:rowOff>63500</xdr:rowOff>
    </xdr:to>
    <mc:AlternateContent xmlns:mc="http://schemas.openxmlformats.org/markup-compatibility/2006" xmlns:a14="http://schemas.microsoft.com/office/drawing/2010/main">
      <mc:Choice Requires="a14">
        <xdr:graphicFrame macro="">
          <xdr:nvGraphicFramePr>
            <xdr:cNvPr id="53" name="Service 1">
              <a:extLst>
                <a:ext uri="{FF2B5EF4-FFF2-40B4-BE49-F238E27FC236}">
                  <a16:creationId xmlns:a16="http://schemas.microsoft.com/office/drawing/2014/main" id="{488CB76A-A6E3-4F4A-9513-DCAFEC5FFC3C}"/>
                </a:ext>
              </a:extLst>
            </xdr:cNvPr>
            <xdr:cNvGraphicFramePr/>
          </xdr:nvGraphicFramePr>
          <xdr:xfrm>
            <a:off x="0" y="0"/>
            <a:ext cx="0" cy="0"/>
          </xdr:xfrm>
          <a:graphic>
            <a:graphicData uri="http://schemas.microsoft.com/office/drawing/2010/slicer">
              <sle:slicer xmlns:sle="http://schemas.microsoft.com/office/drawing/2010/slicer" name="Service 1"/>
            </a:graphicData>
          </a:graphic>
        </xdr:graphicFrame>
      </mc:Choice>
      <mc:Fallback xmlns="">
        <xdr:sp macro="" textlink="">
          <xdr:nvSpPr>
            <xdr:cNvPr id="0" name=""/>
            <xdr:cNvSpPr>
              <a:spLocks noTextEdit="1"/>
            </xdr:cNvSpPr>
          </xdr:nvSpPr>
          <xdr:spPr>
            <a:xfrm>
              <a:off x="8628062" y="2180167"/>
              <a:ext cx="2640542" cy="15028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613833</xdr:colOff>
      <xdr:row>0</xdr:row>
      <xdr:rowOff>84667</xdr:rowOff>
    </xdr:from>
    <xdr:to>
      <xdr:col>13</xdr:col>
      <xdr:colOff>539750</xdr:colOff>
      <xdr:row>3</xdr:row>
      <xdr:rowOff>1</xdr:rowOff>
    </xdr:to>
    <xdr:sp macro="" textlink="">
      <xdr:nvSpPr>
        <xdr:cNvPr id="54" name="TextBox 53">
          <a:extLst>
            <a:ext uri="{FF2B5EF4-FFF2-40B4-BE49-F238E27FC236}">
              <a16:creationId xmlns:a16="http://schemas.microsoft.com/office/drawing/2014/main" id="{A15784E8-B8C6-F4D2-32BD-5AD6FB2F461E}"/>
            </a:ext>
          </a:extLst>
        </xdr:cNvPr>
        <xdr:cNvSpPr txBox="1"/>
      </xdr:nvSpPr>
      <xdr:spPr>
        <a:xfrm>
          <a:off x="3069166" y="84667"/>
          <a:ext cx="5450417" cy="486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Public Hospital Utilization &amp; Performance Analysis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50.166416203705" createdVersion="8" refreshedVersion="8" minRefreshableVersion="3" recordCount="1000" xr:uid="{D6DCC515-CD2E-47F3-B8CC-6F43713F687D}">
  <cacheSource type="worksheet">
    <worksheetSource ref="A1:L1001" sheet="Cleaned Datasets"/>
  </cacheSource>
  <cacheFields count="12">
    <cacheField name="Month" numFmtId="0">
      <sharedItems/>
    </cacheField>
    <cacheField name="Formatted_Month" numFmtId="14">
      <sharedItems containsSemiMixedTypes="0" containsNonDate="0" containsDate="1" containsString="0" minDate="2023-01-01T00:00:00" maxDate="2023-12-02T00:00:00" count="12">
        <d v="2023-04-01T00:00:00"/>
        <d v="2023-06-01T00:00:00"/>
        <d v="2023-10-01T00:00:00"/>
        <d v="2023-08-01T00:00:00"/>
        <d v="2023-01-01T00:00:00"/>
        <d v="2023-03-01T00:00:00"/>
        <d v="2023-02-01T00:00:00"/>
        <d v="2023-05-01T00:00:00"/>
        <d v="2023-07-01T00:00:00"/>
        <d v="2023-12-01T00:00:00"/>
        <d v="2023-09-01T00:00:00"/>
        <d v="2023-11-01T00:00:00"/>
      </sharedItems>
    </cacheField>
    <cacheField name="Month Name" numFmtId="14">
      <sharedItems count="12">
        <s v="April"/>
        <s v="June"/>
        <s v="October"/>
        <s v="August"/>
        <s v="January"/>
        <s v="March"/>
        <s v="February"/>
        <s v="May"/>
        <s v="July"/>
        <s v="December"/>
        <s v="September"/>
        <s v="November"/>
      </sharedItems>
    </cacheField>
    <cacheField name="State" numFmtId="0">
      <sharedItems count="10">
        <s v="Delta"/>
        <s v="FCT"/>
        <s v="Anambra"/>
        <s v="Lagos"/>
        <s v="Edo"/>
        <s v="Kaduna"/>
        <s v="Kano"/>
        <s v="Borno"/>
        <s v="Rivers"/>
        <s v="Oyo"/>
      </sharedItems>
    </cacheField>
    <cacheField name="Hospital" numFmtId="0">
      <sharedItems count="20">
        <s v="Asaba General Hospital"/>
        <s v="National Hospital Abuja"/>
        <s v="Amaku General Hospital"/>
        <s v="LASUTH"/>
        <s v="Central Hospital Benin"/>
        <s v="Barau Dikko Hospital"/>
        <s v="St Gerard Hospital"/>
        <s v="Murtala Mohammed Hospital"/>
        <s v="Aminu Kano Teaching Hospital"/>
        <s v="Maiduguri Specialist Hospital"/>
        <s v="Braithwaite Memorial Hospital"/>
        <s v="UBTH"/>
        <s v="Warri Central Hospital"/>
        <s v="UMTH"/>
        <s v="UCH Ibadan"/>
        <s v="Ikeja General Hospital"/>
        <s v="Wuse District Hospital"/>
        <s v="Adeoyo Maternity Hospital"/>
        <s v="UPTH"/>
        <s v="NAUTH Nnewi"/>
      </sharedItems>
    </cacheField>
    <cacheField name="Department" numFmtId="0">
      <sharedItems count="6">
        <s v="Pediatrics"/>
        <s v="Outpatient"/>
        <s v="Maternity"/>
        <s v="Internal Medicine"/>
        <s v="Emergency"/>
        <s v="Surgery"/>
      </sharedItems>
    </cacheField>
    <cacheField name="Service" numFmtId="0">
      <sharedItems count="6">
        <s v="Admission"/>
        <s v="Delivery"/>
        <s v="Surgery"/>
        <s v="Consultation"/>
        <s v="Lab Test"/>
        <s v="Medication"/>
      </sharedItems>
    </cacheField>
    <cacheField name="Gender" numFmtId="0">
      <sharedItems count="2">
        <s v="Female"/>
        <s v="Male"/>
      </sharedItems>
    </cacheField>
    <cacheField name="Patients Admitted" numFmtId="0">
      <sharedItems containsSemiMixedTypes="0" containsString="0" containsNumber="1" containsInteger="1" minValue="0" maxValue="13" count="14">
        <n v="5"/>
        <n v="3"/>
        <n v="8"/>
        <n v="2"/>
        <n v="6"/>
        <n v="1"/>
        <n v="11"/>
        <n v="4"/>
        <n v="7"/>
        <n v="10"/>
        <n v="9"/>
        <n v="13"/>
        <n v="0"/>
        <n v="12"/>
      </sharedItems>
    </cacheField>
    <cacheField name="Patients Discharged" numFmtId="0">
      <sharedItems containsSemiMixedTypes="0" containsString="0" containsNumber="1" containsInteger="1" minValue="0" maxValue="12" count="13">
        <n v="5"/>
        <n v="3"/>
        <n v="4"/>
        <n v="8"/>
        <n v="2"/>
        <n v="1"/>
        <n v="6"/>
        <n v="11"/>
        <n v="7"/>
        <n v="9"/>
        <n v="12"/>
        <n v="0"/>
        <n v="10"/>
      </sharedItems>
    </cacheField>
    <cacheField name="Mortality Count" numFmtId="0">
      <sharedItems containsSemiMixedTypes="0" containsString="0" containsNumber="1" containsInteger="1" minValue="0" maxValue="3"/>
    </cacheField>
    <cacheField name="Avg Stay (Days)" numFmtId="0">
      <sharedItems containsSemiMixedTypes="0" containsString="0" containsNumber="1" minValue="-0.5" maxValue="5.9"/>
    </cacheField>
  </cacheFields>
  <extLst>
    <ext xmlns:x14="http://schemas.microsoft.com/office/spreadsheetml/2009/9/main" uri="{725AE2AE-9491-48be-B2B4-4EB974FC3084}">
      <x14:pivotCacheDefinition pivotCacheId="75600175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52.006052083336" createdVersion="8" refreshedVersion="8" minRefreshableVersion="3" recordCount="1000" xr:uid="{E858B8F1-AD9A-4ED5-A589-621BE3097704}">
  <cacheSource type="worksheet">
    <worksheetSource ref="A1:M1001" sheet="Cleaned Datasets"/>
  </cacheSource>
  <cacheFields count="13">
    <cacheField name="Month" numFmtId="0">
      <sharedItems/>
    </cacheField>
    <cacheField name="Formatted_Month" numFmtId="14">
      <sharedItems containsSemiMixedTypes="0" containsNonDate="0" containsDate="1" containsString="0" minDate="2023-01-01T00:00:00" maxDate="2023-12-02T00:00:00"/>
    </cacheField>
    <cacheField name="Month Name" numFmtId="14">
      <sharedItems/>
    </cacheField>
    <cacheField name="State" numFmtId="0">
      <sharedItems/>
    </cacheField>
    <cacheField name="Hospital" numFmtId="0">
      <sharedItems count="20">
        <s v="Asaba General Hospital"/>
        <s v="National Hospital Abuja"/>
        <s v="Amaku General Hospital"/>
        <s v="LASUTH"/>
        <s v="Central Hospital Benin"/>
        <s v="Barau Dikko Hospital"/>
        <s v="St Gerard Hospital"/>
        <s v="Murtala Mohammed Hospital"/>
        <s v="Aminu Kano Teaching Hospital"/>
        <s v="Maiduguri Specialist Hospital"/>
        <s v="Braithwaite Memorial Hospital"/>
        <s v="UBTH"/>
        <s v="Warri Central Hospital"/>
        <s v="UMTH"/>
        <s v="UCH Ibadan"/>
        <s v="Ikeja General Hospital"/>
        <s v="Wuse District Hospital"/>
        <s v="Adeoyo Maternity Hospital"/>
        <s v="UPTH"/>
        <s v="NAUTH Nnewi"/>
      </sharedItems>
    </cacheField>
    <cacheField name="Department" numFmtId="0">
      <sharedItems/>
    </cacheField>
    <cacheField name="Service" numFmtId="0">
      <sharedItems/>
    </cacheField>
    <cacheField name="Gender" numFmtId="0">
      <sharedItems/>
    </cacheField>
    <cacheField name="Patients Admitted" numFmtId="0">
      <sharedItems containsSemiMixedTypes="0" containsString="0" containsNumber="1" containsInteger="1" minValue="0" maxValue="13"/>
    </cacheField>
    <cacheField name="Patients Discharged" numFmtId="0">
      <sharedItems containsSemiMixedTypes="0" containsString="0" containsNumber="1" containsInteger="1" minValue="0" maxValue="12"/>
    </cacheField>
    <cacheField name="Mortality Count" numFmtId="0">
      <sharedItems containsSemiMixedTypes="0" containsString="0" containsNumber="1" containsInteger="1" minValue="0" maxValue="3"/>
    </cacheField>
    <cacheField name="Avg Stay (Days)" numFmtId="0">
      <sharedItems containsSemiMixedTypes="0" containsString="0" containsNumber="1" minValue="-0.5" maxValue="5.9"/>
    </cacheField>
    <cacheField name="Discharge Rate " numFmtId="9">
      <sharedItems containsSemiMixedTypes="0" containsString="0" containsNumber="1" minValue="0" maxValue="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52.054701273148" createdVersion="8" refreshedVersion="8" minRefreshableVersion="3" recordCount="1000" xr:uid="{4B0E0082-E9BC-42A6-B9D5-E523A72DA426}">
  <cacheSource type="worksheet">
    <worksheetSource ref="A1:N1001" sheet="Cleaned Datasets"/>
  </cacheSource>
  <cacheFields count="14">
    <cacheField name="Month" numFmtId="0">
      <sharedItems/>
    </cacheField>
    <cacheField name="Formatted_Month" numFmtId="14">
      <sharedItems containsSemiMixedTypes="0" containsNonDate="0" containsDate="1" containsString="0" minDate="2023-01-01T00:00:00" maxDate="2023-12-02T00:00:00"/>
    </cacheField>
    <cacheField name="Month Name" numFmtId="14">
      <sharedItems count="12">
        <s v="April"/>
        <s v="June"/>
        <s v="October"/>
        <s v="August"/>
        <s v="January"/>
        <s v="March"/>
        <s v="February"/>
        <s v="May"/>
        <s v="July"/>
        <s v="December"/>
        <s v="September"/>
        <s v="November"/>
      </sharedItems>
    </cacheField>
    <cacheField name="State" numFmtId="0">
      <sharedItems count="10">
        <s v="Delta"/>
        <s v="FCT"/>
        <s v="Anambra"/>
        <s v="Lagos"/>
        <s v="Edo"/>
        <s v="Kaduna"/>
        <s v="Kano"/>
        <s v="Borno"/>
        <s v="Rivers"/>
        <s v="Oyo"/>
      </sharedItems>
    </cacheField>
    <cacheField name="Hospital" numFmtId="0">
      <sharedItems count="20">
        <s v="Asaba General Hospital"/>
        <s v="National Hospital Abuja"/>
        <s v="Amaku General Hospital"/>
        <s v="LASUTH"/>
        <s v="Central Hospital Benin"/>
        <s v="Barau Dikko Hospital"/>
        <s v="St Gerard Hospital"/>
        <s v="Murtala Mohammed Hospital"/>
        <s v="Aminu Kano Teaching Hospital"/>
        <s v="Maiduguri Specialist Hospital"/>
        <s v="Braithwaite Memorial Hospital"/>
        <s v="UBTH"/>
        <s v="Warri Central Hospital"/>
        <s v="UMTH"/>
        <s v="UCH Ibadan"/>
        <s v="Ikeja General Hospital"/>
        <s v="Wuse District Hospital"/>
        <s v="Adeoyo Maternity Hospital"/>
        <s v="UPTH"/>
        <s v="NAUTH Nnewi"/>
      </sharedItems>
    </cacheField>
    <cacheField name="Department" numFmtId="0">
      <sharedItems count="6">
        <s v="Pediatrics"/>
        <s v="Outpatient"/>
        <s v="Maternity"/>
        <s v="Internal Medicine"/>
        <s v="Emergency"/>
        <s v="Surgery"/>
      </sharedItems>
    </cacheField>
    <cacheField name="Service" numFmtId="0">
      <sharedItems count="6">
        <s v="Admission"/>
        <s v="Delivery"/>
        <s v="Surgery"/>
        <s v="Consultation"/>
        <s v="Lab Test"/>
        <s v="Medication"/>
      </sharedItems>
    </cacheField>
    <cacheField name="Gender" numFmtId="0">
      <sharedItems/>
    </cacheField>
    <cacheField name="Patients Admitted" numFmtId="0">
      <sharedItems containsSemiMixedTypes="0" containsString="0" containsNumber="1" containsInteger="1" minValue="0" maxValue="13" count="14">
        <n v="5"/>
        <n v="3"/>
        <n v="8"/>
        <n v="2"/>
        <n v="6"/>
        <n v="1"/>
        <n v="11"/>
        <n v="4"/>
        <n v="7"/>
        <n v="10"/>
        <n v="9"/>
        <n v="13"/>
        <n v="0"/>
        <n v="12"/>
      </sharedItems>
    </cacheField>
    <cacheField name="Patients Discharged" numFmtId="0">
      <sharedItems containsSemiMixedTypes="0" containsString="0" containsNumber="1" containsInteger="1" minValue="0" maxValue="12"/>
    </cacheField>
    <cacheField name="Mortality Count" numFmtId="0">
      <sharedItems containsSemiMixedTypes="0" containsString="0" containsNumber="1" containsInteger="1" minValue="0" maxValue="3"/>
    </cacheField>
    <cacheField name="Avg Stay (Days)" numFmtId="0">
      <sharedItems containsSemiMixedTypes="0" containsString="0" containsNumber="1" minValue="-0.5" maxValue="5.9"/>
    </cacheField>
    <cacheField name="Discharge Rate " numFmtId="9">
      <sharedItems containsSemiMixedTypes="0" containsString="0" containsNumber="1" minValue="0" maxValue="1"/>
    </cacheField>
    <cacheField name="Mortality" numFmtId="9">
      <sharedItems containsSemiMixedTypes="0" containsString="0" containsNumber="1" minValue="0" maxValue="1"/>
    </cacheField>
  </cacheFields>
  <extLst>
    <ext xmlns:x14="http://schemas.microsoft.com/office/spreadsheetml/2009/9/main" uri="{725AE2AE-9491-48be-B2B4-4EB974FC3084}">
      <x14:pivotCacheDefinition pivotCacheId="8318606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2023-04"/>
    <x v="0"/>
    <x v="0"/>
    <x v="0"/>
    <x v="0"/>
    <x v="0"/>
    <x v="0"/>
    <x v="0"/>
    <x v="0"/>
    <x v="0"/>
    <n v="1"/>
    <n v="4.5999999999999996"/>
  </r>
  <r>
    <s v="2023-04"/>
    <x v="0"/>
    <x v="0"/>
    <x v="1"/>
    <x v="1"/>
    <x v="0"/>
    <x v="1"/>
    <x v="1"/>
    <x v="1"/>
    <x v="1"/>
    <n v="0"/>
    <n v="3.8"/>
  </r>
  <r>
    <s v="2023-06"/>
    <x v="1"/>
    <x v="1"/>
    <x v="1"/>
    <x v="1"/>
    <x v="1"/>
    <x v="2"/>
    <x v="1"/>
    <x v="0"/>
    <x v="0"/>
    <n v="0"/>
    <n v="4.5"/>
  </r>
  <r>
    <s v="2023-10"/>
    <x v="2"/>
    <x v="2"/>
    <x v="2"/>
    <x v="2"/>
    <x v="2"/>
    <x v="3"/>
    <x v="0"/>
    <x v="1"/>
    <x v="1"/>
    <n v="0"/>
    <n v="2.8"/>
  </r>
  <r>
    <s v="2023-10"/>
    <x v="2"/>
    <x v="2"/>
    <x v="3"/>
    <x v="3"/>
    <x v="1"/>
    <x v="4"/>
    <x v="0"/>
    <x v="0"/>
    <x v="2"/>
    <n v="0"/>
    <n v="3"/>
  </r>
  <r>
    <s v="2023-08"/>
    <x v="3"/>
    <x v="3"/>
    <x v="3"/>
    <x v="3"/>
    <x v="3"/>
    <x v="0"/>
    <x v="1"/>
    <x v="1"/>
    <x v="1"/>
    <n v="0"/>
    <n v="1.9"/>
  </r>
  <r>
    <s v="2023-01"/>
    <x v="4"/>
    <x v="4"/>
    <x v="4"/>
    <x v="4"/>
    <x v="1"/>
    <x v="3"/>
    <x v="1"/>
    <x v="2"/>
    <x v="3"/>
    <n v="0"/>
    <n v="2"/>
  </r>
  <r>
    <s v="2023-03"/>
    <x v="5"/>
    <x v="5"/>
    <x v="5"/>
    <x v="5"/>
    <x v="3"/>
    <x v="3"/>
    <x v="1"/>
    <x v="0"/>
    <x v="2"/>
    <n v="0"/>
    <n v="1.4"/>
  </r>
  <r>
    <s v="2023-01"/>
    <x v="4"/>
    <x v="4"/>
    <x v="5"/>
    <x v="6"/>
    <x v="4"/>
    <x v="0"/>
    <x v="0"/>
    <x v="1"/>
    <x v="4"/>
    <n v="0"/>
    <n v="3.9"/>
  </r>
  <r>
    <s v="2023-10"/>
    <x v="2"/>
    <x v="2"/>
    <x v="6"/>
    <x v="7"/>
    <x v="5"/>
    <x v="3"/>
    <x v="0"/>
    <x v="3"/>
    <x v="5"/>
    <n v="0"/>
    <n v="3.8"/>
  </r>
  <r>
    <s v="2023-02"/>
    <x v="6"/>
    <x v="6"/>
    <x v="5"/>
    <x v="6"/>
    <x v="0"/>
    <x v="2"/>
    <x v="1"/>
    <x v="3"/>
    <x v="4"/>
    <n v="0"/>
    <n v="3.8"/>
  </r>
  <r>
    <s v="2023-08"/>
    <x v="3"/>
    <x v="3"/>
    <x v="6"/>
    <x v="8"/>
    <x v="5"/>
    <x v="1"/>
    <x v="0"/>
    <x v="4"/>
    <x v="6"/>
    <n v="0"/>
    <n v="3.3"/>
  </r>
  <r>
    <s v="2023-04"/>
    <x v="0"/>
    <x v="0"/>
    <x v="0"/>
    <x v="0"/>
    <x v="1"/>
    <x v="0"/>
    <x v="1"/>
    <x v="5"/>
    <x v="5"/>
    <n v="0"/>
    <n v="3.1"/>
  </r>
  <r>
    <s v="2023-05"/>
    <x v="7"/>
    <x v="7"/>
    <x v="7"/>
    <x v="9"/>
    <x v="0"/>
    <x v="4"/>
    <x v="1"/>
    <x v="0"/>
    <x v="0"/>
    <n v="0"/>
    <n v="1"/>
  </r>
  <r>
    <s v="2023-03"/>
    <x v="5"/>
    <x v="5"/>
    <x v="8"/>
    <x v="10"/>
    <x v="3"/>
    <x v="0"/>
    <x v="0"/>
    <x v="6"/>
    <x v="7"/>
    <n v="0"/>
    <n v="3.3"/>
  </r>
  <r>
    <s v="2023-07"/>
    <x v="8"/>
    <x v="8"/>
    <x v="4"/>
    <x v="11"/>
    <x v="2"/>
    <x v="1"/>
    <x v="1"/>
    <x v="5"/>
    <x v="5"/>
    <n v="0"/>
    <n v="3.3"/>
  </r>
  <r>
    <s v="2023-10"/>
    <x v="2"/>
    <x v="2"/>
    <x v="0"/>
    <x v="12"/>
    <x v="0"/>
    <x v="5"/>
    <x v="1"/>
    <x v="7"/>
    <x v="1"/>
    <n v="0"/>
    <n v="3"/>
  </r>
  <r>
    <s v="2023-05"/>
    <x v="7"/>
    <x v="7"/>
    <x v="5"/>
    <x v="6"/>
    <x v="1"/>
    <x v="4"/>
    <x v="0"/>
    <x v="3"/>
    <x v="4"/>
    <n v="0"/>
    <n v="1.3"/>
  </r>
  <r>
    <s v="2023-06"/>
    <x v="1"/>
    <x v="1"/>
    <x v="4"/>
    <x v="11"/>
    <x v="3"/>
    <x v="3"/>
    <x v="0"/>
    <x v="1"/>
    <x v="1"/>
    <n v="0"/>
    <n v="4.0999999999999996"/>
  </r>
  <r>
    <s v="2023-01"/>
    <x v="4"/>
    <x v="4"/>
    <x v="0"/>
    <x v="0"/>
    <x v="4"/>
    <x v="2"/>
    <x v="1"/>
    <x v="4"/>
    <x v="0"/>
    <n v="0"/>
    <n v="3.8"/>
  </r>
  <r>
    <s v="2023-07"/>
    <x v="8"/>
    <x v="8"/>
    <x v="8"/>
    <x v="10"/>
    <x v="2"/>
    <x v="4"/>
    <x v="1"/>
    <x v="3"/>
    <x v="4"/>
    <n v="0"/>
    <n v="1.4"/>
  </r>
  <r>
    <s v="2023-05"/>
    <x v="7"/>
    <x v="7"/>
    <x v="8"/>
    <x v="10"/>
    <x v="0"/>
    <x v="2"/>
    <x v="1"/>
    <x v="0"/>
    <x v="0"/>
    <n v="0"/>
    <n v="3.1"/>
  </r>
  <r>
    <s v="2023-06"/>
    <x v="1"/>
    <x v="1"/>
    <x v="0"/>
    <x v="0"/>
    <x v="3"/>
    <x v="4"/>
    <x v="0"/>
    <x v="2"/>
    <x v="6"/>
    <n v="1"/>
    <n v="1.6"/>
  </r>
  <r>
    <s v="2023-07"/>
    <x v="8"/>
    <x v="8"/>
    <x v="5"/>
    <x v="6"/>
    <x v="4"/>
    <x v="0"/>
    <x v="1"/>
    <x v="8"/>
    <x v="0"/>
    <n v="0"/>
    <n v="4.2"/>
  </r>
  <r>
    <s v="2023-05"/>
    <x v="7"/>
    <x v="7"/>
    <x v="6"/>
    <x v="8"/>
    <x v="5"/>
    <x v="3"/>
    <x v="1"/>
    <x v="5"/>
    <x v="5"/>
    <n v="0"/>
    <n v="3.2"/>
  </r>
  <r>
    <s v="2023-07"/>
    <x v="8"/>
    <x v="8"/>
    <x v="7"/>
    <x v="13"/>
    <x v="4"/>
    <x v="4"/>
    <x v="1"/>
    <x v="0"/>
    <x v="2"/>
    <n v="0"/>
    <n v="1.8"/>
  </r>
  <r>
    <s v="2023-02"/>
    <x v="6"/>
    <x v="6"/>
    <x v="4"/>
    <x v="11"/>
    <x v="0"/>
    <x v="4"/>
    <x v="0"/>
    <x v="0"/>
    <x v="0"/>
    <n v="1"/>
    <n v="3.9"/>
  </r>
  <r>
    <s v="2023-10"/>
    <x v="2"/>
    <x v="2"/>
    <x v="5"/>
    <x v="5"/>
    <x v="4"/>
    <x v="3"/>
    <x v="1"/>
    <x v="8"/>
    <x v="8"/>
    <n v="0"/>
    <n v="2.8"/>
  </r>
  <r>
    <s v="2023-06"/>
    <x v="1"/>
    <x v="1"/>
    <x v="4"/>
    <x v="11"/>
    <x v="2"/>
    <x v="1"/>
    <x v="0"/>
    <x v="0"/>
    <x v="1"/>
    <n v="0"/>
    <n v="2.5"/>
  </r>
  <r>
    <s v="2023-12"/>
    <x v="9"/>
    <x v="9"/>
    <x v="7"/>
    <x v="13"/>
    <x v="2"/>
    <x v="5"/>
    <x v="0"/>
    <x v="4"/>
    <x v="0"/>
    <n v="0"/>
    <n v="3.8"/>
  </r>
  <r>
    <s v="2023-08"/>
    <x v="3"/>
    <x v="3"/>
    <x v="1"/>
    <x v="1"/>
    <x v="5"/>
    <x v="2"/>
    <x v="1"/>
    <x v="2"/>
    <x v="3"/>
    <n v="1"/>
    <n v="3.3"/>
  </r>
  <r>
    <s v="2023-02"/>
    <x v="6"/>
    <x v="6"/>
    <x v="5"/>
    <x v="6"/>
    <x v="3"/>
    <x v="5"/>
    <x v="0"/>
    <x v="9"/>
    <x v="9"/>
    <n v="0"/>
    <n v="3.3"/>
  </r>
  <r>
    <s v="2023-05"/>
    <x v="7"/>
    <x v="7"/>
    <x v="9"/>
    <x v="14"/>
    <x v="4"/>
    <x v="3"/>
    <x v="0"/>
    <x v="7"/>
    <x v="2"/>
    <n v="1"/>
    <n v="2.1"/>
  </r>
  <r>
    <s v="2023-02"/>
    <x v="6"/>
    <x v="6"/>
    <x v="1"/>
    <x v="1"/>
    <x v="2"/>
    <x v="5"/>
    <x v="0"/>
    <x v="7"/>
    <x v="2"/>
    <n v="0"/>
    <n v="2.7"/>
  </r>
  <r>
    <s v="2023-10"/>
    <x v="2"/>
    <x v="2"/>
    <x v="4"/>
    <x v="4"/>
    <x v="5"/>
    <x v="1"/>
    <x v="0"/>
    <x v="2"/>
    <x v="3"/>
    <n v="0"/>
    <n v="2.2000000000000002"/>
  </r>
  <r>
    <s v="2023-01"/>
    <x v="4"/>
    <x v="4"/>
    <x v="5"/>
    <x v="6"/>
    <x v="0"/>
    <x v="2"/>
    <x v="1"/>
    <x v="1"/>
    <x v="1"/>
    <n v="0"/>
    <n v="4.7"/>
  </r>
  <r>
    <s v="2023-07"/>
    <x v="8"/>
    <x v="8"/>
    <x v="3"/>
    <x v="15"/>
    <x v="2"/>
    <x v="2"/>
    <x v="0"/>
    <x v="8"/>
    <x v="6"/>
    <n v="0"/>
    <n v="2.8"/>
  </r>
  <r>
    <s v="2023-09"/>
    <x v="10"/>
    <x v="10"/>
    <x v="4"/>
    <x v="11"/>
    <x v="1"/>
    <x v="4"/>
    <x v="0"/>
    <x v="1"/>
    <x v="1"/>
    <n v="0"/>
    <n v="4.9000000000000004"/>
  </r>
  <r>
    <s v="2023-07"/>
    <x v="8"/>
    <x v="8"/>
    <x v="7"/>
    <x v="13"/>
    <x v="0"/>
    <x v="0"/>
    <x v="0"/>
    <x v="1"/>
    <x v="1"/>
    <n v="0"/>
    <n v="3.4"/>
  </r>
  <r>
    <s v="2023-08"/>
    <x v="3"/>
    <x v="3"/>
    <x v="5"/>
    <x v="6"/>
    <x v="2"/>
    <x v="2"/>
    <x v="1"/>
    <x v="1"/>
    <x v="1"/>
    <n v="1"/>
    <n v="3.9"/>
  </r>
  <r>
    <s v="2023-10"/>
    <x v="2"/>
    <x v="2"/>
    <x v="1"/>
    <x v="16"/>
    <x v="2"/>
    <x v="2"/>
    <x v="0"/>
    <x v="10"/>
    <x v="9"/>
    <n v="0"/>
    <n v="2.5"/>
  </r>
  <r>
    <s v="2023-03"/>
    <x v="5"/>
    <x v="5"/>
    <x v="4"/>
    <x v="4"/>
    <x v="2"/>
    <x v="5"/>
    <x v="1"/>
    <x v="3"/>
    <x v="5"/>
    <n v="0"/>
    <n v="3.2"/>
  </r>
  <r>
    <s v="2023-04"/>
    <x v="0"/>
    <x v="0"/>
    <x v="5"/>
    <x v="5"/>
    <x v="5"/>
    <x v="3"/>
    <x v="1"/>
    <x v="8"/>
    <x v="6"/>
    <n v="1"/>
    <n v="3"/>
  </r>
  <r>
    <s v="2023-09"/>
    <x v="10"/>
    <x v="10"/>
    <x v="6"/>
    <x v="8"/>
    <x v="4"/>
    <x v="1"/>
    <x v="0"/>
    <x v="2"/>
    <x v="6"/>
    <n v="0"/>
    <n v="3.1"/>
  </r>
  <r>
    <s v="2023-04"/>
    <x v="0"/>
    <x v="0"/>
    <x v="8"/>
    <x v="10"/>
    <x v="1"/>
    <x v="1"/>
    <x v="0"/>
    <x v="7"/>
    <x v="1"/>
    <n v="0"/>
    <n v="3.3"/>
  </r>
  <r>
    <s v="2023-11"/>
    <x v="11"/>
    <x v="11"/>
    <x v="9"/>
    <x v="14"/>
    <x v="5"/>
    <x v="3"/>
    <x v="0"/>
    <x v="2"/>
    <x v="8"/>
    <n v="0"/>
    <n v="2.9"/>
  </r>
  <r>
    <s v="2023-04"/>
    <x v="0"/>
    <x v="0"/>
    <x v="1"/>
    <x v="16"/>
    <x v="3"/>
    <x v="0"/>
    <x v="0"/>
    <x v="7"/>
    <x v="2"/>
    <n v="0"/>
    <n v="3.4"/>
  </r>
  <r>
    <s v="2023-07"/>
    <x v="8"/>
    <x v="8"/>
    <x v="0"/>
    <x v="0"/>
    <x v="2"/>
    <x v="4"/>
    <x v="1"/>
    <x v="3"/>
    <x v="4"/>
    <n v="0"/>
    <n v="2.4"/>
  </r>
  <r>
    <s v="2023-12"/>
    <x v="9"/>
    <x v="9"/>
    <x v="0"/>
    <x v="12"/>
    <x v="4"/>
    <x v="2"/>
    <x v="0"/>
    <x v="1"/>
    <x v="5"/>
    <n v="0"/>
    <n v="4.2"/>
  </r>
  <r>
    <s v="2023-12"/>
    <x v="9"/>
    <x v="9"/>
    <x v="2"/>
    <x v="2"/>
    <x v="3"/>
    <x v="0"/>
    <x v="0"/>
    <x v="8"/>
    <x v="0"/>
    <n v="0"/>
    <n v="2.5"/>
  </r>
  <r>
    <s v="2023-04"/>
    <x v="0"/>
    <x v="0"/>
    <x v="7"/>
    <x v="9"/>
    <x v="0"/>
    <x v="4"/>
    <x v="0"/>
    <x v="5"/>
    <x v="5"/>
    <n v="0"/>
    <n v="4.3"/>
  </r>
  <r>
    <s v="2023-11"/>
    <x v="11"/>
    <x v="11"/>
    <x v="6"/>
    <x v="8"/>
    <x v="0"/>
    <x v="3"/>
    <x v="0"/>
    <x v="8"/>
    <x v="0"/>
    <n v="0"/>
    <n v="3.8"/>
  </r>
  <r>
    <s v="2023-02"/>
    <x v="6"/>
    <x v="6"/>
    <x v="5"/>
    <x v="6"/>
    <x v="2"/>
    <x v="0"/>
    <x v="0"/>
    <x v="8"/>
    <x v="6"/>
    <n v="0"/>
    <n v="4.2"/>
  </r>
  <r>
    <s v="2023-05"/>
    <x v="7"/>
    <x v="7"/>
    <x v="7"/>
    <x v="13"/>
    <x v="1"/>
    <x v="3"/>
    <x v="0"/>
    <x v="0"/>
    <x v="2"/>
    <n v="0"/>
    <n v="4.8"/>
  </r>
  <r>
    <s v="2023-02"/>
    <x v="6"/>
    <x v="6"/>
    <x v="7"/>
    <x v="9"/>
    <x v="0"/>
    <x v="3"/>
    <x v="1"/>
    <x v="7"/>
    <x v="4"/>
    <n v="2"/>
    <n v="3.3"/>
  </r>
  <r>
    <s v="2023-12"/>
    <x v="9"/>
    <x v="9"/>
    <x v="3"/>
    <x v="3"/>
    <x v="2"/>
    <x v="0"/>
    <x v="0"/>
    <x v="10"/>
    <x v="8"/>
    <n v="1"/>
    <n v="4.9000000000000004"/>
  </r>
  <r>
    <s v="2023-05"/>
    <x v="7"/>
    <x v="7"/>
    <x v="2"/>
    <x v="2"/>
    <x v="1"/>
    <x v="4"/>
    <x v="1"/>
    <x v="5"/>
    <x v="5"/>
    <n v="0"/>
    <n v="1.3"/>
  </r>
  <r>
    <s v="2023-06"/>
    <x v="1"/>
    <x v="1"/>
    <x v="4"/>
    <x v="4"/>
    <x v="2"/>
    <x v="5"/>
    <x v="0"/>
    <x v="4"/>
    <x v="0"/>
    <n v="1"/>
    <n v="4.4000000000000004"/>
  </r>
  <r>
    <s v="2023-07"/>
    <x v="8"/>
    <x v="8"/>
    <x v="1"/>
    <x v="16"/>
    <x v="1"/>
    <x v="1"/>
    <x v="1"/>
    <x v="2"/>
    <x v="6"/>
    <n v="0"/>
    <n v="3.7"/>
  </r>
  <r>
    <s v="2023-12"/>
    <x v="9"/>
    <x v="9"/>
    <x v="5"/>
    <x v="5"/>
    <x v="3"/>
    <x v="4"/>
    <x v="1"/>
    <x v="4"/>
    <x v="0"/>
    <n v="0"/>
    <n v="1.9"/>
  </r>
  <r>
    <s v="2023-08"/>
    <x v="3"/>
    <x v="3"/>
    <x v="9"/>
    <x v="14"/>
    <x v="5"/>
    <x v="5"/>
    <x v="0"/>
    <x v="7"/>
    <x v="1"/>
    <n v="0"/>
    <n v="2"/>
  </r>
  <r>
    <s v="2023-03"/>
    <x v="5"/>
    <x v="5"/>
    <x v="6"/>
    <x v="7"/>
    <x v="3"/>
    <x v="4"/>
    <x v="0"/>
    <x v="5"/>
    <x v="5"/>
    <n v="0"/>
    <n v="3.7"/>
  </r>
  <r>
    <s v="2023-05"/>
    <x v="7"/>
    <x v="7"/>
    <x v="5"/>
    <x v="5"/>
    <x v="0"/>
    <x v="2"/>
    <x v="1"/>
    <x v="8"/>
    <x v="0"/>
    <n v="1"/>
    <n v="1.3"/>
  </r>
  <r>
    <s v="2023-09"/>
    <x v="10"/>
    <x v="10"/>
    <x v="6"/>
    <x v="8"/>
    <x v="5"/>
    <x v="0"/>
    <x v="0"/>
    <x v="4"/>
    <x v="6"/>
    <n v="0"/>
    <n v="2.9"/>
  </r>
  <r>
    <s v="2023-05"/>
    <x v="7"/>
    <x v="7"/>
    <x v="3"/>
    <x v="3"/>
    <x v="4"/>
    <x v="3"/>
    <x v="1"/>
    <x v="1"/>
    <x v="1"/>
    <n v="1"/>
    <n v="5.0999999999999996"/>
  </r>
  <r>
    <s v="2023-02"/>
    <x v="6"/>
    <x v="6"/>
    <x v="4"/>
    <x v="11"/>
    <x v="0"/>
    <x v="3"/>
    <x v="0"/>
    <x v="3"/>
    <x v="4"/>
    <n v="0"/>
    <n v="2.7"/>
  </r>
  <r>
    <s v="2023-10"/>
    <x v="2"/>
    <x v="2"/>
    <x v="7"/>
    <x v="13"/>
    <x v="4"/>
    <x v="3"/>
    <x v="0"/>
    <x v="3"/>
    <x v="4"/>
    <n v="0"/>
    <n v="3.1"/>
  </r>
  <r>
    <s v="2023-06"/>
    <x v="1"/>
    <x v="1"/>
    <x v="4"/>
    <x v="11"/>
    <x v="4"/>
    <x v="1"/>
    <x v="1"/>
    <x v="7"/>
    <x v="1"/>
    <n v="1"/>
    <n v="0.7"/>
  </r>
  <r>
    <s v="2023-11"/>
    <x v="11"/>
    <x v="11"/>
    <x v="7"/>
    <x v="13"/>
    <x v="0"/>
    <x v="1"/>
    <x v="0"/>
    <x v="7"/>
    <x v="2"/>
    <n v="0"/>
    <n v="5.4"/>
  </r>
  <r>
    <s v="2023-04"/>
    <x v="0"/>
    <x v="0"/>
    <x v="1"/>
    <x v="1"/>
    <x v="2"/>
    <x v="3"/>
    <x v="0"/>
    <x v="1"/>
    <x v="1"/>
    <n v="0"/>
    <n v="2.7"/>
  </r>
  <r>
    <s v="2023-09"/>
    <x v="10"/>
    <x v="10"/>
    <x v="3"/>
    <x v="3"/>
    <x v="5"/>
    <x v="1"/>
    <x v="1"/>
    <x v="0"/>
    <x v="0"/>
    <n v="0"/>
    <n v="2.8"/>
  </r>
  <r>
    <s v="2023-01"/>
    <x v="4"/>
    <x v="4"/>
    <x v="7"/>
    <x v="13"/>
    <x v="3"/>
    <x v="2"/>
    <x v="1"/>
    <x v="1"/>
    <x v="4"/>
    <n v="0"/>
    <n v="3"/>
  </r>
  <r>
    <s v="2023-01"/>
    <x v="4"/>
    <x v="4"/>
    <x v="2"/>
    <x v="2"/>
    <x v="1"/>
    <x v="4"/>
    <x v="0"/>
    <x v="4"/>
    <x v="6"/>
    <n v="0"/>
    <n v="2.1"/>
  </r>
  <r>
    <s v="2023-04"/>
    <x v="0"/>
    <x v="0"/>
    <x v="3"/>
    <x v="15"/>
    <x v="4"/>
    <x v="3"/>
    <x v="0"/>
    <x v="4"/>
    <x v="6"/>
    <n v="0"/>
    <n v="1.6"/>
  </r>
  <r>
    <s v="2023-11"/>
    <x v="11"/>
    <x v="11"/>
    <x v="1"/>
    <x v="1"/>
    <x v="5"/>
    <x v="4"/>
    <x v="0"/>
    <x v="1"/>
    <x v="4"/>
    <n v="0"/>
    <n v="0.5"/>
  </r>
  <r>
    <s v="2023-05"/>
    <x v="7"/>
    <x v="7"/>
    <x v="8"/>
    <x v="10"/>
    <x v="2"/>
    <x v="1"/>
    <x v="0"/>
    <x v="8"/>
    <x v="6"/>
    <n v="1"/>
    <n v="3.7"/>
  </r>
  <r>
    <s v="2023-10"/>
    <x v="2"/>
    <x v="2"/>
    <x v="3"/>
    <x v="3"/>
    <x v="3"/>
    <x v="2"/>
    <x v="1"/>
    <x v="0"/>
    <x v="0"/>
    <n v="0"/>
    <n v="2.5"/>
  </r>
  <r>
    <s v="2023-05"/>
    <x v="7"/>
    <x v="7"/>
    <x v="3"/>
    <x v="15"/>
    <x v="4"/>
    <x v="2"/>
    <x v="1"/>
    <x v="0"/>
    <x v="0"/>
    <n v="0"/>
    <n v="2.7"/>
  </r>
  <r>
    <s v="2023-05"/>
    <x v="7"/>
    <x v="7"/>
    <x v="9"/>
    <x v="17"/>
    <x v="0"/>
    <x v="0"/>
    <x v="0"/>
    <x v="1"/>
    <x v="4"/>
    <n v="0"/>
    <n v="4.0999999999999996"/>
  </r>
  <r>
    <s v="2023-06"/>
    <x v="1"/>
    <x v="1"/>
    <x v="9"/>
    <x v="14"/>
    <x v="3"/>
    <x v="2"/>
    <x v="0"/>
    <x v="8"/>
    <x v="6"/>
    <n v="1"/>
    <n v="3.8"/>
  </r>
  <r>
    <s v="2023-09"/>
    <x v="10"/>
    <x v="10"/>
    <x v="8"/>
    <x v="18"/>
    <x v="4"/>
    <x v="3"/>
    <x v="1"/>
    <x v="1"/>
    <x v="4"/>
    <n v="0"/>
    <n v="2.4"/>
  </r>
  <r>
    <s v="2023-06"/>
    <x v="1"/>
    <x v="1"/>
    <x v="9"/>
    <x v="14"/>
    <x v="3"/>
    <x v="2"/>
    <x v="1"/>
    <x v="0"/>
    <x v="2"/>
    <n v="0"/>
    <n v="3.6"/>
  </r>
  <r>
    <s v="2023-04"/>
    <x v="0"/>
    <x v="0"/>
    <x v="9"/>
    <x v="17"/>
    <x v="5"/>
    <x v="0"/>
    <x v="1"/>
    <x v="8"/>
    <x v="0"/>
    <n v="0"/>
    <n v="3.9"/>
  </r>
  <r>
    <s v="2023-12"/>
    <x v="9"/>
    <x v="9"/>
    <x v="5"/>
    <x v="6"/>
    <x v="4"/>
    <x v="1"/>
    <x v="0"/>
    <x v="0"/>
    <x v="2"/>
    <n v="0"/>
    <n v="3.1"/>
  </r>
  <r>
    <s v="2023-05"/>
    <x v="7"/>
    <x v="7"/>
    <x v="6"/>
    <x v="8"/>
    <x v="4"/>
    <x v="5"/>
    <x v="0"/>
    <x v="0"/>
    <x v="2"/>
    <n v="0"/>
    <n v="4.5"/>
  </r>
  <r>
    <s v="2023-05"/>
    <x v="7"/>
    <x v="7"/>
    <x v="3"/>
    <x v="3"/>
    <x v="0"/>
    <x v="1"/>
    <x v="1"/>
    <x v="0"/>
    <x v="0"/>
    <n v="1"/>
    <n v="3.4"/>
  </r>
  <r>
    <s v="2023-10"/>
    <x v="2"/>
    <x v="2"/>
    <x v="5"/>
    <x v="6"/>
    <x v="3"/>
    <x v="2"/>
    <x v="1"/>
    <x v="4"/>
    <x v="6"/>
    <n v="0"/>
    <n v="1.2"/>
  </r>
  <r>
    <s v="2023-05"/>
    <x v="7"/>
    <x v="7"/>
    <x v="1"/>
    <x v="1"/>
    <x v="3"/>
    <x v="2"/>
    <x v="1"/>
    <x v="4"/>
    <x v="0"/>
    <n v="1"/>
    <n v="4.5"/>
  </r>
  <r>
    <s v="2023-09"/>
    <x v="10"/>
    <x v="10"/>
    <x v="3"/>
    <x v="3"/>
    <x v="0"/>
    <x v="4"/>
    <x v="0"/>
    <x v="8"/>
    <x v="6"/>
    <n v="1"/>
    <n v="2.9"/>
  </r>
  <r>
    <s v="2023-04"/>
    <x v="0"/>
    <x v="0"/>
    <x v="6"/>
    <x v="8"/>
    <x v="5"/>
    <x v="1"/>
    <x v="1"/>
    <x v="4"/>
    <x v="0"/>
    <n v="0"/>
    <n v="3.8"/>
  </r>
  <r>
    <s v="2023-10"/>
    <x v="2"/>
    <x v="2"/>
    <x v="4"/>
    <x v="11"/>
    <x v="1"/>
    <x v="3"/>
    <x v="0"/>
    <x v="1"/>
    <x v="1"/>
    <n v="0"/>
    <n v="3.8"/>
  </r>
  <r>
    <s v="2023-01"/>
    <x v="4"/>
    <x v="4"/>
    <x v="0"/>
    <x v="0"/>
    <x v="5"/>
    <x v="1"/>
    <x v="0"/>
    <x v="0"/>
    <x v="0"/>
    <n v="0"/>
    <n v="3.1"/>
  </r>
  <r>
    <s v="2023-10"/>
    <x v="2"/>
    <x v="2"/>
    <x v="0"/>
    <x v="12"/>
    <x v="0"/>
    <x v="5"/>
    <x v="0"/>
    <x v="4"/>
    <x v="0"/>
    <n v="0"/>
    <n v="2.2000000000000002"/>
  </r>
  <r>
    <s v="2023-12"/>
    <x v="9"/>
    <x v="9"/>
    <x v="1"/>
    <x v="16"/>
    <x v="5"/>
    <x v="0"/>
    <x v="0"/>
    <x v="0"/>
    <x v="2"/>
    <n v="0"/>
    <n v="2.8"/>
  </r>
  <r>
    <s v="2023-08"/>
    <x v="3"/>
    <x v="3"/>
    <x v="0"/>
    <x v="12"/>
    <x v="0"/>
    <x v="0"/>
    <x v="1"/>
    <x v="3"/>
    <x v="4"/>
    <n v="0"/>
    <n v="2.7"/>
  </r>
  <r>
    <s v="2023-03"/>
    <x v="5"/>
    <x v="5"/>
    <x v="4"/>
    <x v="11"/>
    <x v="0"/>
    <x v="4"/>
    <x v="0"/>
    <x v="0"/>
    <x v="2"/>
    <n v="1"/>
    <n v="4.5"/>
  </r>
  <r>
    <s v="2023-09"/>
    <x v="10"/>
    <x v="10"/>
    <x v="8"/>
    <x v="10"/>
    <x v="0"/>
    <x v="1"/>
    <x v="1"/>
    <x v="7"/>
    <x v="2"/>
    <n v="0"/>
    <n v="2.9"/>
  </r>
  <r>
    <s v="2023-11"/>
    <x v="11"/>
    <x v="11"/>
    <x v="6"/>
    <x v="7"/>
    <x v="0"/>
    <x v="5"/>
    <x v="0"/>
    <x v="1"/>
    <x v="1"/>
    <n v="0"/>
    <n v="3"/>
  </r>
  <r>
    <s v="2023-12"/>
    <x v="9"/>
    <x v="9"/>
    <x v="5"/>
    <x v="6"/>
    <x v="0"/>
    <x v="4"/>
    <x v="0"/>
    <x v="1"/>
    <x v="1"/>
    <n v="0"/>
    <n v="3.2"/>
  </r>
  <r>
    <s v="2023-08"/>
    <x v="3"/>
    <x v="3"/>
    <x v="1"/>
    <x v="1"/>
    <x v="1"/>
    <x v="1"/>
    <x v="1"/>
    <x v="0"/>
    <x v="0"/>
    <n v="0"/>
    <n v="3.3"/>
  </r>
  <r>
    <s v="2023-07"/>
    <x v="8"/>
    <x v="8"/>
    <x v="4"/>
    <x v="11"/>
    <x v="5"/>
    <x v="5"/>
    <x v="0"/>
    <x v="5"/>
    <x v="5"/>
    <n v="0"/>
    <n v="1.8"/>
  </r>
  <r>
    <s v="2023-09"/>
    <x v="10"/>
    <x v="10"/>
    <x v="7"/>
    <x v="13"/>
    <x v="1"/>
    <x v="0"/>
    <x v="1"/>
    <x v="4"/>
    <x v="6"/>
    <n v="1"/>
    <n v="2.2000000000000002"/>
  </r>
  <r>
    <s v="2023-02"/>
    <x v="6"/>
    <x v="6"/>
    <x v="5"/>
    <x v="5"/>
    <x v="3"/>
    <x v="1"/>
    <x v="1"/>
    <x v="8"/>
    <x v="8"/>
    <n v="0"/>
    <n v="1.7"/>
  </r>
  <r>
    <s v="2023-11"/>
    <x v="11"/>
    <x v="11"/>
    <x v="9"/>
    <x v="14"/>
    <x v="1"/>
    <x v="3"/>
    <x v="1"/>
    <x v="0"/>
    <x v="0"/>
    <n v="1"/>
    <n v="3.7"/>
  </r>
  <r>
    <s v="2023-10"/>
    <x v="2"/>
    <x v="2"/>
    <x v="2"/>
    <x v="2"/>
    <x v="2"/>
    <x v="1"/>
    <x v="0"/>
    <x v="7"/>
    <x v="1"/>
    <n v="0"/>
    <n v="4.5999999999999996"/>
  </r>
  <r>
    <s v="2023-03"/>
    <x v="5"/>
    <x v="5"/>
    <x v="5"/>
    <x v="6"/>
    <x v="3"/>
    <x v="5"/>
    <x v="1"/>
    <x v="4"/>
    <x v="6"/>
    <n v="1"/>
    <n v="4.5999999999999996"/>
  </r>
  <r>
    <s v="2023-06"/>
    <x v="1"/>
    <x v="1"/>
    <x v="5"/>
    <x v="5"/>
    <x v="2"/>
    <x v="0"/>
    <x v="1"/>
    <x v="1"/>
    <x v="1"/>
    <n v="0"/>
    <n v="2"/>
  </r>
  <r>
    <s v="2023-10"/>
    <x v="2"/>
    <x v="2"/>
    <x v="9"/>
    <x v="17"/>
    <x v="1"/>
    <x v="3"/>
    <x v="0"/>
    <x v="4"/>
    <x v="6"/>
    <n v="0"/>
    <n v="4.0999999999999996"/>
  </r>
  <r>
    <s v="2023-11"/>
    <x v="11"/>
    <x v="11"/>
    <x v="9"/>
    <x v="14"/>
    <x v="0"/>
    <x v="3"/>
    <x v="0"/>
    <x v="1"/>
    <x v="4"/>
    <n v="0"/>
    <n v="3.2"/>
  </r>
  <r>
    <s v="2023-04"/>
    <x v="0"/>
    <x v="0"/>
    <x v="3"/>
    <x v="15"/>
    <x v="0"/>
    <x v="2"/>
    <x v="1"/>
    <x v="8"/>
    <x v="6"/>
    <n v="0"/>
    <n v="2.7"/>
  </r>
  <r>
    <s v="2023-11"/>
    <x v="11"/>
    <x v="11"/>
    <x v="3"/>
    <x v="3"/>
    <x v="0"/>
    <x v="0"/>
    <x v="0"/>
    <x v="7"/>
    <x v="2"/>
    <n v="0"/>
    <n v="3.4"/>
  </r>
  <r>
    <s v="2023-12"/>
    <x v="9"/>
    <x v="9"/>
    <x v="5"/>
    <x v="6"/>
    <x v="5"/>
    <x v="0"/>
    <x v="0"/>
    <x v="10"/>
    <x v="3"/>
    <n v="1"/>
    <n v="3.6"/>
  </r>
  <r>
    <s v="2023-02"/>
    <x v="6"/>
    <x v="6"/>
    <x v="5"/>
    <x v="5"/>
    <x v="5"/>
    <x v="1"/>
    <x v="0"/>
    <x v="1"/>
    <x v="1"/>
    <n v="0"/>
    <n v="3"/>
  </r>
  <r>
    <s v="2023-07"/>
    <x v="8"/>
    <x v="8"/>
    <x v="5"/>
    <x v="5"/>
    <x v="2"/>
    <x v="2"/>
    <x v="0"/>
    <x v="0"/>
    <x v="0"/>
    <n v="0"/>
    <n v="3.7"/>
  </r>
  <r>
    <s v="2023-03"/>
    <x v="5"/>
    <x v="5"/>
    <x v="9"/>
    <x v="14"/>
    <x v="2"/>
    <x v="0"/>
    <x v="0"/>
    <x v="7"/>
    <x v="2"/>
    <n v="0"/>
    <n v="2.2999999999999998"/>
  </r>
  <r>
    <s v="2023-04"/>
    <x v="0"/>
    <x v="0"/>
    <x v="9"/>
    <x v="17"/>
    <x v="5"/>
    <x v="5"/>
    <x v="1"/>
    <x v="7"/>
    <x v="1"/>
    <n v="0"/>
    <n v="4"/>
  </r>
  <r>
    <s v="2023-12"/>
    <x v="9"/>
    <x v="9"/>
    <x v="0"/>
    <x v="12"/>
    <x v="4"/>
    <x v="0"/>
    <x v="0"/>
    <x v="11"/>
    <x v="10"/>
    <n v="1"/>
    <n v="2.6"/>
  </r>
  <r>
    <s v="2023-07"/>
    <x v="8"/>
    <x v="8"/>
    <x v="9"/>
    <x v="14"/>
    <x v="4"/>
    <x v="2"/>
    <x v="1"/>
    <x v="7"/>
    <x v="2"/>
    <n v="2"/>
    <n v="2.7"/>
  </r>
  <r>
    <s v="2023-06"/>
    <x v="1"/>
    <x v="1"/>
    <x v="8"/>
    <x v="10"/>
    <x v="3"/>
    <x v="0"/>
    <x v="0"/>
    <x v="4"/>
    <x v="6"/>
    <n v="1"/>
    <n v="3"/>
  </r>
  <r>
    <s v="2023-10"/>
    <x v="2"/>
    <x v="2"/>
    <x v="0"/>
    <x v="0"/>
    <x v="3"/>
    <x v="5"/>
    <x v="1"/>
    <x v="8"/>
    <x v="8"/>
    <n v="0"/>
    <n v="3.7"/>
  </r>
  <r>
    <s v="2023-04"/>
    <x v="0"/>
    <x v="0"/>
    <x v="5"/>
    <x v="5"/>
    <x v="2"/>
    <x v="1"/>
    <x v="0"/>
    <x v="7"/>
    <x v="4"/>
    <n v="1"/>
    <n v="2.6"/>
  </r>
  <r>
    <s v="2023-12"/>
    <x v="9"/>
    <x v="9"/>
    <x v="8"/>
    <x v="10"/>
    <x v="4"/>
    <x v="4"/>
    <x v="0"/>
    <x v="0"/>
    <x v="0"/>
    <n v="0"/>
    <n v="1.8"/>
  </r>
  <r>
    <s v="2023-07"/>
    <x v="8"/>
    <x v="8"/>
    <x v="8"/>
    <x v="10"/>
    <x v="2"/>
    <x v="3"/>
    <x v="1"/>
    <x v="7"/>
    <x v="1"/>
    <n v="1"/>
    <n v="3.3"/>
  </r>
  <r>
    <s v="2023-11"/>
    <x v="11"/>
    <x v="11"/>
    <x v="6"/>
    <x v="8"/>
    <x v="1"/>
    <x v="4"/>
    <x v="1"/>
    <x v="7"/>
    <x v="2"/>
    <n v="0"/>
    <n v="3.3"/>
  </r>
  <r>
    <s v="2023-05"/>
    <x v="7"/>
    <x v="7"/>
    <x v="6"/>
    <x v="7"/>
    <x v="3"/>
    <x v="2"/>
    <x v="0"/>
    <x v="1"/>
    <x v="1"/>
    <n v="0"/>
    <n v="-0.5"/>
  </r>
  <r>
    <s v="2023-12"/>
    <x v="9"/>
    <x v="9"/>
    <x v="3"/>
    <x v="15"/>
    <x v="0"/>
    <x v="2"/>
    <x v="1"/>
    <x v="9"/>
    <x v="9"/>
    <n v="1"/>
    <n v="2.1"/>
  </r>
  <r>
    <s v="2023-11"/>
    <x v="11"/>
    <x v="11"/>
    <x v="4"/>
    <x v="4"/>
    <x v="4"/>
    <x v="1"/>
    <x v="0"/>
    <x v="8"/>
    <x v="6"/>
    <n v="0"/>
    <n v="4.2"/>
  </r>
  <r>
    <s v="2023-03"/>
    <x v="5"/>
    <x v="5"/>
    <x v="7"/>
    <x v="9"/>
    <x v="5"/>
    <x v="0"/>
    <x v="1"/>
    <x v="7"/>
    <x v="2"/>
    <n v="0"/>
    <n v="2.2000000000000002"/>
  </r>
  <r>
    <s v="2023-01"/>
    <x v="4"/>
    <x v="4"/>
    <x v="7"/>
    <x v="9"/>
    <x v="2"/>
    <x v="5"/>
    <x v="0"/>
    <x v="4"/>
    <x v="0"/>
    <n v="0"/>
    <n v="2.9"/>
  </r>
  <r>
    <s v="2023-10"/>
    <x v="2"/>
    <x v="2"/>
    <x v="1"/>
    <x v="16"/>
    <x v="4"/>
    <x v="5"/>
    <x v="1"/>
    <x v="0"/>
    <x v="0"/>
    <n v="0"/>
    <n v="3.3"/>
  </r>
  <r>
    <s v="2023-02"/>
    <x v="6"/>
    <x v="6"/>
    <x v="3"/>
    <x v="3"/>
    <x v="4"/>
    <x v="2"/>
    <x v="0"/>
    <x v="7"/>
    <x v="1"/>
    <n v="1"/>
    <n v="3.4"/>
  </r>
  <r>
    <s v="2023-04"/>
    <x v="0"/>
    <x v="0"/>
    <x v="0"/>
    <x v="0"/>
    <x v="2"/>
    <x v="4"/>
    <x v="1"/>
    <x v="5"/>
    <x v="5"/>
    <n v="0"/>
    <n v="2.5"/>
  </r>
  <r>
    <s v="2023-05"/>
    <x v="7"/>
    <x v="7"/>
    <x v="3"/>
    <x v="15"/>
    <x v="1"/>
    <x v="0"/>
    <x v="0"/>
    <x v="8"/>
    <x v="6"/>
    <n v="0"/>
    <n v="4.0999999999999996"/>
  </r>
  <r>
    <s v="2023-10"/>
    <x v="2"/>
    <x v="2"/>
    <x v="5"/>
    <x v="5"/>
    <x v="0"/>
    <x v="4"/>
    <x v="1"/>
    <x v="0"/>
    <x v="2"/>
    <n v="0"/>
    <n v="4.3"/>
  </r>
  <r>
    <s v="2023-11"/>
    <x v="11"/>
    <x v="11"/>
    <x v="4"/>
    <x v="11"/>
    <x v="0"/>
    <x v="3"/>
    <x v="1"/>
    <x v="0"/>
    <x v="0"/>
    <n v="0"/>
    <n v="4"/>
  </r>
  <r>
    <s v="2023-09"/>
    <x v="10"/>
    <x v="10"/>
    <x v="4"/>
    <x v="4"/>
    <x v="3"/>
    <x v="3"/>
    <x v="1"/>
    <x v="10"/>
    <x v="9"/>
    <n v="1"/>
    <n v="2.7"/>
  </r>
  <r>
    <s v="2023-12"/>
    <x v="9"/>
    <x v="9"/>
    <x v="5"/>
    <x v="5"/>
    <x v="2"/>
    <x v="1"/>
    <x v="1"/>
    <x v="7"/>
    <x v="1"/>
    <n v="0"/>
    <n v="3"/>
  </r>
  <r>
    <s v="2023-12"/>
    <x v="9"/>
    <x v="9"/>
    <x v="2"/>
    <x v="2"/>
    <x v="2"/>
    <x v="5"/>
    <x v="1"/>
    <x v="7"/>
    <x v="2"/>
    <n v="0"/>
    <n v="1.6"/>
  </r>
  <r>
    <s v="2023-10"/>
    <x v="2"/>
    <x v="2"/>
    <x v="3"/>
    <x v="3"/>
    <x v="5"/>
    <x v="5"/>
    <x v="0"/>
    <x v="7"/>
    <x v="1"/>
    <n v="1"/>
    <n v="2"/>
  </r>
  <r>
    <s v="2023-01"/>
    <x v="4"/>
    <x v="4"/>
    <x v="3"/>
    <x v="15"/>
    <x v="4"/>
    <x v="3"/>
    <x v="1"/>
    <x v="4"/>
    <x v="6"/>
    <n v="0"/>
    <n v="3"/>
  </r>
  <r>
    <s v="2023-05"/>
    <x v="7"/>
    <x v="7"/>
    <x v="3"/>
    <x v="15"/>
    <x v="2"/>
    <x v="0"/>
    <x v="1"/>
    <x v="1"/>
    <x v="1"/>
    <n v="0"/>
    <n v="3.2"/>
  </r>
  <r>
    <s v="2023-12"/>
    <x v="9"/>
    <x v="9"/>
    <x v="3"/>
    <x v="15"/>
    <x v="1"/>
    <x v="1"/>
    <x v="0"/>
    <x v="7"/>
    <x v="2"/>
    <n v="0"/>
    <n v="1.9"/>
  </r>
  <r>
    <s v="2023-11"/>
    <x v="11"/>
    <x v="11"/>
    <x v="5"/>
    <x v="6"/>
    <x v="0"/>
    <x v="0"/>
    <x v="0"/>
    <x v="3"/>
    <x v="4"/>
    <n v="0"/>
    <n v="3.4"/>
  </r>
  <r>
    <s v="2023-07"/>
    <x v="8"/>
    <x v="8"/>
    <x v="8"/>
    <x v="18"/>
    <x v="5"/>
    <x v="5"/>
    <x v="1"/>
    <x v="8"/>
    <x v="6"/>
    <n v="0"/>
    <n v="3.7"/>
  </r>
  <r>
    <s v="2023-03"/>
    <x v="5"/>
    <x v="5"/>
    <x v="2"/>
    <x v="19"/>
    <x v="1"/>
    <x v="1"/>
    <x v="1"/>
    <x v="3"/>
    <x v="4"/>
    <n v="0"/>
    <n v="2.7"/>
  </r>
  <r>
    <s v="2023-10"/>
    <x v="2"/>
    <x v="2"/>
    <x v="7"/>
    <x v="9"/>
    <x v="1"/>
    <x v="4"/>
    <x v="1"/>
    <x v="8"/>
    <x v="8"/>
    <n v="3"/>
    <n v="3.4"/>
  </r>
  <r>
    <s v="2023-08"/>
    <x v="3"/>
    <x v="3"/>
    <x v="2"/>
    <x v="2"/>
    <x v="4"/>
    <x v="0"/>
    <x v="0"/>
    <x v="7"/>
    <x v="2"/>
    <n v="0"/>
    <n v="4.0999999999999996"/>
  </r>
  <r>
    <s v="2023-01"/>
    <x v="4"/>
    <x v="4"/>
    <x v="5"/>
    <x v="5"/>
    <x v="4"/>
    <x v="2"/>
    <x v="0"/>
    <x v="4"/>
    <x v="0"/>
    <n v="0"/>
    <n v="2.9"/>
  </r>
  <r>
    <s v="2023-05"/>
    <x v="7"/>
    <x v="7"/>
    <x v="6"/>
    <x v="7"/>
    <x v="0"/>
    <x v="4"/>
    <x v="0"/>
    <x v="10"/>
    <x v="3"/>
    <n v="1"/>
    <n v="2.4"/>
  </r>
  <r>
    <s v="2023-11"/>
    <x v="11"/>
    <x v="11"/>
    <x v="9"/>
    <x v="14"/>
    <x v="0"/>
    <x v="0"/>
    <x v="0"/>
    <x v="0"/>
    <x v="2"/>
    <n v="0"/>
    <n v="3.4"/>
  </r>
  <r>
    <s v="2023-10"/>
    <x v="2"/>
    <x v="2"/>
    <x v="5"/>
    <x v="6"/>
    <x v="0"/>
    <x v="1"/>
    <x v="1"/>
    <x v="4"/>
    <x v="6"/>
    <n v="2"/>
    <n v="3.8"/>
  </r>
  <r>
    <s v="2023-11"/>
    <x v="11"/>
    <x v="11"/>
    <x v="9"/>
    <x v="14"/>
    <x v="0"/>
    <x v="5"/>
    <x v="1"/>
    <x v="0"/>
    <x v="0"/>
    <n v="0"/>
    <n v="1.8"/>
  </r>
  <r>
    <s v="2023-01"/>
    <x v="4"/>
    <x v="4"/>
    <x v="1"/>
    <x v="16"/>
    <x v="3"/>
    <x v="0"/>
    <x v="1"/>
    <x v="8"/>
    <x v="8"/>
    <n v="0"/>
    <n v="3.8"/>
  </r>
  <r>
    <s v="2023-05"/>
    <x v="7"/>
    <x v="7"/>
    <x v="8"/>
    <x v="18"/>
    <x v="3"/>
    <x v="4"/>
    <x v="1"/>
    <x v="4"/>
    <x v="6"/>
    <n v="0"/>
    <n v="4.2"/>
  </r>
  <r>
    <s v="2023-08"/>
    <x v="3"/>
    <x v="3"/>
    <x v="0"/>
    <x v="0"/>
    <x v="4"/>
    <x v="1"/>
    <x v="0"/>
    <x v="1"/>
    <x v="1"/>
    <n v="1"/>
    <n v="3.1"/>
  </r>
  <r>
    <s v="2023-03"/>
    <x v="5"/>
    <x v="5"/>
    <x v="7"/>
    <x v="13"/>
    <x v="5"/>
    <x v="3"/>
    <x v="1"/>
    <x v="5"/>
    <x v="11"/>
    <n v="1"/>
    <n v="1"/>
  </r>
  <r>
    <s v="2023-05"/>
    <x v="7"/>
    <x v="7"/>
    <x v="3"/>
    <x v="15"/>
    <x v="3"/>
    <x v="5"/>
    <x v="1"/>
    <x v="12"/>
    <x v="11"/>
    <n v="0"/>
    <n v="2.9"/>
  </r>
  <r>
    <s v="2023-01"/>
    <x v="4"/>
    <x v="4"/>
    <x v="0"/>
    <x v="12"/>
    <x v="4"/>
    <x v="2"/>
    <x v="1"/>
    <x v="7"/>
    <x v="2"/>
    <n v="0"/>
    <n v="4.0999999999999996"/>
  </r>
  <r>
    <s v="2023-04"/>
    <x v="0"/>
    <x v="0"/>
    <x v="7"/>
    <x v="9"/>
    <x v="5"/>
    <x v="4"/>
    <x v="1"/>
    <x v="0"/>
    <x v="2"/>
    <n v="0"/>
    <n v="3.9"/>
  </r>
  <r>
    <s v="2023-08"/>
    <x v="3"/>
    <x v="3"/>
    <x v="3"/>
    <x v="3"/>
    <x v="5"/>
    <x v="3"/>
    <x v="1"/>
    <x v="4"/>
    <x v="2"/>
    <n v="0"/>
    <n v="3.5"/>
  </r>
  <r>
    <s v="2023-10"/>
    <x v="2"/>
    <x v="2"/>
    <x v="6"/>
    <x v="8"/>
    <x v="1"/>
    <x v="1"/>
    <x v="1"/>
    <x v="0"/>
    <x v="2"/>
    <n v="3"/>
    <n v="4"/>
  </r>
  <r>
    <s v="2023-09"/>
    <x v="10"/>
    <x v="10"/>
    <x v="7"/>
    <x v="9"/>
    <x v="5"/>
    <x v="3"/>
    <x v="0"/>
    <x v="9"/>
    <x v="3"/>
    <n v="0"/>
    <n v="2.7"/>
  </r>
  <r>
    <s v="2023-10"/>
    <x v="2"/>
    <x v="2"/>
    <x v="4"/>
    <x v="4"/>
    <x v="5"/>
    <x v="3"/>
    <x v="1"/>
    <x v="5"/>
    <x v="5"/>
    <n v="0"/>
    <n v="4.5999999999999996"/>
  </r>
  <r>
    <s v="2023-06"/>
    <x v="1"/>
    <x v="1"/>
    <x v="1"/>
    <x v="1"/>
    <x v="3"/>
    <x v="2"/>
    <x v="1"/>
    <x v="7"/>
    <x v="2"/>
    <n v="0"/>
    <n v="2.2000000000000002"/>
  </r>
  <r>
    <s v="2023-08"/>
    <x v="3"/>
    <x v="3"/>
    <x v="9"/>
    <x v="14"/>
    <x v="2"/>
    <x v="0"/>
    <x v="1"/>
    <x v="8"/>
    <x v="8"/>
    <n v="0"/>
    <n v="4.4000000000000004"/>
  </r>
  <r>
    <s v="2023-07"/>
    <x v="8"/>
    <x v="8"/>
    <x v="3"/>
    <x v="3"/>
    <x v="2"/>
    <x v="4"/>
    <x v="1"/>
    <x v="4"/>
    <x v="6"/>
    <n v="0"/>
    <n v="1.2"/>
  </r>
  <r>
    <s v="2023-02"/>
    <x v="6"/>
    <x v="6"/>
    <x v="5"/>
    <x v="5"/>
    <x v="2"/>
    <x v="0"/>
    <x v="1"/>
    <x v="4"/>
    <x v="6"/>
    <n v="0"/>
    <n v="2.1"/>
  </r>
  <r>
    <s v="2023-12"/>
    <x v="9"/>
    <x v="9"/>
    <x v="6"/>
    <x v="7"/>
    <x v="5"/>
    <x v="0"/>
    <x v="1"/>
    <x v="4"/>
    <x v="6"/>
    <n v="0"/>
    <n v="2"/>
  </r>
  <r>
    <s v="2023-07"/>
    <x v="8"/>
    <x v="8"/>
    <x v="3"/>
    <x v="3"/>
    <x v="4"/>
    <x v="1"/>
    <x v="0"/>
    <x v="0"/>
    <x v="0"/>
    <n v="0"/>
    <n v="3"/>
  </r>
  <r>
    <s v="2023-03"/>
    <x v="5"/>
    <x v="5"/>
    <x v="3"/>
    <x v="15"/>
    <x v="4"/>
    <x v="5"/>
    <x v="0"/>
    <x v="4"/>
    <x v="0"/>
    <n v="0"/>
    <n v="3.6"/>
  </r>
  <r>
    <s v="2023-01"/>
    <x v="4"/>
    <x v="4"/>
    <x v="6"/>
    <x v="7"/>
    <x v="4"/>
    <x v="2"/>
    <x v="0"/>
    <x v="4"/>
    <x v="0"/>
    <n v="0"/>
    <n v="2.7"/>
  </r>
  <r>
    <s v="2023-04"/>
    <x v="0"/>
    <x v="0"/>
    <x v="8"/>
    <x v="18"/>
    <x v="0"/>
    <x v="2"/>
    <x v="1"/>
    <x v="0"/>
    <x v="2"/>
    <n v="1"/>
    <n v="4.2"/>
  </r>
  <r>
    <s v="2023-04"/>
    <x v="0"/>
    <x v="0"/>
    <x v="5"/>
    <x v="6"/>
    <x v="2"/>
    <x v="0"/>
    <x v="0"/>
    <x v="3"/>
    <x v="4"/>
    <n v="0"/>
    <n v="1.5"/>
  </r>
  <r>
    <s v="2023-04"/>
    <x v="0"/>
    <x v="0"/>
    <x v="4"/>
    <x v="11"/>
    <x v="1"/>
    <x v="0"/>
    <x v="0"/>
    <x v="4"/>
    <x v="6"/>
    <n v="0"/>
    <n v="3.3"/>
  </r>
  <r>
    <s v="2023-01"/>
    <x v="4"/>
    <x v="4"/>
    <x v="4"/>
    <x v="11"/>
    <x v="5"/>
    <x v="1"/>
    <x v="0"/>
    <x v="7"/>
    <x v="2"/>
    <n v="0"/>
    <n v="1.9"/>
  </r>
  <r>
    <s v="2023-10"/>
    <x v="2"/>
    <x v="2"/>
    <x v="0"/>
    <x v="12"/>
    <x v="3"/>
    <x v="5"/>
    <x v="1"/>
    <x v="1"/>
    <x v="4"/>
    <n v="0"/>
    <n v="2.2999999999999998"/>
  </r>
  <r>
    <s v="2023-01"/>
    <x v="4"/>
    <x v="4"/>
    <x v="6"/>
    <x v="8"/>
    <x v="4"/>
    <x v="4"/>
    <x v="0"/>
    <x v="10"/>
    <x v="3"/>
    <n v="0"/>
    <n v="3.1"/>
  </r>
  <r>
    <s v="2023-01"/>
    <x v="4"/>
    <x v="4"/>
    <x v="6"/>
    <x v="7"/>
    <x v="1"/>
    <x v="1"/>
    <x v="1"/>
    <x v="0"/>
    <x v="0"/>
    <n v="0"/>
    <n v="2.2999999999999998"/>
  </r>
  <r>
    <s v="2023-04"/>
    <x v="0"/>
    <x v="0"/>
    <x v="7"/>
    <x v="13"/>
    <x v="0"/>
    <x v="2"/>
    <x v="1"/>
    <x v="4"/>
    <x v="1"/>
    <n v="1"/>
    <n v="4.2"/>
  </r>
  <r>
    <s v="2023-10"/>
    <x v="2"/>
    <x v="2"/>
    <x v="8"/>
    <x v="18"/>
    <x v="0"/>
    <x v="5"/>
    <x v="1"/>
    <x v="7"/>
    <x v="1"/>
    <n v="0"/>
    <n v="3.1"/>
  </r>
  <r>
    <s v="2023-06"/>
    <x v="1"/>
    <x v="1"/>
    <x v="6"/>
    <x v="7"/>
    <x v="0"/>
    <x v="4"/>
    <x v="0"/>
    <x v="1"/>
    <x v="1"/>
    <n v="0"/>
    <n v="3.1"/>
  </r>
  <r>
    <s v="2023-01"/>
    <x v="4"/>
    <x v="4"/>
    <x v="2"/>
    <x v="2"/>
    <x v="5"/>
    <x v="4"/>
    <x v="0"/>
    <x v="2"/>
    <x v="3"/>
    <n v="1"/>
    <n v="3.7"/>
  </r>
  <r>
    <s v="2023-03"/>
    <x v="5"/>
    <x v="5"/>
    <x v="7"/>
    <x v="9"/>
    <x v="4"/>
    <x v="2"/>
    <x v="0"/>
    <x v="8"/>
    <x v="8"/>
    <n v="0"/>
    <n v="3.5"/>
  </r>
  <r>
    <s v="2023-02"/>
    <x v="6"/>
    <x v="6"/>
    <x v="5"/>
    <x v="5"/>
    <x v="3"/>
    <x v="4"/>
    <x v="0"/>
    <x v="2"/>
    <x v="8"/>
    <n v="0"/>
    <n v="2.1"/>
  </r>
  <r>
    <s v="2023-11"/>
    <x v="11"/>
    <x v="11"/>
    <x v="6"/>
    <x v="7"/>
    <x v="3"/>
    <x v="5"/>
    <x v="0"/>
    <x v="7"/>
    <x v="2"/>
    <n v="0"/>
    <n v="3.1"/>
  </r>
  <r>
    <s v="2023-01"/>
    <x v="4"/>
    <x v="4"/>
    <x v="8"/>
    <x v="10"/>
    <x v="4"/>
    <x v="3"/>
    <x v="0"/>
    <x v="0"/>
    <x v="2"/>
    <n v="0"/>
    <n v="3.5"/>
  </r>
  <r>
    <s v="2023-04"/>
    <x v="0"/>
    <x v="0"/>
    <x v="4"/>
    <x v="4"/>
    <x v="4"/>
    <x v="4"/>
    <x v="0"/>
    <x v="1"/>
    <x v="4"/>
    <n v="0"/>
    <n v="3.1"/>
  </r>
  <r>
    <s v="2023-07"/>
    <x v="8"/>
    <x v="8"/>
    <x v="1"/>
    <x v="16"/>
    <x v="1"/>
    <x v="0"/>
    <x v="0"/>
    <x v="1"/>
    <x v="1"/>
    <n v="0"/>
    <n v="2.7"/>
  </r>
  <r>
    <s v="2023-08"/>
    <x v="3"/>
    <x v="3"/>
    <x v="0"/>
    <x v="0"/>
    <x v="0"/>
    <x v="2"/>
    <x v="0"/>
    <x v="4"/>
    <x v="0"/>
    <n v="0"/>
    <n v="2"/>
  </r>
  <r>
    <s v="2023-12"/>
    <x v="9"/>
    <x v="9"/>
    <x v="6"/>
    <x v="8"/>
    <x v="2"/>
    <x v="0"/>
    <x v="1"/>
    <x v="8"/>
    <x v="8"/>
    <n v="0"/>
    <n v="2.8"/>
  </r>
  <r>
    <s v="2023-04"/>
    <x v="0"/>
    <x v="0"/>
    <x v="9"/>
    <x v="14"/>
    <x v="1"/>
    <x v="0"/>
    <x v="0"/>
    <x v="3"/>
    <x v="4"/>
    <n v="0"/>
    <n v="1.5"/>
  </r>
  <r>
    <s v="2023-09"/>
    <x v="10"/>
    <x v="10"/>
    <x v="0"/>
    <x v="0"/>
    <x v="5"/>
    <x v="3"/>
    <x v="0"/>
    <x v="5"/>
    <x v="11"/>
    <n v="0"/>
    <n v="3.2"/>
  </r>
  <r>
    <s v="2023-01"/>
    <x v="4"/>
    <x v="4"/>
    <x v="8"/>
    <x v="18"/>
    <x v="1"/>
    <x v="5"/>
    <x v="1"/>
    <x v="4"/>
    <x v="6"/>
    <n v="0"/>
    <n v="4.2"/>
  </r>
  <r>
    <s v="2023-02"/>
    <x v="6"/>
    <x v="6"/>
    <x v="4"/>
    <x v="4"/>
    <x v="5"/>
    <x v="1"/>
    <x v="0"/>
    <x v="2"/>
    <x v="8"/>
    <n v="0"/>
    <n v="2.1"/>
  </r>
  <r>
    <s v="2023-09"/>
    <x v="10"/>
    <x v="10"/>
    <x v="6"/>
    <x v="7"/>
    <x v="0"/>
    <x v="0"/>
    <x v="1"/>
    <x v="7"/>
    <x v="2"/>
    <n v="0"/>
    <n v="3.3"/>
  </r>
  <r>
    <s v="2023-11"/>
    <x v="11"/>
    <x v="11"/>
    <x v="2"/>
    <x v="2"/>
    <x v="0"/>
    <x v="3"/>
    <x v="0"/>
    <x v="1"/>
    <x v="4"/>
    <n v="0"/>
    <n v="3.8"/>
  </r>
  <r>
    <s v="2023-02"/>
    <x v="6"/>
    <x v="6"/>
    <x v="6"/>
    <x v="7"/>
    <x v="3"/>
    <x v="2"/>
    <x v="0"/>
    <x v="3"/>
    <x v="4"/>
    <n v="0"/>
    <n v="1.7"/>
  </r>
  <r>
    <s v="2023-05"/>
    <x v="7"/>
    <x v="7"/>
    <x v="7"/>
    <x v="9"/>
    <x v="4"/>
    <x v="3"/>
    <x v="0"/>
    <x v="7"/>
    <x v="2"/>
    <n v="0"/>
    <n v="2"/>
  </r>
  <r>
    <s v="2023-02"/>
    <x v="6"/>
    <x v="6"/>
    <x v="4"/>
    <x v="11"/>
    <x v="2"/>
    <x v="2"/>
    <x v="0"/>
    <x v="3"/>
    <x v="4"/>
    <n v="1"/>
    <n v="4"/>
  </r>
  <r>
    <s v="2023-04"/>
    <x v="0"/>
    <x v="0"/>
    <x v="9"/>
    <x v="17"/>
    <x v="5"/>
    <x v="1"/>
    <x v="0"/>
    <x v="1"/>
    <x v="1"/>
    <n v="0"/>
    <n v="2.2000000000000002"/>
  </r>
  <r>
    <s v="2023-10"/>
    <x v="2"/>
    <x v="2"/>
    <x v="2"/>
    <x v="19"/>
    <x v="0"/>
    <x v="1"/>
    <x v="1"/>
    <x v="0"/>
    <x v="1"/>
    <n v="0"/>
    <n v="4.5"/>
  </r>
  <r>
    <s v="2023-02"/>
    <x v="6"/>
    <x v="6"/>
    <x v="6"/>
    <x v="7"/>
    <x v="4"/>
    <x v="0"/>
    <x v="0"/>
    <x v="0"/>
    <x v="0"/>
    <n v="0"/>
    <n v="3.5"/>
  </r>
  <r>
    <s v="2023-07"/>
    <x v="8"/>
    <x v="8"/>
    <x v="7"/>
    <x v="13"/>
    <x v="3"/>
    <x v="4"/>
    <x v="0"/>
    <x v="0"/>
    <x v="2"/>
    <n v="0"/>
    <n v="3.9"/>
  </r>
  <r>
    <s v="2023-11"/>
    <x v="11"/>
    <x v="11"/>
    <x v="6"/>
    <x v="7"/>
    <x v="4"/>
    <x v="5"/>
    <x v="0"/>
    <x v="9"/>
    <x v="9"/>
    <n v="2"/>
    <n v="2.4"/>
  </r>
  <r>
    <s v="2023-08"/>
    <x v="3"/>
    <x v="3"/>
    <x v="8"/>
    <x v="10"/>
    <x v="4"/>
    <x v="2"/>
    <x v="1"/>
    <x v="3"/>
    <x v="4"/>
    <n v="0"/>
    <n v="2.5"/>
  </r>
  <r>
    <s v="2023-10"/>
    <x v="2"/>
    <x v="2"/>
    <x v="5"/>
    <x v="5"/>
    <x v="5"/>
    <x v="5"/>
    <x v="0"/>
    <x v="2"/>
    <x v="6"/>
    <n v="0"/>
    <n v="3.6"/>
  </r>
  <r>
    <s v="2023-11"/>
    <x v="11"/>
    <x v="11"/>
    <x v="9"/>
    <x v="14"/>
    <x v="4"/>
    <x v="1"/>
    <x v="1"/>
    <x v="1"/>
    <x v="1"/>
    <n v="0"/>
    <n v="4.3"/>
  </r>
  <r>
    <s v="2023-10"/>
    <x v="2"/>
    <x v="2"/>
    <x v="6"/>
    <x v="8"/>
    <x v="4"/>
    <x v="0"/>
    <x v="1"/>
    <x v="0"/>
    <x v="2"/>
    <n v="0"/>
    <n v="2.6"/>
  </r>
  <r>
    <s v="2023-05"/>
    <x v="7"/>
    <x v="7"/>
    <x v="6"/>
    <x v="7"/>
    <x v="2"/>
    <x v="3"/>
    <x v="1"/>
    <x v="12"/>
    <x v="11"/>
    <n v="0"/>
    <n v="2.2000000000000002"/>
  </r>
  <r>
    <s v="2023-09"/>
    <x v="10"/>
    <x v="10"/>
    <x v="7"/>
    <x v="9"/>
    <x v="2"/>
    <x v="2"/>
    <x v="0"/>
    <x v="7"/>
    <x v="1"/>
    <n v="2"/>
    <n v="3.6"/>
  </r>
  <r>
    <s v="2023-08"/>
    <x v="3"/>
    <x v="3"/>
    <x v="4"/>
    <x v="4"/>
    <x v="3"/>
    <x v="0"/>
    <x v="1"/>
    <x v="2"/>
    <x v="8"/>
    <n v="0"/>
    <n v="2.4"/>
  </r>
  <r>
    <s v="2023-09"/>
    <x v="10"/>
    <x v="10"/>
    <x v="0"/>
    <x v="0"/>
    <x v="1"/>
    <x v="3"/>
    <x v="1"/>
    <x v="0"/>
    <x v="2"/>
    <n v="1"/>
    <n v="5.6"/>
  </r>
  <r>
    <s v="2023-10"/>
    <x v="2"/>
    <x v="2"/>
    <x v="1"/>
    <x v="1"/>
    <x v="2"/>
    <x v="5"/>
    <x v="1"/>
    <x v="7"/>
    <x v="2"/>
    <n v="0"/>
    <n v="3.9"/>
  </r>
  <r>
    <s v="2023-02"/>
    <x v="6"/>
    <x v="6"/>
    <x v="7"/>
    <x v="9"/>
    <x v="5"/>
    <x v="1"/>
    <x v="1"/>
    <x v="7"/>
    <x v="2"/>
    <n v="0"/>
    <n v="3.7"/>
  </r>
  <r>
    <s v="2023-08"/>
    <x v="3"/>
    <x v="3"/>
    <x v="1"/>
    <x v="1"/>
    <x v="5"/>
    <x v="2"/>
    <x v="0"/>
    <x v="2"/>
    <x v="3"/>
    <n v="1"/>
    <n v="4.2"/>
  </r>
  <r>
    <s v="2023-03"/>
    <x v="5"/>
    <x v="5"/>
    <x v="5"/>
    <x v="5"/>
    <x v="1"/>
    <x v="2"/>
    <x v="1"/>
    <x v="7"/>
    <x v="2"/>
    <n v="1"/>
    <n v="1.1000000000000001"/>
  </r>
  <r>
    <s v="2023-12"/>
    <x v="9"/>
    <x v="9"/>
    <x v="0"/>
    <x v="0"/>
    <x v="5"/>
    <x v="2"/>
    <x v="0"/>
    <x v="0"/>
    <x v="2"/>
    <n v="1"/>
    <n v="3.5"/>
  </r>
  <r>
    <s v="2023-12"/>
    <x v="9"/>
    <x v="9"/>
    <x v="1"/>
    <x v="16"/>
    <x v="0"/>
    <x v="5"/>
    <x v="1"/>
    <x v="1"/>
    <x v="1"/>
    <n v="0"/>
    <n v="2.5"/>
  </r>
  <r>
    <s v="2023-01"/>
    <x v="4"/>
    <x v="4"/>
    <x v="2"/>
    <x v="19"/>
    <x v="0"/>
    <x v="1"/>
    <x v="1"/>
    <x v="0"/>
    <x v="2"/>
    <n v="0"/>
    <n v="2.9"/>
  </r>
  <r>
    <s v="2023-11"/>
    <x v="11"/>
    <x v="11"/>
    <x v="6"/>
    <x v="7"/>
    <x v="2"/>
    <x v="0"/>
    <x v="0"/>
    <x v="7"/>
    <x v="1"/>
    <n v="0"/>
    <n v="2.8"/>
  </r>
  <r>
    <s v="2023-04"/>
    <x v="0"/>
    <x v="0"/>
    <x v="7"/>
    <x v="13"/>
    <x v="0"/>
    <x v="1"/>
    <x v="1"/>
    <x v="1"/>
    <x v="1"/>
    <n v="1"/>
    <n v="3.1"/>
  </r>
  <r>
    <s v="2023-05"/>
    <x v="7"/>
    <x v="7"/>
    <x v="5"/>
    <x v="5"/>
    <x v="3"/>
    <x v="2"/>
    <x v="1"/>
    <x v="1"/>
    <x v="1"/>
    <n v="1"/>
    <n v="1.9"/>
  </r>
  <r>
    <s v="2023-11"/>
    <x v="11"/>
    <x v="11"/>
    <x v="8"/>
    <x v="18"/>
    <x v="2"/>
    <x v="3"/>
    <x v="0"/>
    <x v="7"/>
    <x v="1"/>
    <n v="1"/>
    <n v="3.8"/>
  </r>
  <r>
    <s v="2023-11"/>
    <x v="11"/>
    <x v="11"/>
    <x v="1"/>
    <x v="16"/>
    <x v="4"/>
    <x v="4"/>
    <x v="0"/>
    <x v="4"/>
    <x v="6"/>
    <n v="0"/>
    <n v="1.7"/>
  </r>
  <r>
    <s v="2023-10"/>
    <x v="2"/>
    <x v="2"/>
    <x v="3"/>
    <x v="3"/>
    <x v="1"/>
    <x v="3"/>
    <x v="1"/>
    <x v="0"/>
    <x v="2"/>
    <n v="0"/>
    <n v="3.4"/>
  </r>
  <r>
    <s v="2023-01"/>
    <x v="4"/>
    <x v="4"/>
    <x v="7"/>
    <x v="13"/>
    <x v="4"/>
    <x v="4"/>
    <x v="0"/>
    <x v="1"/>
    <x v="4"/>
    <n v="0"/>
    <n v="4.8"/>
  </r>
  <r>
    <s v="2023-11"/>
    <x v="11"/>
    <x v="11"/>
    <x v="2"/>
    <x v="2"/>
    <x v="0"/>
    <x v="1"/>
    <x v="0"/>
    <x v="0"/>
    <x v="0"/>
    <n v="1"/>
    <n v="2.4"/>
  </r>
  <r>
    <s v="2023-06"/>
    <x v="1"/>
    <x v="1"/>
    <x v="7"/>
    <x v="9"/>
    <x v="3"/>
    <x v="2"/>
    <x v="0"/>
    <x v="7"/>
    <x v="1"/>
    <n v="0"/>
    <n v="2.9"/>
  </r>
  <r>
    <s v="2023-12"/>
    <x v="9"/>
    <x v="9"/>
    <x v="3"/>
    <x v="3"/>
    <x v="4"/>
    <x v="4"/>
    <x v="0"/>
    <x v="2"/>
    <x v="3"/>
    <n v="0"/>
    <n v="3.1"/>
  </r>
  <r>
    <s v="2023-06"/>
    <x v="1"/>
    <x v="1"/>
    <x v="8"/>
    <x v="10"/>
    <x v="1"/>
    <x v="4"/>
    <x v="0"/>
    <x v="8"/>
    <x v="6"/>
    <n v="0"/>
    <n v="3.9"/>
  </r>
  <r>
    <s v="2023-10"/>
    <x v="2"/>
    <x v="2"/>
    <x v="9"/>
    <x v="14"/>
    <x v="5"/>
    <x v="2"/>
    <x v="1"/>
    <x v="2"/>
    <x v="8"/>
    <n v="0"/>
    <n v="2.7"/>
  </r>
  <r>
    <s v="2023-06"/>
    <x v="1"/>
    <x v="1"/>
    <x v="6"/>
    <x v="7"/>
    <x v="0"/>
    <x v="1"/>
    <x v="0"/>
    <x v="0"/>
    <x v="0"/>
    <n v="1"/>
    <n v="2.6"/>
  </r>
  <r>
    <s v="2023-12"/>
    <x v="9"/>
    <x v="9"/>
    <x v="8"/>
    <x v="10"/>
    <x v="2"/>
    <x v="4"/>
    <x v="1"/>
    <x v="10"/>
    <x v="9"/>
    <n v="0"/>
    <n v="4.2"/>
  </r>
  <r>
    <s v="2023-10"/>
    <x v="2"/>
    <x v="2"/>
    <x v="4"/>
    <x v="11"/>
    <x v="5"/>
    <x v="4"/>
    <x v="0"/>
    <x v="0"/>
    <x v="2"/>
    <n v="0"/>
    <n v="5.6"/>
  </r>
  <r>
    <s v="2023-07"/>
    <x v="8"/>
    <x v="8"/>
    <x v="9"/>
    <x v="14"/>
    <x v="0"/>
    <x v="1"/>
    <x v="0"/>
    <x v="8"/>
    <x v="8"/>
    <n v="0"/>
    <n v="3.8"/>
  </r>
  <r>
    <s v="2023-12"/>
    <x v="9"/>
    <x v="9"/>
    <x v="5"/>
    <x v="5"/>
    <x v="4"/>
    <x v="5"/>
    <x v="0"/>
    <x v="3"/>
    <x v="4"/>
    <n v="0"/>
    <n v="3.5"/>
  </r>
  <r>
    <s v="2023-03"/>
    <x v="5"/>
    <x v="5"/>
    <x v="6"/>
    <x v="7"/>
    <x v="0"/>
    <x v="3"/>
    <x v="0"/>
    <x v="2"/>
    <x v="8"/>
    <n v="0"/>
    <n v="2.5"/>
  </r>
  <r>
    <s v="2023-12"/>
    <x v="9"/>
    <x v="9"/>
    <x v="5"/>
    <x v="5"/>
    <x v="4"/>
    <x v="2"/>
    <x v="0"/>
    <x v="0"/>
    <x v="2"/>
    <n v="0"/>
    <n v="3.2"/>
  </r>
  <r>
    <s v="2023-05"/>
    <x v="7"/>
    <x v="7"/>
    <x v="3"/>
    <x v="15"/>
    <x v="4"/>
    <x v="2"/>
    <x v="1"/>
    <x v="3"/>
    <x v="4"/>
    <n v="0"/>
    <n v="3.7"/>
  </r>
  <r>
    <s v="2023-03"/>
    <x v="5"/>
    <x v="5"/>
    <x v="3"/>
    <x v="3"/>
    <x v="2"/>
    <x v="2"/>
    <x v="0"/>
    <x v="0"/>
    <x v="0"/>
    <n v="0"/>
    <n v="3.7"/>
  </r>
  <r>
    <s v="2023-04"/>
    <x v="0"/>
    <x v="0"/>
    <x v="7"/>
    <x v="13"/>
    <x v="4"/>
    <x v="4"/>
    <x v="0"/>
    <x v="4"/>
    <x v="0"/>
    <n v="1"/>
    <n v="3.7"/>
  </r>
  <r>
    <s v="2023-10"/>
    <x v="2"/>
    <x v="2"/>
    <x v="8"/>
    <x v="18"/>
    <x v="1"/>
    <x v="2"/>
    <x v="0"/>
    <x v="7"/>
    <x v="4"/>
    <n v="0"/>
    <n v="2.6"/>
  </r>
  <r>
    <s v="2023-02"/>
    <x v="6"/>
    <x v="6"/>
    <x v="7"/>
    <x v="13"/>
    <x v="4"/>
    <x v="5"/>
    <x v="0"/>
    <x v="0"/>
    <x v="0"/>
    <n v="0"/>
    <n v="1.1000000000000001"/>
  </r>
  <r>
    <s v="2023-04"/>
    <x v="0"/>
    <x v="0"/>
    <x v="1"/>
    <x v="1"/>
    <x v="0"/>
    <x v="5"/>
    <x v="1"/>
    <x v="7"/>
    <x v="1"/>
    <n v="1"/>
    <n v="2.7"/>
  </r>
  <r>
    <s v="2023-03"/>
    <x v="5"/>
    <x v="5"/>
    <x v="6"/>
    <x v="8"/>
    <x v="5"/>
    <x v="4"/>
    <x v="1"/>
    <x v="7"/>
    <x v="2"/>
    <n v="0"/>
    <n v="3.1"/>
  </r>
  <r>
    <s v="2023-03"/>
    <x v="5"/>
    <x v="5"/>
    <x v="9"/>
    <x v="17"/>
    <x v="1"/>
    <x v="4"/>
    <x v="1"/>
    <x v="4"/>
    <x v="6"/>
    <n v="1"/>
    <n v="2.5"/>
  </r>
  <r>
    <s v="2023-12"/>
    <x v="9"/>
    <x v="9"/>
    <x v="7"/>
    <x v="9"/>
    <x v="0"/>
    <x v="4"/>
    <x v="0"/>
    <x v="2"/>
    <x v="8"/>
    <n v="1"/>
    <n v="5.0999999999999996"/>
  </r>
  <r>
    <s v="2023-07"/>
    <x v="8"/>
    <x v="8"/>
    <x v="3"/>
    <x v="15"/>
    <x v="5"/>
    <x v="5"/>
    <x v="0"/>
    <x v="0"/>
    <x v="0"/>
    <n v="0"/>
    <n v="1.9"/>
  </r>
  <r>
    <s v="2023-06"/>
    <x v="1"/>
    <x v="1"/>
    <x v="2"/>
    <x v="19"/>
    <x v="2"/>
    <x v="3"/>
    <x v="0"/>
    <x v="4"/>
    <x v="6"/>
    <n v="0"/>
    <n v="2.4"/>
  </r>
  <r>
    <s v="2023-06"/>
    <x v="1"/>
    <x v="1"/>
    <x v="5"/>
    <x v="6"/>
    <x v="2"/>
    <x v="5"/>
    <x v="0"/>
    <x v="7"/>
    <x v="2"/>
    <n v="0"/>
    <n v="3"/>
  </r>
  <r>
    <s v="2023-06"/>
    <x v="1"/>
    <x v="1"/>
    <x v="0"/>
    <x v="0"/>
    <x v="1"/>
    <x v="3"/>
    <x v="1"/>
    <x v="1"/>
    <x v="1"/>
    <n v="0"/>
    <n v="4.0999999999999996"/>
  </r>
  <r>
    <s v="2023-09"/>
    <x v="10"/>
    <x v="10"/>
    <x v="5"/>
    <x v="6"/>
    <x v="4"/>
    <x v="4"/>
    <x v="1"/>
    <x v="0"/>
    <x v="2"/>
    <n v="0"/>
    <n v="2.4"/>
  </r>
  <r>
    <s v="2023-03"/>
    <x v="5"/>
    <x v="5"/>
    <x v="3"/>
    <x v="15"/>
    <x v="2"/>
    <x v="4"/>
    <x v="0"/>
    <x v="8"/>
    <x v="8"/>
    <n v="0"/>
    <n v="3.8"/>
  </r>
  <r>
    <s v="2023-12"/>
    <x v="9"/>
    <x v="9"/>
    <x v="5"/>
    <x v="6"/>
    <x v="1"/>
    <x v="0"/>
    <x v="1"/>
    <x v="4"/>
    <x v="0"/>
    <n v="0"/>
    <n v="2.8"/>
  </r>
  <r>
    <s v="2023-03"/>
    <x v="5"/>
    <x v="5"/>
    <x v="2"/>
    <x v="2"/>
    <x v="0"/>
    <x v="3"/>
    <x v="1"/>
    <x v="1"/>
    <x v="1"/>
    <n v="0"/>
    <n v="0.8"/>
  </r>
  <r>
    <s v="2023-02"/>
    <x v="6"/>
    <x v="6"/>
    <x v="6"/>
    <x v="8"/>
    <x v="2"/>
    <x v="1"/>
    <x v="0"/>
    <x v="1"/>
    <x v="1"/>
    <n v="0"/>
    <n v="2.2999999999999998"/>
  </r>
  <r>
    <s v="2023-02"/>
    <x v="6"/>
    <x v="6"/>
    <x v="9"/>
    <x v="17"/>
    <x v="2"/>
    <x v="3"/>
    <x v="1"/>
    <x v="0"/>
    <x v="2"/>
    <n v="1"/>
    <n v="4"/>
  </r>
  <r>
    <s v="2023-12"/>
    <x v="9"/>
    <x v="9"/>
    <x v="5"/>
    <x v="6"/>
    <x v="3"/>
    <x v="2"/>
    <x v="1"/>
    <x v="1"/>
    <x v="1"/>
    <n v="0"/>
    <n v="3.3"/>
  </r>
  <r>
    <s v="2023-05"/>
    <x v="7"/>
    <x v="7"/>
    <x v="4"/>
    <x v="11"/>
    <x v="4"/>
    <x v="4"/>
    <x v="1"/>
    <x v="5"/>
    <x v="5"/>
    <n v="0"/>
    <n v="2.5"/>
  </r>
  <r>
    <s v="2023-07"/>
    <x v="8"/>
    <x v="8"/>
    <x v="5"/>
    <x v="6"/>
    <x v="3"/>
    <x v="0"/>
    <x v="1"/>
    <x v="4"/>
    <x v="6"/>
    <n v="0"/>
    <n v="3.1"/>
  </r>
  <r>
    <s v="2023-09"/>
    <x v="10"/>
    <x v="10"/>
    <x v="5"/>
    <x v="6"/>
    <x v="2"/>
    <x v="2"/>
    <x v="0"/>
    <x v="2"/>
    <x v="3"/>
    <n v="0"/>
    <n v="4.3"/>
  </r>
  <r>
    <s v="2023-06"/>
    <x v="1"/>
    <x v="1"/>
    <x v="9"/>
    <x v="17"/>
    <x v="2"/>
    <x v="3"/>
    <x v="0"/>
    <x v="0"/>
    <x v="2"/>
    <n v="0"/>
    <n v="1.3"/>
  </r>
  <r>
    <s v="2023-11"/>
    <x v="11"/>
    <x v="11"/>
    <x v="5"/>
    <x v="6"/>
    <x v="0"/>
    <x v="2"/>
    <x v="0"/>
    <x v="5"/>
    <x v="5"/>
    <n v="0"/>
    <n v="2.4"/>
  </r>
  <r>
    <s v="2023-01"/>
    <x v="4"/>
    <x v="4"/>
    <x v="6"/>
    <x v="7"/>
    <x v="4"/>
    <x v="2"/>
    <x v="1"/>
    <x v="0"/>
    <x v="1"/>
    <n v="0"/>
    <n v="2.8"/>
  </r>
  <r>
    <s v="2023-08"/>
    <x v="3"/>
    <x v="3"/>
    <x v="6"/>
    <x v="8"/>
    <x v="3"/>
    <x v="4"/>
    <x v="1"/>
    <x v="1"/>
    <x v="1"/>
    <n v="1"/>
    <n v="2.6"/>
  </r>
  <r>
    <s v="2023-02"/>
    <x v="6"/>
    <x v="6"/>
    <x v="6"/>
    <x v="8"/>
    <x v="5"/>
    <x v="1"/>
    <x v="0"/>
    <x v="3"/>
    <x v="4"/>
    <n v="0"/>
    <n v="2.9"/>
  </r>
  <r>
    <s v="2023-09"/>
    <x v="10"/>
    <x v="10"/>
    <x v="7"/>
    <x v="13"/>
    <x v="2"/>
    <x v="4"/>
    <x v="0"/>
    <x v="0"/>
    <x v="2"/>
    <n v="0"/>
    <n v="1.5"/>
  </r>
  <r>
    <s v="2023-12"/>
    <x v="9"/>
    <x v="9"/>
    <x v="2"/>
    <x v="2"/>
    <x v="2"/>
    <x v="1"/>
    <x v="1"/>
    <x v="0"/>
    <x v="2"/>
    <n v="0"/>
    <n v="1.5"/>
  </r>
  <r>
    <s v="2023-08"/>
    <x v="3"/>
    <x v="3"/>
    <x v="2"/>
    <x v="2"/>
    <x v="4"/>
    <x v="0"/>
    <x v="1"/>
    <x v="1"/>
    <x v="1"/>
    <n v="0"/>
    <n v="3.1"/>
  </r>
  <r>
    <s v="2023-03"/>
    <x v="5"/>
    <x v="5"/>
    <x v="1"/>
    <x v="16"/>
    <x v="0"/>
    <x v="3"/>
    <x v="0"/>
    <x v="0"/>
    <x v="0"/>
    <n v="2"/>
    <n v="3.5"/>
  </r>
  <r>
    <s v="2023-06"/>
    <x v="1"/>
    <x v="1"/>
    <x v="5"/>
    <x v="5"/>
    <x v="4"/>
    <x v="5"/>
    <x v="1"/>
    <x v="4"/>
    <x v="6"/>
    <n v="0"/>
    <n v="3.3"/>
  </r>
  <r>
    <s v="2023-04"/>
    <x v="0"/>
    <x v="0"/>
    <x v="9"/>
    <x v="14"/>
    <x v="0"/>
    <x v="2"/>
    <x v="0"/>
    <x v="7"/>
    <x v="1"/>
    <n v="0"/>
    <n v="3.5"/>
  </r>
  <r>
    <s v="2023-11"/>
    <x v="11"/>
    <x v="11"/>
    <x v="7"/>
    <x v="13"/>
    <x v="0"/>
    <x v="2"/>
    <x v="1"/>
    <x v="2"/>
    <x v="3"/>
    <n v="0"/>
    <n v="2.4"/>
  </r>
  <r>
    <s v="2023-04"/>
    <x v="0"/>
    <x v="0"/>
    <x v="4"/>
    <x v="11"/>
    <x v="4"/>
    <x v="5"/>
    <x v="0"/>
    <x v="9"/>
    <x v="12"/>
    <n v="1"/>
    <n v="4.4000000000000004"/>
  </r>
  <r>
    <s v="2023-04"/>
    <x v="0"/>
    <x v="0"/>
    <x v="4"/>
    <x v="4"/>
    <x v="1"/>
    <x v="3"/>
    <x v="1"/>
    <x v="4"/>
    <x v="0"/>
    <n v="1"/>
    <n v="3"/>
  </r>
  <r>
    <s v="2023-03"/>
    <x v="5"/>
    <x v="5"/>
    <x v="3"/>
    <x v="3"/>
    <x v="2"/>
    <x v="5"/>
    <x v="1"/>
    <x v="0"/>
    <x v="2"/>
    <n v="0"/>
    <n v="2.6"/>
  </r>
  <r>
    <s v="2023-04"/>
    <x v="0"/>
    <x v="0"/>
    <x v="0"/>
    <x v="12"/>
    <x v="1"/>
    <x v="1"/>
    <x v="0"/>
    <x v="3"/>
    <x v="11"/>
    <n v="0"/>
    <n v="2.5"/>
  </r>
  <r>
    <s v="2023-01"/>
    <x v="4"/>
    <x v="4"/>
    <x v="0"/>
    <x v="12"/>
    <x v="4"/>
    <x v="3"/>
    <x v="0"/>
    <x v="1"/>
    <x v="1"/>
    <n v="0"/>
    <n v="3.9"/>
  </r>
  <r>
    <s v="2023-02"/>
    <x v="6"/>
    <x v="6"/>
    <x v="2"/>
    <x v="19"/>
    <x v="0"/>
    <x v="5"/>
    <x v="0"/>
    <x v="8"/>
    <x v="8"/>
    <n v="0"/>
    <n v="2.8"/>
  </r>
  <r>
    <s v="2023-06"/>
    <x v="1"/>
    <x v="1"/>
    <x v="8"/>
    <x v="10"/>
    <x v="5"/>
    <x v="4"/>
    <x v="0"/>
    <x v="1"/>
    <x v="4"/>
    <n v="0"/>
    <n v="2.5"/>
  </r>
  <r>
    <s v="2023-04"/>
    <x v="0"/>
    <x v="0"/>
    <x v="0"/>
    <x v="0"/>
    <x v="1"/>
    <x v="5"/>
    <x v="0"/>
    <x v="7"/>
    <x v="2"/>
    <n v="0"/>
    <n v="1.4"/>
  </r>
  <r>
    <s v="2023-12"/>
    <x v="9"/>
    <x v="9"/>
    <x v="4"/>
    <x v="11"/>
    <x v="5"/>
    <x v="2"/>
    <x v="0"/>
    <x v="4"/>
    <x v="6"/>
    <n v="0"/>
    <n v="2.2000000000000002"/>
  </r>
  <r>
    <s v="2023-04"/>
    <x v="0"/>
    <x v="0"/>
    <x v="3"/>
    <x v="15"/>
    <x v="2"/>
    <x v="4"/>
    <x v="1"/>
    <x v="8"/>
    <x v="8"/>
    <n v="0"/>
    <n v="2.4"/>
  </r>
  <r>
    <s v="2023-01"/>
    <x v="4"/>
    <x v="4"/>
    <x v="6"/>
    <x v="8"/>
    <x v="5"/>
    <x v="0"/>
    <x v="0"/>
    <x v="8"/>
    <x v="6"/>
    <n v="0"/>
    <n v="3.2"/>
  </r>
  <r>
    <s v="2023-05"/>
    <x v="7"/>
    <x v="7"/>
    <x v="7"/>
    <x v="9"/>
    <x v="2"/>
    <x v="1"/>
    <x v="0"/>
    <x v="7"/>
    <x v="1"/>
    <n v="0"/>
    <n v="3"/>
  </r>
  <r>
    <s v="2023-06"/>
    <x v="1"/>
    <x v="1"/>
    <x v="8"/>
    <x v="18"/>
    <x v="0"/>
    <x v="2"/>
    <x v="0"/>
    <x v="1"/>
    <x v="4"/>
    <n v="0"/>
    <n v="3"/>
  </r>
  <r>
    <s v="2023-08"/>
    <x v="3"/>
    <x v="3"/>
    <x v="5"/>
    <x v="5"/>
    <x v="0"/>
    <x v="5"/>
    <x v="1"/>
    <x v="1"/>
    <x v="1"/>
    <n v="0"/>
    <n v="2.5"/>
  </r>
  <r>
    <s v="2023-12"/>
    <x v="9"/>
    <x v="9"/>
    <x v="5"/>
    <x v="5"/>
    <x v="1"/>
    <x v="2"/>
    <x v="1"/>
    <x v="8"/>
    <x v="6"/>
    <n v="0"/>
    <n v="3.9"/>
  </r>
  <r>
    <s v="2023-09"/>
    <x v="10"/>
    <x v="10"/>
    <x v="2"/>
    <x v="2"/>
    <x v="1"/>
    <x v="1"/>
    <x v="0"/>
    <x v="3"/>
    <x v="4"/>
    <n v="0"/>
    <n v="3.2"/>
  </r>
  <r>
    <s v="2023-11"/>
    <x v="11"/>
    <x v="11"/>
    <x v="2"/>
    <x v="19"/>
    <x v="4"/>
    <x v="5"/>
    <x v="1"/>
    <x v="8"/>
    <x v="8"/>
    <n v="2"/>
    <n v="3.1"/>
  </r>
  <r>
    <s v="2023-02"/>
    <x v="6"/>
    <x v="6"/>
    <x v="1"/>
    <x v="1"/>
    <x v="2"/>
    <x v="3"/>
    <x v="0"/>
    <x v="0"/>
    <x v="0"/>
    <n v="0"/>
    <n v="4.2"/>
  </r>
  <r>
    <s v="2023-06"/>
    <x v="1"/>
    <x v="1"/>
    <x v="8"/>
    <x v="18"/>
    <x v="0"/>
    <x v="0"/>
    <x v="1"/>
    <x v="8"/>
    <x v="8"/>
    <n v="0"/>
    <n v="2.7"/>
  </r>
  <r>
    <s v="2023-06"/>
    <x v="1"/>
    <x v="1"/>
    <x v="6"/>
    <x v="8"/>
    <x v="2"/>
    <x v="0"/>
    <x v="1"/>
    <x v="4"/>
    <x v="2"/>
    <n v="0"/>
    <n v="2.5"/>
  </r>
  <r>
    <s v="2023-04"/>
    <x v="0"/>
    <x v="0"/>
    <x v="8"/>
    <x v="10"/>
    <x v="4"/>
    <x v="2"/>
    <x v="1"/>
    <x v="7"/>
    <x v="2"/>
    <n v="0"/>
    <n v="2.8"/>
  </r>
  <r>
    <s v="2023-07"/>
    <x v="8"/>
    <x v="8"/>
    <x v="9"/>
    <x v="17"/>
    <x v="1"/>
    <x v="1"/>
    <x v="0"/>
    <x v="5"/>
    <x v="5"/>
    <n v="0"/>
    <n v="3.8"/>
  </r>
  <r>
    <s v="2023-07"/>
    <x v="8"/>
    <x v="8"/>
    <x v="5"/>
    <x v="5"/>
    <x v="4"/>
    <x v="2"/>
    <x v="0"/>
    <x v="5"/>
    <x v="5"/>
    <n v="1"/>
    <n v="0.6"/>
  </r>
  <r>
    <s v="2023-07"/>
    <x v="8"/>
    <x v="8"/>
    <x v="7"/>
    <x v="13"/>
    <x v="5"/>
    <x v="0"/>
    <x v="1"/>
    <x v="8"/>
    <x v="8"/>
    <n v="1"/>
    <n v="2.8"/>
  </r>
  <r>
    <s v="2023-01"/>
    <x v="4"/>
    <x v="4"/>
    <x v="2"/>
    <x v="2"/>
    <x v="0"/>
    <x v="5"/>
    <x v="0"/>
    <x v="5"/>
    <x v="5"/>
    <n v="0"/>
    <n v="3.2"/>
  </r>
  <r>
    <s v="2023-01"/>
    <x v="4"/>
    <x v="4"/>
    <x v="1"/>
    <x v="1"/>
    <x v="0"/>
    <x v="1"/>
    <x v="1"/>
    <x v="1"/>
    <x v="1"/>
    <n v="0"/>
    <n v="3.7"/>
  </r>
  <r>
    <s v="2023-12"/>
    <x v="9"/>
    <x v="9"/>
    <x v="7"/>
    <x v="9"/>
    <x v="5"/>
    <x v="2"/>
    <x v="1"/>
    <x v="1"/>
    <x v="1"/>
    <n v="0"/>
    <n v="3.7"/>
  </r>
  <r>
    <s v="2023-05"/>
    <x v="7"/>
    <x v="7"/>
    <x v="5"/>
    <x v="6"/>
    <x v="1"/>
    <x v="3"/>
    <x v="1"/>
    <x v="2"/>
    <x v="0"/>
    <n v="0"/>
    <n v="1.7"/>
  </r>
  <r>
    <s v="2023-11"/>
    <x v="11"/>
    <x v="11"/>
    <x v="2"/>
    <x v="19"/>
    <x v="0"/>
    <x v="0"/>
    <x v="0"/>
    <x v="0"/>
    <x v="2"/>
    <n v="0"/>
    <n v="2.4"/>
  </r>
  <r>
    <s v="2023-05"/>
    <x v="7"/>
    <x v="7"/>
    <x v="8"/>
    <x v="10"/>
    <x v="5"/>
    <x v="1"/>
    <x v="1"/>
    <x v="0"/>
    <x v="0"/>
    <n v="1"/>
    <n v="2.7"/>
  </r>
  <r>
    <s v="2023-02"/>
    <x v="6"/>
    <x v="6"/>
    <x v="8"/>
    <x v="18"/>
    <x v="5"/>
    <x v="0"/>
    <x v="0"/>
    <x v="5"/>
    <x v="5"/>
    <n v="0"/>
    <n v="3.2"/>
  </r>
  <r>
    <s v="2023-04"/>
    <x v="0"/>
    <x v="0"/>
    <x v="7"/>
    <x v="13"/>
    <x v="5"/>
    <x v="3"/>
    <x v="0"/>
    <x v="0"/>
    <x v="0"/>
    <n v="0"/>
    <n v="2.8"/>
  </r>
  <r>
    <s v="2023-12"/>
    <x v="9"/>
    <x v="9"/>
    <x v="5"/>
    <x v="6"/>
    <x v="4"/>
    <x v="2"/>
    <x v="0"/>
    <x v="1"/>
    <x v="1"/>
    <n v="0"/>
    <n v="4.4000000000000004"/>
  </r>
  <r>
    <s v="2023-10"/>
    <x v="2"/>
    <x v="2"/>
    <x v="1"/>
    <x v="16"/>
    <x v="1"/>
    <x v="2"/>
    <x v="0"/>
    <x v="4"/>
    <x v="6"/>
    <n v="1"/>
    <n v="3"/>
  </r>
  <r>
    <s v="2023-07"/>
    <x v="8"/>
    <x v="8"/>
    <x v="1"/>
    <x v="1"/>
    <x v="1"/>
    <x v="4"/>
    <x v="0"/>
    <x v="1"/>
    <x v="1"/>
    <n v="1"/>
    <n v="3.3"/>
  </r>
  <r>
    <s v="2023-06"/>
    <x v="1"/>
    <x v="1"/>
    <x v="0"/>
    <x v="0"/>
    <x v="1"/>
    <x v="1"/>
    <x v="1"/>
    <x v="10"/>
    <x v="3"/>
    <n v="0"/>
    <n v="4.4000000000000004"/>
  </r>
  <r>
    <s v="2023-05"/>
    <x v="7"/>
    <x v="7"/>
    <x v="8"/>
    <x v="10"/>
    <x v="3"/>
    <x v="1"/>
    <x v="1"/>
    <x v="7"/>
    <x v="2"/>
    <n v="0"/>
    <n v="4.2"/>
  </r>
  <r>
    <s v="2023-08"/>
    <x v="3"/>
    <x v="3"/>
    <x v="3"/>
    <x v="15"/>
    <x v="3"/>
    <x v="1"/>
    <x v="0"/>
    <x v="4"/>
    <x v="6"/>
    <n v="0"/>
    <n v="3"/>
  </r>
  <r>
    <s v="2023-09"/>
    <x v="10"/>
    <x v="10"/>
    <x v="4"/>
    <x v="4"/>
    <x v="0"/>
    <x v="0"/>
    <x v="1"/>
    <x v="4"/>
    <x v="0"/>
    <n v="0"/>
    <n v="2.5"/>
  </r>
  <r>
    <s v="2023-09"/>
    <x v="10"/>
    <x v="10"/>
    <x v="4"/>
    <x v="4"/>
    <x v="2"/>
    <x v="4"/>
    <x v="0"/>
    <x v="2"/>
    <x v="3"/>
    <n v="0"/>
    <n v="2.2999999999999998"/>
  </r>
  <r>
    <s v="2023-10"/>
    <x v="2"/>
    <x v="2"/>
    <x v="0"/>
    <x v="12"/>
    <x v="0"/>
    <x v="1"/>
    <x v="0"/>
    <x v="7"/>
    <x v="2"/>
    <n v="0"/>
    <n v="2.4"/>
  </r>
  <r>
    <s v="2023-03"/>
    <x v="5"/>
    <x v="5"/>
    <x v="8"/>
    <x v="10"/>
    <x v="4"/>
    <x v="3"/>
    <x v="0"/>
    <x v="2"/>
    <x v="3"/>
    <n v="1"/>
    <n v="4.4000000000000004"/>
  </r>
  <r>
    <s v="2023-12"/>
    <x v="9"/>
    <x v="9"/>
    <x v="4"/>
    <x v="11"/>
    <x v="3"/>
    <x v="1"/>
    <x v="0"/>
    <x v="7"/>
    <x v="2"/>
    <n v="1"/>
    <n v="2.6"/>
  </r>
  <r>
    <s v="2023-07"/>
    <x v="8"/>
    <x v="8"/>
    <x v="9"/>
    <x v="17"/>
    <x v="0"/>
    <x v="4"/>
    <x v="0"/>
    <x v="3"/>
    <x v="5"/>
    <n v="0"/>
    <n v="4.3"/>
  </r>
  <r>
    <s v="2023-06"/>
    <x v="1"/>
    <x v="1"/>
    <x v="3"/>
    <x v="15"/>
    <x v="0"/>
    <x v="5"/>
    <x v="0"/>
    <x v="2"/>
    <x v="3"/>
    <n v="0"/>
    <n v="2.6"/>
  </r>
  <r>
    <s v="2023-10"/>
    <x v="2"/>
    <x v="2"/>
    <x v="2"/>
    <x v="2"/>
    <x v="5"/>
    <x v="5"/>
    <x v="0"/>
    <x v="3"/>
    <x v="4"/>
    <n v="0"/>
    <n v="2.2999999999999998"/>
  </r>
  <r>
    <s v="2023-11"/>
    <x v="11"/>
    <x v="11"/>
    <x v="3"/>
    <x v="15"/>
    <x v="1"/>
    <x v="5"/>
    <x v="1"/>
    <x v="3"/>
    <x v="4"/>
    <n v="1"/>
    <n v="2"/>
  </r>
  <r>
    <s v="2023-06"/>
    <x v="1"/>
    <x v="1"/>
    <x v="9"/>
    <x v="14"/>
    <x v="2"/>
    <x v="0"/>
    <x v="0"/>
    <x v="4"/>
    <x v="0"/>
    <n v="1"/>
    <n v="2.5"/>
  </r>
  <r>
    <s v="2023-04"/>
    <x v="0"/>
    <x v="0"/>
    <x v="5"/>
    <x v="6"/>
    <x v="4"/>
    <x v="3"/>
    <x v="0"/>
    <x v="8"/>
    <x v="6"/>
    <n v="1"/>
    <n v="1.9"/>
  </r>
  <r>
    <s v="2023-02"/>
    <x v="6"/>
    <x v="6"/>
    <x v="0"/>
    <x v="0"/>
    <x v="1"/>
    <x v="1"/>
    <x v="0"/>
    <x v="7"/>
    <x v="2"/>
    <n v="0"/>
    <n v="4.0999999999999996"/>
  </r>
  <r>
    <s v="2023-01"/>
    <x v="4"/>
    <x v="4"/>
    <x v="9"/>
    <x v="14"/>
    <x v="4"/>
    <x v="2"/>
    <x v="0"/>
    <x v="4"/>
    <x v="0"/>
    <n v="0"/>
    <n v="2"/>
  </r>
  <r>
    <s v="2023-12"/>
    <x v="9"/>
    <x v="9"/>
    <x v="2"/>
    <x v="2"/>
    <x v="3"/>
    <x v="3"/>
    <x v="1"/>
    <x v="2"/>
    <x v="3"/>
    <n v="2"/>
    <n v="3.4"/>
  </r>
  <r>
    <s v="2023-09"/>
    <x v="10"/>
    <x v="10"/>
    <x v="2"/>
    <x v="19"/>
    <x v="5"/>
    <x v="5"/>
    <x v="1"/>
    <x v="2"/>
    <x v="3"/>
    <n v="1"/>
    <n v="3.8"/>
  </r>
  <r>
    <s v="2023-11"/>
    <x v="11"/>
    <x v="11"/>
    <x v="7"/>
    <x v="9"/>
    <x v="2"/>
    <x v="1"/>
    <x v="0"/>
    <x v="1"/>
    <x v="1"/>
    <n v="0"/>
    <n v="3.2"/>
  </r>
  <r>
    <s v="2023-07"/>
    <x v="8"/>
    <x v="8"/>
    <x v="7"/>
    <x v="9"/>
    <x v="2"/>
    <x v="5"/>
    <x v="0"/>
    <x v="0"/>
    <x v="2"/>
    <n v="0"/>
    <n v="4.3"/>
  </r>
  <r>
    <s v="2023-09"/>
    <x v="10"/>
    <x v="10"/>
    <x v="2"/>
    <x v="2"/>
    <x v="5"/>
    <x v="5"/>
    <x v="0"/>
    <x v="7"/>
    <x v="2"/>
    <n v="1"/>
    <n v="4.0999999999999996"/>
  </r>
  <r>
    <s v="2023-04"/>
    <x v="0"/>
    <x v="0"/>
    <x v="1"/>
    <x v="1"/>
    <x v="5"/>
    <x v="5"/>
    <x v="0"/>
    <x v="0"/>
    <x v="2"/>
    <n v="0"/>
    <n v="3.6"/>
  </r>
  <r>
    <s v="2023-08"/>
    <x v="3"/>
    <x v="3"/>
    <x v="8"/>
    <x v="18"/>
    <x v="1"/>
    <x v="1"/>
    <x v="0"/>
    <x v="0"/>
    <x v="2"/>
    <n v="0"/>
    <n v="2.5"/>
  </r>
  <r>
    <s v="2023-05"/>
    <x v="7"/>
    <x v="7"/>
    <x v="4"/>
    <x v="4"/>
    <x v="0"/>
    <x v="3"/>
    <x v="1"/>
    <x v="1"/>
    <x v="4"/>
    <n v="0"/>
    <n v="1.3"/>
  </r>
  <r>
    <s v="2023-09"/>
    <x v="10"/>
    <x v="10"/>
    <x v="8"/>
    <x v="10"/>
    <x v="1"/>
    <x v="3"/>
    <x v="0"/>
    <x v="0"/>
    <x v="0"/>
    <n v="0"/>
    <n v="3.3"/>
  </r>
  <r>
    <s v="2023-09"/>
    <x v="10"/>
    <x v="10"/>
    <x v="9"/>
    <x v="17"/>
    <x v="0"/>
    <x v="5"/>
    <x v="1"/>
    <x v="3"/>
    <x v="5"/>
    <n v="0"/>
    <n v="3"/>
  </r>
  <r>
    <s v="2023-10"/>
    <x v="2"/>
    <x v="2"/>
    <x v="1"/>
    <x v="16"/>
    <x v="1"/>
    <x v="3"/>
    <x v="0"/>
    <x v="4"/>
    <x v="6"/>
    <n v="0"/>
    <n v="2.1"/>
  </r>
  <r>
    <s v="2023-06"/>
    <x v="1"/>
    <x v="1"/>
    <x v="7"/>
    <x v="9"/>
    <x v="4"/>
    <x v="2"/>
    <x v="0"/>
    <x v="7"/>
    <x v="4"/>
    <n v="0"/>
    <n v="2"/>
  </r>
  <r>
    <s v="2023-02"/>
    <x v="6"/>
    <x v="6"/>
    <x v="7"/>
    <x v="13"/>
    <x v="3"/>
    <x v="1"/>
    <x v="0"/>
    <x v="7"/>
    <x v="2"/>
    <n v="1"/>
    <n v="3.8"/>
  </r>
  <r>
    <s v="2023-06"/>
    <x v="1"/>
    <x v="1"/>
    <x v="6"/>
    <x v="8"/>
    <x v="2"/>
    <x v="0"/>
    <x v="1"/>
    <x v="8"/>
    <x v="8"/>
    <n v="1"/>
    <n v="1.9"/>
  </r>
  <r>
    <s v="2023-05"/>
    <x v="7"/>
    <x v="7"/>
    <x v="9"/>
    <x v="17"/>
    <x v="1"/>
    <x v="2"/>
    <x v="1"/>
    <x v="8"/>
    <x v="6"/>
    <n v="0"/>
    <n v="3.6"/>
  </r>
  <r>
    <s v="2023-04"/>
    <x v="0"/>
    <x v="0"/>
    <x v="4"/>
    <x v="11"/>
    <x v="4"/>
    <x v="5"/>
    <x v="1"/>
    <x v="0"/>
    <x v="0"/>
    <n v="0"/>
    <n v="2.9"/>
  </r>
  <r>
    <s v="2023-12"/>
    <x v="9"/>
    <x v="9"/>
    <x v="2"/>
    <x v="2"/>
    <x v="4"/>
    <x v="2"/>
    <x v="0"/>
    <x v="0"/>
    <x v="2"/>
    <n v="0"/>
    <n v="4.7"/>
  </r>
  <r>
    <s v="2023-09"/>
    <x v="10"/>
    <x v="10"/>
    <x v="1"/>
    <x v="1"/>
    <x v="0"/>
    <x v="5"/>
    <x v="0"/>
    <x v="7"/>
    <x v="1"/>
    <n v="0"/>
    <n v="4.4000000000000004"/>
  </r>
  <r>
    <s v="2023-01"/>
    <x v="4"/>
    <x v="4"/>
    <x v="2"/>
    <x v="19"/>
    <x v="0"/>
    <x v="3"/>
    <x v="0"/>
    <x v="5"/>
    <x v="5"/>
    <n v="0"/>
    <n v="4.7"/>
  </r>
  <r>
    <s v="2023-07"/>
    <x v="8"/>
    <x v="8"/>
    <x v="6"/>
    <x v="7"/>
    <x v="0"/>
    <x v="5"/>
    <x v="1"/>
    <x v="10"/>
    <x v="3"/>
    <n v="1"/>
    <n v="2.7"/>
  </r>
  <r>
    <s v="2023-05"/>
    <x v="7"/>
    <x v="7"/>
    <x v="0"/>
    <x v="0"/>
    <x v="4"/>
    <x v="5"/>
    <x v="1"/>
    <x v="0"/>
    <x v="0"/>
    <n v="0"/>
    <n v="3.8"/>
  </r>
  <r>
    <s v="2023-01"/>
    <x v="4"/>
    <x v="4"/>
    <x v="7"/>
    <x v="9"/>
    <x v="2"/>
    <x v="3"/>
    <x v="1"/>
    <x v="8"/>
    <x v="6"/>
    <n v="1"/>
    <n v="2.7"/>
  </r>
  <r>
    <s v="2023-02"/>
    <x v="6"/>
    <x v="6"/>
    <x v="2"/>
    <x v="2"/>
    <x v="1"/>
    <x v="4"/>
    <x v="1"/>
    <x v="7"/>
    <x v="2"/>
    <n v="0"/>
    <n v="3"/>
  </r>
  <r>
    <s v="2023-01"/>
    <x v="4"/>
    <x v="4"/>
    <x v="2"/>
    <x v="2"/>
    <x v="0"/>
    <x v="2"/>
    <x v="0"/>
    <x v="0"/>
    <x v="0"/>
    <n v="0"/>
    <n v="2.2999999999999998"/>
  </r>
  <r>
    <s v="2023-04"/>
    <x v="0"/>
    <x v="0"/>
    <x v="4"/>
    <x v="11"/>
    <x v="4"/>
    <x v="5"/>
    <x v="0"/>
    <x v="7"/>
    <x v="1"/>
    <n v="0"/>
    <n v="2"/>
  </r>
  <r>
    <s v="2023-05"/>
    <x v="7"/>
    <x v="7"/>
    <x v="0"/>
    <x v="0"/>
    <x v="4"/>
    <x v="3"/>
    <x v="0"/>
    <x v="4"/>
    <x v="6"/>
    <n v="1"/>
    <n v="1.9"/>
  </r>
  <r>
    <s v="2023-06"/>
    <x v="1"/>
    <x v="1"/>
    <x v="6"/>
    <x v="7"/>
    <x v="5"/>
    <x v="5"/>
    <x v="1"/>
    <x v="4"/>
    <x v="6"/>
    <n v="0"/>
    <n v="1.6"/>
  </r>
  <r>
    <s v="2023-07"/>
    <x v="8"/>
    <x v="8"/>
    <x v="7"/>
    <x v="9"/>
    <x v="5"/>
    <x v="2"/>
    <x v="0"/>
    <x v="10"/>
    <x v="3"/>
    <n v="0"/>
    <n v="3"/>
  </r>
  <r>
    <s v="2023-04"/>
    <x v="0"/>
    <x v="0"/>
    <x v="5"/>
    <x v="5"/>
    <x v="3"/>
    <x v="2"/>
    <x v="0"/>
    <x v="3"/>
    <x v="4"/>
    <n v="0"/>
    <n v="1.8"/>
  </r>
  <r>
    <s v="2023-12"/>
    <x v="9"/>
    <x v="9"/>
    <x v="0"/>
    <x v="12"/>
    <x v="2"/>
    <x v="4"/>
    <x v="1"/>
    <x v="5"/>
    <x v="5"/>
    <n v="0"/>
    <n v="3.1"/>
  </r>
  <r>
    <s v="2023-05"/>
    <x v="7"/>
    <x v="7"/>
    <x v="9"/>
    <x v="14"/>
    <x v="5"/>
    <x v="2"/>
    <x v="0"/>
    <x v="1"/>
    <x v="1"/>
    <n v="0"/>
    <n v="1.6"/>
  </r>
  <r>
    <s v="2023-12"/>
    <x v="9"/>
    <x v="9"/>
    <x v="5"/>
    <x v="6"/>
    <x v="4"/>
    <x v="2"/>
    <x v="0"/>
    <x v="8"/>
    <x v="6"/>
    <n v="0"/>
    <n v="2.4"/>
  </r>
  <r>
    <s v="2023-12"/>
    <x v="9"/>
    <x v="9"/>
    <x v="7"/>
    <x v="13"/>
    <x v="5"/>
    <x v="0"/>
    <x v="0"/>
    <x v="4"/>
    <x v="6"/>
    <n v="0"/>
    <n v="3.4"/>
  </r>
  <r>
    <s v="2023-01"/>
    <x v="4"/>
    <x v="4"/>
    <x v="9"/>
    <x v="17"/>
    <x v="2"/>
    <x v="1"/>
    <x v="0"/>
    <x v="0"/>
    <x v="0"/>
    <n v="1"/>
    <n v="2.2000000000000002"/>
  </r>
  <r>
    <s v="2023-06"/>
    <x v="1"/>
    <x v="1"/>
    <x v="8"/>
    <x v="10"/>
    <x v="4"/>
    <x v="5"/>
    <x v="1"/>
    <x v="0"/>
    <x v="0"/>
    <n v="0"/>
    <n v="4.2"/>
  </r>
  <r>
    <s v="2023-03"/>
    <x v="5"/>
    <x v="5"/>
    <x v="9"/>
    <x v="17"/>
    <x v="0"/>
    <x v="4"/>
    <x v="0"/>
    <x v="8"/>
    <x v="0"/>
    <n v="0"/>
    <n v="3.1"/>
  </r>
  <r>
    <s v="2023-09"/>
    <x v="10"/>
    <x v="10"/>
    <x v="3"/>
    <x v="15"/>
    <x v="0"/>
    <x v="0"/>
    <x v="1"/>
    <x v="7"/>
    <x v="2"/>
    <n v="1"/>
    <n v="3.8"/>
  </r>
  <r>
    <s v="2023-05"/>
    <x v="7"/>
    <x v="7"/>
    <x v="9"/>
    <x v="17"/>
    <x v="5"/>
    <x v="2"/>
    <x v="1"/>
    <x v="1"/>
    <x v="1"/>
    <n v="0"/>
    <n v="0.8"/>
  </r>
  <r>
    <s v="2023-03"/>
    <x v="5"/>
    <x v="5"/>
    <x v="3"/>
    <x v="15"/>
    <x v="1"/>
    <x v="0"/>
    <x v="1"/>
    <x v="0"/>
    <x v="0"/>
    <n v="0"/>
    <n v="2.4"/>
  </r>
  <r>
    <s v="2023-11"/>
    <x v="11"/>
    <x v="11"/>
    <x v="7"/>
    <x v="13"/>
    <x v="0"/>
    <x v="1"/>
    <x v="0"/>
    <x v="1"/>
    <x v="1"/>
    <n v="0"/>
    <n v="0.8"/>
  </r>
  <r>
    <s v="2023-02"/>
    <x v="6"/>
    <x v="6"/>
    <x v="5"/>
    <x v="5"/>
    <x v="4"/>
    <x v="5"/>
    <x v="1"/>
    <x v="5"/>
    <x v="5"/>
    <n v="0"/>
    <n v="2.2999999999999998"/>
  </r>
  <r>
    <s v="2023-03"/>
    <x v="5"/>
    <x v="5"/>
    <x v="0"/>
    <x v="12"/>
    <x v="2"/>
    <x v="2"/>
    <x v="1"/>
    <x v="2"/>
    <x v="8"/>
    <n v="0"/>
    <n v="3.1"/>
  </r>
  <r>
    <s v="2023-07"/>
    <x v="8"/>
    <x v="8"/>
    <x v="9"/>
    <x v="17"/>
    <x v="3"/>
    <x v="0"/>
    <x v="1"/>
    <x v="9"/>
    <x v="9"/>
    <n v="1"/>
    <n v="2.2000000000000002"/>
  </r>
  <r>
    <s v="2023-01"/>
    <x v="4"/>
    <x v="4"/>
    <x v="5"/>
    <x v="5"/>
    <x v="4"/>
    <x v="2"/>
    <x v="1"/>
    <x v="7"/>
    <x v="2"/>
    <n v="0"/>
    <n v="2.2999999999999998"/>
  </r>
  <r>
    <s v="2023-02"/>
    <x v="6"/>
    <x v="6"/>
    <x v="1"/>
    <x v="16"/>
    <x v="1"/>
    <x v="0"/>
    <x v="0"/>
    <x v="4"/>
    <x v="0"/>
    <n v="0"/>
    <n v="3.2"/>
  </r>
  <r>
    <s v="2023-04"/>
    <x v="0"/>
    <x v="0"/>
    <x v="8"/>
    <x v="10"/>
    <x v="1"/>
    <x v="1"/>
    <x v="0"/>
    <x v="7"/>
    <x v="2"/>
    <n v="0"/>
    <n v="3.6"/>
  </r>
  <r>
    <s v="2023-01"/>
    <x v="4"/>
    <x v="4"/>
    <x v="2"/>
    <x v="19"/>
    <x v="4"/>
    <x v="1"/>
    <x v="1"/>
    <x v="0"/>
    <x v="2"/>
    <n v="0"/>
    <n v="2.5"/>
  </r>
  <r>
    <s v="2023-10"/>
    <x v="2"/>
    <x v="2"/>
    <x v="8"/>
    <x v="18"/>
    <x v="4"/>
    <x v="0"/>
    <x v="0"/>
    <x v="1"/>
    <x v="1"/>
    <n v="0"/>
    <n v="2.9"/>
  </r>
  <r>
    <s v="2023-12"/>
    <x v="9"/>
    <x v="9"/>
    <x v="7"/>
    <x v="9"/>
    <x v="5"/>
    <x v="5"/>
    <x v="1"/>
    <x v="9"/>
    <x v="12"/>
    <n v="0"/>
    <n v="3.8"/>
  </r>
  <r>
    <s v="2023-11"/>
    <x v="11"/>
    <x v="11"/>
    <x v="4"/>
    <x v="11"/>
    <x v="3"/>
    <x v="4"/>
    <x v="0"/>
    <x v="7"/>
    <x v="2"/>
    <n v="0"/>
    <n v="3.6"/>
  </r>
  <r>
    <s v="2023-04"/>
    <x v="0"/>
    <x v="0"/>
    <x v="1"/>
    <x v="1"/>
    <x v="3"/>
    <x v="0"/>
    <x v="1"/>
    <x v="4"/>
    <x v="0"/>
    <n v="0"/>
    <n v="3.4"/>
  </r>
  <r>
    <s v="2023-10"/>
    <x v="2"/>
    <x v="2"/>
    <x v="3"/>
    <x v="3"/>
    <x v="0"/>
    <x v="4"/>
    <x v="0"/>
    <x v="9"/>
    <x v="9"/>
    <n v="2"/>
    <n v="4.0999999999999996"/>
  </r>
  <r>
    <s v="2023-09"/>
    <x v="10"/>
    <x v="10"/>
    <x v="2"/>
    <x v="19"/>
    <x v="5"/>
    <x v="3"/>
    <x v="0"/>
    <x v="9"/>
    <x v="9"/>
    <n v="1"/>
    <n v="1.9"/>
  </r>
  <r>
    <s v="2023-06"/>
    <x v="1"/>
    <x v="1"/>
    <x v="4"/>
    <x v="4"/>
    <x v="5"/>
    <x v="1"/>
    <x v="1"/>
    <x v="8"/>
    <x v="6"/>
    <n v="0"/>
    <n v="4.5"/>
  </r>
  <r>
    <s v="2023-03"/>
    <x v="5"/>
    <x v="5"/>
    <x v="5"/>
    <x v="5"/>
    <x v="5"/>
    <x v="2"/>
    <x v="1"/>
    <x v="0"/>
    <x v="0"/>
    <n v="1"/>
    <n v="4.5999999999999996"/>
  </r>
  <r>
    <s v="2023-09"/>
    <x v="10"/>
    <x v="10"/>
    <x v="0"/>
    <x v="12"/>
    <x v="1"/>
    <x v="4"/>
    <x v="1"/>
    <x v="8"/>
    <x v="8"/>
    <n v="1"/>
    <n v="3.9"/>
  </r>
  <r>
    <s v="2023-10"/>
    <x v="2"/>
    <x v="2"/>
    <x v="0"/>
    <x v="12"/>
    <x v="5"/>
    <x v="5"/>
    <x v="0"/>
    <x v="1"/>
    <x v="1"/>
    <n v="0"/>
    <n v="3.2"/>
  </r>
  <r>
    <s v="2023-06"/>
    <x v="1"/>
    <x v="1"/>
    <x v="8"/>
    <x v="18"/>
    <x v="2"/>
    <x v="1"/>
    <x v="0"/>
    <x v="2"/>
    <x v="8"/>
    <n v="3"/>
    <n v="2.2000000000000002"/>
  </r>
  <r>
    <s v="2023-10"/>
    <x v="2"/>
    <x v="2"/>
    <x v="4"/>
    <x v="4"/>
    <x v="3"/>
    <x v="1"/>
    <x v="0"/>
    <x v="0"/>
    <x v="0"/>
    <n v="0"/>
    <n v="3.3"/>
  </r>
  <r>
    <s v="2023-09"/>
    <x v="10"/>
    <x v="10"/>
    <x v="1"/>
    <x v="1"/>
    <x v="0"/>
    <x v="1"/>
    <x v="0"/>
    <x v="1"/>
    <x v="1"/>
    <n v="0"/>
    <n v="3.3"/>
  </r>
  <r>
    <s v="2023-04"/>
    <x v="0"/>
    <x v="0"/>
    <x v="0"/>
    <x v="12"/>
    <x v="3"/>
    <x v="5"/>
    <x v="0"/>
    <x v="1"/>
    <x v="1"/>
    <n v="1"/>
    <n v="1.3"/>
  </r>
  <r>
    <s v="2023-03"/>
    <x v="5"/>
    <x v="5"/>
    <x v="8"/>
    <x v="10"/>
    <x v="4"/>
    <x v="1"/>
    <x v="1"/>
    <x v="7"/>
    <x v="2"/>
    <n v="0"/>
    <n v="2.5"/>
  </r>
  <r>
    <s v="2023-03"/>
    <x v="5"/>
    <x v="5"/>
    <x v="8"/>
    <x v="18"/>
    <x v="2"/>
    <x v="2"/>
    <x v="0"/>
    <x v="7"/>
    <x v="2"/>
    <n v="1"/>
    <n v="1.1000000000000001"/>
  </r>
  <r>
    <s v="2023-02"/>
    <x v="6"/>
    <x v="6"/>
    <x v="4"/>
    <x v="4"/>
    <x v="2"/>
    <x v="4"/>
    <x v="1"/>
    <x v="0"/>
    <x v="2"/>
    <n v="0"/>
    <n v="2.8"/>
  </r>
  <r>
    <s v="2023-03"/>
    <x v="5"/>
    <x v="5"/>
    <x v="0"/>
    <x v="12"/>
    <x v="5"/>
    <x v="5"/>
    <x v="0"/>
    <x v="1"/>
    <x v="4"/>
    <n v="0"/>
    <n v="1.8"/>
  </r>
  <r>
    <s v="2023-09"/>
    <x v="10"/>
    <x v="10"/>
    <x v="5"/>
    <x v="5"/>
    <x v="5"/>
    <x v="1"/>
    <x v="1"/>
    <x v="6"/>
    <x v="12"/>
    <n v="1"/>
    <n v="0.7"/>
  </r>
  <r>
    <s v="2023-01"/>
    <x v="4"/>
    <x v="4"/>
    <x v="8"/>
    <x v="10"/>
    <x v="2"/>
    <x v="0"/>
    <x v="1"/>
    <x v="8"/>
    <x v="6"/>
    <n v="0"/>
    <n v="3.3"/>
  </r>
  <r>
    <s v="2023-03"/>
    <x v="5"/>
    <x v="5"/>
    <x v="8"/>
    <x v="10"/>
    <x v="0"/>
    <x v="1"/>
    <x v="1"/>
    <x v="4"/>
    <x v="6"/>
    <n v="0"/>
    <n v="1.7"/>
  </r>
  <r>
    <s v="2023-12"/>
    <x v="9"/>
    <x v="9"/>
    <x v="9"/>
    <x v="17"/>
    <x v="3"/>
    <x v="2"/>
    <x v="0"/>
    <x v="1"/>
    <x v="4"/>
    <n v="0"/>
    <n v="1.9"/>
  </r>
  <r>
    <s v="2023-03"/>
    <x v="5"/>
    <x v="5"/>
    <x v="5"/>
    <x v="5"/>
    <x v="5"/>
    <x v="1"/>
    <x v="1"/>
    <x v="7"/>
    <x v="1"/>
    <n v="0"/>
    <n v="3.2"/>
  </r>
  <r>
    <s v="2023-03"/>
    <x v="5"/>
    <x v="5"/>
    <x v="5"/>
    <x v="5"/>
    <x v="2"/>
    <x v="0"/>
    <x v="1"/>
    <x v="1"/>
    <x v="4"/>
    <n v="0"/>
    <n v="3.3"/>
  </r>
  <r>
    <s v="2023-12"/>
    <x v="9"/>
    <x v="9"/>
    <x v="3"/>
    <x v="15"/>
    <x v="3"/>
    <x v="4"/>
    <x v="0"/>
    <x v="0"/>
    <x v="0"/>
    <n v="1"/>
    <n v="3.4"/>
  </r>
  <r>
    <s v="2023-03"/>
    <x v="5"/>
    <x v="5"/>
    <x v="8"/>
    <x v="10"/>
    <x v="4"/>
    <x v="4"/>
    <x v="1"/>
    <x v="3"/>
    <x v="4"/>
    <n v="1"/>
    <n v="0.8"/>
  </r>
  <r>
    <s v="2023-10"/>
    <x v="2"/>
    <x v="2"/>
    <x v="1"/>
    <x v="1"/>
    <x v="2"/>
    <x v="4"/>
    <x v="1"/>
    <x v="8"/>
    <x v="6"/>
    <n v="0"/>
    <n v="0.9"/>
  </r>
  <r>
    <s v="2023-08"/>
    <x v="3"/>
    <x v="3"/>
    <x v="7"/>
    <x v="9"/>
    <x v="1"/>
    <x v="4"/>
    <x v="0"/>
    <x v="5"/>
    <x v="5"/>
    <n v="0"/>
    <n v="3.8"/>
  </r>
  <r>
    <s v="2023-11"/>
    <x v="11"/>
    <x v="11"/>
    <x v="6"/>
    <x v="8"/>
    <x v="5"/>
    <x v="2"/>
    <x v="0"/>
    <x v="1"/>
    <x v="1"/>
    <n v="0"/>
    <n v="3.2"/>
  </r>
  <r>
    <s v="2023-07"/>
    <x v="8"/>
    <x v="8"/>
    <x v="8"/>
    <x v="10"/>
    <x v="3"/>
    <x v="1"/>
    <x v="0"/>
    <x v="3"/>
    <x v="4"/>
    <n v="0"/>
    <n v="3.2"/>
  </r>
  <r>
    <s v="2023-05"/>
    <x v="7"/>
    <x v="7"/>
    <x v="9"/>
    <x v="17"/>
    <x v="0"/>
    <x v="2"/>
    <x v="0"/>
    <x v="7"/>
    <x v="1"/>
    <n v="0"/>
    <n v="2.1"/>
  </r>
  <r>
    <s v="2023-11"/>
    <x v="11"/>
    <x v="11"/>
    <x v="4"/>
    <x v="11"/>
    <x v="4"/>
    <x v="1"/>
    <x v="0"/>
    <x v="4"/>
    <x v="6"/>
    <n v="1"/>
    <n v="4.5"/>
  </r>
  <r>
    <s v="2023-01"/>
    <x v="4"/>
    <x v="4"/>
    <x v="5"/>
    <x v="6"/>
    <x v="0"/>
    <x v="1"/>
    <x v="0"/>
    <x v="3"/>
    <x v="5"/>
    <n v="0"/>
    <n v="3.1"/>
  </r>
  <r>
    <s v="2023-01"/>
    <x v="4"/>
    <x v="4"/>
    <x v="9"/>
    <x v="14"/>
    <x v="3"/>
    <x v="2"/>
    <x v="1"/>
    <x v="10"/>
    <x v="9"/>
    <n v="2"/>
    <n v="3.9"/>
  </r>
  <r>
    <s v="2023-09"/>
    <x v="10"/>
    <x v="10"/>
    <x v="1"/>
    <x v="16"/>
    <x v="0"/>
    <x v="2"/>
    <x v="0"/>
    <x v="7"/>
    <x v="2"/>
    <n v="0"/>
    <n v="4.5"/>
  </r>
  <r>
    <s v="2023-02"/>
    <x v="6"/>
    <x v="6"/>
    <x v="5"/>
    <x v="5"/>
    <x v="0"/>
    <x v="2"/>
    <x v="1"/>
    <x v="0"/>
    <x v="0"/>
    <n v="0"/>
    <n v="1.9"/>
  </r>
  <r>
    <s v="2023-12"/>
    <x v="9"/>
    <x v="9"/>
    <x v="5"/>
    <x v="6"/>
    <x v="4"/>
    <x v="5"/>
    <x v="1"/>
    <x v="2"/>
    <x v="6"/>
    <n v="1"/>
    <n v="3.3"/>
  </r>
  <r>
    <s v="2023-04"/>
    <x v="0"/>
    <x v="0"/>
    <x v="7"/>
    <x v="13"/>
    <x v="5"/>
    <x v="5"/>
    <x v="0"/>
    <x v="3"/>
    <x v="4"/>
    <n v="0"/>
    <n v="1.3"/>
  </r>
  <r>
    <s v="2023-10"/>
    <x v="2"/>
    <x v="2"/>
    <x v="2"/>
    <x v="19"/>
    <x v="5"/>
    <x v="5"/>
    <x v="0"/>
    <x v="8"/>
    <x v="8"/>
    <n v="0"/>
    <n v="1.4"/>
  </r>
  <r>
    <s v="2023-11"/>
    <x v="11"/>
    <x v="11"/>
    <x v="9"/>
    <x v="14"/>
    <x v="5"/>
    <x v="5"/>
    <x v="1"/>
    <x v="0"/>
    <x v="0"/>
    <n v="0"/>
    <n v="1.8"/>
  </r>
  <r>
    <s v="2023-06"/>
    <x v="1"/>
    <x v="1"/>
    <x v="4"/>
    <x v="4"/>
    <x v="0"/>
    <x v="3"/>
    <x v="0"/>
    <x v="2"/>
    <x v="8"/>
    <n v="1"/>
    <n v="2.8"/>
  </r>
  <r>
    <s v="2023-11"/>
    <x v="11"/>
    <x v="11"/>
    <x v="6"/>
    <x v="7"/>
    <x v="4"/>
    <x v="2"/>
    <x v="0"/>
    <x v="3"/>
    <x v="5"/>
    <n v="0"/>
    <n v="3.2"/>
  </r>
  <r>
    <s v="2023-02"/>
    <x v="6"/>
    <x v="6"/>
    <x v="1"/>
    <x v="1"/>
    <x v="0"/>
    <x v="2"/>
    <x v="0"/>
    <x v="7"/>
    <x v="2"/>
    <n v="0"/>
    <n v="2.1"/>
  </r>
  <r>
    <s v="2023-06"/>
    <x v="1"/>
    <x v="1"/>
    <x v="6"/>
    <x v="8"/>
    <x v="3"/>
    <x v="4"/>
    <x v="0"/>
    <x v="1"/>
    <x v="1"/>
    <n v="0"/>
    <n v="3.3"/>
  </r>
  <r>
    <s v="2023-01"/>
    <x v="4"/>
    <x v="4"/>
    <x v="2"/>
    <x v="2"/>
    <x v="5"/>
    <x v="2"/>
    <x v="1"/>
    <x v="4"/>
    <x v="6"/>
    <n v="0"/>
    <n v="2.8"/>
  </r>
  <r>
    <s v="2023-11"/>
    <x v="11"/>
    <x v="11"/>
    <x v="1"/>
    <x v="1"/>
    <x v="5"/>
    <x v="4"/>
    <x v="0"/>
    <x v="0"/>
    <x v="2"/>
    <n v="1"/>
    <n v="0.8"/>
  </r>
  <r>
    <s v="2023-04"/>
    <x v="0"/>
    <x v="0"/>
    <x v="9"/>
    <x v="14"/>
    <x v="2"/>
    <x v="4"/>
    <x v="0"/>
    <x v="7"/>
    <x v="2"/>
    <n v="0"/>
    <n v="2.7"/>
  </r>
  <r>
    <s v="2023-06"/>
    <x v="1"/>
    <x v="1"/>
    <x v="5"/>
    <x v="5"/>
    <x v="1"/>
    <x v="1"/>
    <x v="1"/>
    <x v="8"/>
    <x v="0"/>
    <n v="0"/>
    <n v="3.2"/>
  </r>
  <r>
    <s v="2023-06"/>
    <x v="1"/>
    <x v="1"/>
    <x v="7"/>
    <x v="13"/>
    <x v="4"/>
    <x v="3"/>
    <x v="0"/>
    <x v="1"/>
    <x v="1"/>
    <n v="0"/>
    <n v="3.4"/>
  </r>
  <r>
    <s v="2023-03"/>
    <x v="5"/>
    <x v="5"/>
    <x v="6"/>
    <x v="7"/>
    <x v="2"/>
    <x v="1"/>
    <x v="0"/>
    <x v="0"/>
    <x v="2"/>
    <n v="1"/>
    <n v="2.4"/>
  </r>
  <r>
    <s v="2023-10"/>
    <x v="2"/>
    <x v="2"/>
    <x v="7"/>
    <x v="13"/>
    <x v="0"/>
    <x v="0"/>
    <x v="1"/>
    <x v="8"/>
    <x v="8"/>
    <n v="0"/>
    <n v="3.2"/>
  </r>
  <r>
    <s v="2023-12"/>
    <x v="9"/>
    <x v="9"/>
    <x v="8"/>
    <x v="18"/>
    <x v="0"/>
    <x v="1"/>
    <x v="0"/>
    <x v="7"/>
    <x v="2"/>
    <n v="0"/>
    <n v="1.8"/>
  </r>
  <r>
    <s v="2023-05"/>
    <x v="7"/>
    <x v="7"/>
    <x v="9"/>
    <x v="14"/>
    <x v="5"/>
    <x v="2"/>
    <x v="1"/>
    <x v="10"/>
    <x v="3"/>
    <n v="0"/>
    <n v="2.7"/>
  </r>
  <r>
    <s v="2023-10"/>
    <x v="2"/>
    <x v="2"/>
    <x v="4"/>
    <x v="4"/>
    <x v="5"/>
    <x v="4"/>
    <x v="1"/>
    <x v="8"/>
    <x v="6"/>
    <n v="0"/>
    <n v="2.8"/>
  </r>
  <r>
    <s v="2023-04"/>
    <x v="0"/>
    <x v="0"/>
    <x v="5"/>
    <x v="5"/>
    <x v="4"/>
    <x v="1"/>
    <x v="1"/>
    <x v="4"/>
    <x v="0"/>
    <n v="0"/>
    <n v="4.2"/>
  </r>
  <r>
    <s v="2023-02"/>
    <x v="6"/>
    <x v="6"/>
    <x v="2"/>
    <x v="2"/>
    <x v="0"/>
    <x v="5"/>
    <x v="0"/>
    <x v="3"/>
    <x v="5"/>
    <n v="1"/>
    <n v="4.5"/>
  </r>
  <r>
    <s v="2023-01"/>
    <x v="4"/>
    <x v="4"/>
    <x v="6"/>
    <x v="8"/>
    <x v="3"/>
    <x v="3"/>
    <x v="1"/>
    <x v="2"/>
    <x v="8"/>
    <n v="0"/>
    <n v="2.2999999999999998"/>
  </r>
  <r>
    <s v="2023-02"/>
    <x v="6"/>
    <x v="6"/>
    <x v="7"/>
    <x v="13"/>
    <x v="0"/>
    <x v="5"/>
    <x v="0"/>
    <x v="0"/>
    <x v="0"/>
    <n v="0"/>
    <n v="1.8"/>
  </r>
  <r>
    <s v="2023-05"/>
    <x v="7"/>
    <x v="7"/>
    <x v="4"/>
    <x v="11"/>
    <x v="1"/>
    <x v="4"/>
    <x v="1"/>
    <x v="7"/>
    <x v="2"/>
    <n v="0"/>
    <n v="2.7"/>
  </r>
  <r>
    <s v="2023-07"/>
    <x v="8"/>
    <x v="8"/>
    <x v="2"/>
    <x v="2"/>
    <x v="0"/>
    <x v="1"/>
    <x v="1"/>
    <x v="3"/>
    <x v="4"/>
    <n v="0"/>
    <n v="3.5"/>
  </r>
  <r>
    <s v="2023-03"/>
    <x v="5"/>
    <x v="5"/>
    <x v="9"/>
    <x v="17"/>
    <x v="0"/>
    <x v="2"/>
    <x v="1"/>
    <x v="1"/>
    <x v="1"/>
    <n v="0"/>
    <n v="2.6"/>
  </r>
  <r>
    <s v="2023-02"/>
    <x v="6"/>
    <x v="6"/>
    <x v="7"/>
    <x v="9"/>
    <x v="3"/>
    <x v="1"/>
    <x v="0"/>
    <x v="3"/>
    <x v="4"/>
    <n v="0"/>
    <n v="3.1"/>
  </r>
  <r>
    <s v="2023-09"/>
    <x v="10"/>
    <x v="10"/>
    <x v="5"/>
    <x v="6"/>
    <x v="1"/>
    <x v="5"/>
    <x v="0"/>
    <x v="8"/>
    <x v="6"/>
    <n v="0"/>
    <n v="2.5"/>
  </r>
  <r>
    <s v="2023-02"/>
    <x v="6"/>
    <x v="6"/>
    <x v="9"/>
    <x v="17"/>
    <x v="3"/>
    <x v="3"/>
    <x v="0"/>
    <x v="8"/>
    <x v="8"/>
    <n v="0"/>
    <n v="3.7"/>
  </r>
  <r>
    <s v="2023-02"/>
    <x v="6"/>
    <x v="6"/>
    <x v="5"/>
    <x v="6"/>
    <x v="2"/>
    <x v="4"/>
    <x v="1"/>
    <x v="1"/>
    <x v="1"/>
    <n v="0"/>
    <n v="2.2000000000000002"/>
  </r>
  <r>
    <s v="2023-03"/>
    <x v="5"/>
    <x v="5"/>
    <x v="3"/>
    <x v="15"/>
    <x v="4"/>
    <x v="2"/>
    <x v="0"/>
    <x v="0"/>
    <x v="0"/>
    <n v="0"/>
    <n v="4.7"/>
  </r>
  <r>
    <s v="2023-10"/>
    <x v="2"/>
    <x v="2"/>
    <x v="1"/>
    <x v="1"/>
    <x v="3"/>
    <x v="4"/>
    <x v="1"/>
    <x v="5"/>
    <x v="5"/>
    <n v="0"/>
    <n v="2.1"/>
  </r>
  <r>
    <s v="2023-02"/>
    <x v="6"/>
    <x v="6"/>
    <x v="8"/>
    <x v="10"/>
    <x v="3"/>
    <x v="5"/>
    <x v="0"/>
    <x v="4"/>
    <x v="6"/>
    <n v="0"/>
    <n v="4"/>
  </r>
  <r>
    <s v="2023-04"/>
    <x v="0"/>
    <x v="0"/>
    <x v="6"/>
    <x v="8"/>
    <x v="2"/>
    <x v="2"/>
    <x v="1"/>
    <x v="4"/>
    <x v="6"/>
    <n v="0"/>
    <n v="3.5"/>
  </r>
  <r>
    <s v="2023-10"/>
    <x v="2"/>
    <x v="2"/>
    <x v="9"/>
    <x v="17"/>
    <x v="3"/>
    <x v="1"/>
    <x v="0"/>
    <x v="10"/>
    <x v="3"/>
    <n v="0"/>
    <n v="1.2"/>
  </r>
  <r>
    <s v="2023-03"/>
    <x v="5"/>
    <x v="5"/>
    <x v="6"/>
    <x v="8"/>
    <x v="2"/>
    <x v="0"/>
    <x v="0"/>
    <x v="2"/>
    <x v="6"/>
    <n v="0"/>
    <n v="2.2000000000000002"/>
  </r>
  <r>
    <s v="2023-05"/>
    <x v="7"/>
    <x v="7"/>
    <x v="8"/>
    <x v="18"/>
    <x v="2"/>
    <x v="5"/>
    <x v="1"/>
    <x v="8"/>
    <x v="8"/>
    <n v="2"/>
    <n v="3.9"/>
  </r>
  <r>
    <s v="2023-05"/>
    <x v="7"/>
    <x v="7"/>
    <x v="1"/>
    <x v="1"/>
    <x v="4"/>
    <x v="3"/>
    <x v="1"/>
    <x v="8"/>
    <x v="6"/>
    <n v="0"/>
    <n v="3.5"/>
  </r>
  <r>
    <s v="2023-03"/>
    <x v="5"/>
    <x v="5"/>
    <x v="8"/>
    <x v="18"/>
    <x v="0"/>
    <x v="5"/>
    <x v="1"/>
    <x v="0"/>
    <x v="0"/>
    <n v="0"/>
    <n v="2.2000000000000002"/>
  </r>
  <r>
    <s v="2023-01"/>
    <x v="4"/>
    <x v="4"/>
    <x v="0"/>
    <x v="12"/>
    <x v="1"/>
    <x v="4"/>
    <x v="0"/>
    <x v="7"/>
    <x v="2"/>
    <n v="0"/>
    <n v="4.2"/>
  </r>
  <r>
    <s v="2023-06"/>
    <x v="1"/>
    <x v="1"/>
    <x v="8"/>
    <x v="10"/>
    <x v="2"/>
    <x v="2"/>
    <x v="0"/>
    <x v="1"/>
    <x v="1"/>
    <n v="0"/>
    <n v="3.2"/>
  </r>
  <r>
    <s v="2023-03"/>
    <x v="5"/>
    <x v="5"/>
    <x v="3"/>
    <x v="3"/>
    <x v="2"/>
    <x v="2"/>
    <x v="0"/>
    <x v="0"/>
    <x v="0"/>
    <n v="0"/>
    <n v="3.1"/>
  </r>
  <r>
    <s v="2023-07"/>
    <x v="8"/>
    <x v="8"/>
    <x v="4"/>
    <x v="4"/>
    <x v="2"/>
    <x v="3"/>
    <x v="0"/>
    <x v="0"/>
    <x v="0"/>
    <n v="0"/>
    <n v="3.1"/>
  </r>
  <r>
    <s v="2023-08"/>
    <x v="3"/>
    <x v="3"/>
    <x v="7"/>
    <x v="9"/>
    <x v="1"/>
    <x v="2"/>
    <x v="1"/>
    <x v="7"/>
    <x v="2"/>
    <n v="0"/>
    <n v="3.2"/>
  </r>
  <r>
    <s v="2023-01"/>
    <x v="4"/>
    <x v="4"/>
    <x v="3"/>
    <x v="3"/>
    <x v="3"/>
    <x v="2"/>
    <x v="1"/>
    <x v="1"/>
    <x v="1"/>
    <n v="0"/>
    <n v="3.7"/>
  </r>
  <r>
    <s v="2023-10"/>
    <x v="2"/>
    <x v="2"/>
    <x v="5"/>
    <x v="5"/>
    <x v="1"/>
    <x v="2"/>
    <x v="0"/>
    <x v="3"/>
    <x v="5"/>
    <n v="1"/>
    <n v="4.9000000000000004"/>
  </r>
  <r>
    <s v="2023-10"/>
    <x v="2"/>
    <x v="2"/>
    <x v="4"/>
    <x v="11"/>
    <x v="2"/>
    <x v="3"/>
    <x v="0"/>
    <x v="0"/>
    <x v="0"/>
    <n v="0"/>
    <n v="1.7"/>
  </r>
  <r>
    <s v="2023-02"/>
    <x v="6"/>
    <x v="6"/>
    <x v="0"/>
    <x v="0"/>
    <x v="2"/>
    <x v="5"/>
    <x v="0"/>
    <x v="3"/>
    <x v="5"/>
    <n v="0"/>
    <n v="2.2000000000000002"/>
  </r>
  <r>
    <s v="2023-11"/>
    <x v="11"/>
    <x v="11"/>
    <x v="7"/>
    <x v="13"/>
    <x v="0"/>
    <x v="3"/>
    <x v="0"/>
    <x v="7"/>
    <x v="2"/>
    <n v="0"/>
    <n v="2.7"/>
  </r>
  <r>
    <s v="2023-09"/>
    <x v="10"/>
    <x v="10"/>
    <x v="4"/>
    <x v="11"/>
    <x v="0"/>
    <x v="3"/>
    <x v="1"/>
    <x v="7"/>
    <x v="1"/>
    <n v="2"/>
    <n v="2.4"/>
  </r>
  <r>
    <s v="2023-07"/>
    <x v="8"/>
    <x v="8"/>
    <x v="4"/>
    <x v="4"/>
    <x v="0"/>
    <x v="0"/>
    <x v="0"/>
    <x v="8"/>
    <x v="8"/>
    <n v="0"/>
    <n v="3.2"/>
  </r>
  <r>
    <s v="2023-09"/>
    <x v="10"/>
    <x v="10"/>
    <x v="0"/>
    <x v="12"/>
    <x v="0"/>
    <x v="2"/>
    <x v="0"/>
    <x v="2"/>
    <x v="3"/>
    <n v="0"/>
    <n v="2"/>
  </r>
  <r>
    <s v="2023-08"/>
    <x v="3"/>
    <x v="3"/>
    <x v="4"/>
    <x v="11"/>
    <x v="2"/>
    <x v="3"/>
    <x v="1"/>
    <x v="0"/>
    <x v="0"/>
    <n v="0"/>
    <n v="2.1"/>
  </r>
  <r>
    <s v="2023-01"/>
    <x v="4"/>
    <x v="4"/>
    <x v="5"/>
    <x v="5"/>
    <x v="1"/>
    <x v="1"/>
    <x v="1"/>
    <x v="5"/>
    <x v="5"/>
    <n v="0"/>
    <n v="3.1"/>
  </r>
  <r>
    <s v="2023-07"/>
    <x v="8"/>
    <x v="8"/>
    <x v="0"/>
    <x v="0"/>
    <x v="1"/>
    <x v="1"/>
    <x v="1"/>
    <x v="1"/>
    <x v="1"/>
    <n v="0"/>
    <n v="2.2000000000000002"/>
  </r>
  <r>
    <s v="2023-04"/>
    <x v="0"/>
    <x v="0"/>
    <x v="4"/>
    <x v="4"/>
    <x v="2"/>
    <x v="1"/>
    <x v="1"/>
    <x v="2"/>
    <x v="8"/>
    <n v="0"/>
    <n v="1.9"/>
  </r>
  <r>
    <s v="2023-01"/>
    <x v="4"/>
    <x v="4"/>
    <x v="7"/>
    <x v="9"/>
    <x v="4"/>
    <x v="2"/>
    <x v="0"/>
    <x v="1"/>
    <x v="1"/>
    <n v="0"/>
    <n v="2"/>
  </r>
  <r>
    <s v="2023-07"/>
    <x v="8"/>
    <x v="8"/>
    <x v="9"/>
    <x v="17"/>
    <x v="4"/>
    <x v="3"/>
    <x v="1"/>
    <x v="8"/>
    <x v="6"/>
    <n v="2"/>
    <n v="4.2"/>
  </r>
  <r>
    <s v="2023-02"/>
    <x v="6"/>
    <x v="6"/>
    <x v="6"/>
    <x v="8"/>
    <x v="3"/>
    <x v="4"/>
    <x v="0"/>
    <x v="1"/>
    <x v="1"/>
    <n v="0"/>
    <n v="1.8"/>
  </r>
  <r>
    <s v="2023-07"/>
    <x v="8"/>
    <x v="8"/>
    <x v="7"/>
    <x v="13"/>
    <x v="4"/>
    <x v="5"/>
    <x v="1"/>
    <x v="0"/>
    <x v="2"/>
    <n v="0"/>
    <n v="1.3"/>
  </r>
  <r>
    <s v="2023-08"/>
    <x v="3"/>
    <x v="3"/>
    <x v="4"/>
    <x v="11"/>
    <x v="4"/>
    <x v="1"/>
    <x v="0"/>
    <x v="2"/>
    <x v="3"/>
    <n v="0"/>
    <n v="1.9"/>
  </r>
  <r>
    <s v="2023-11"/>
    <x v="11"/>
    <x v="11"/>
    <x v="8"/>
    <x v="10"/>
    <x v="1"/>
    <x v="5"/>
    <x v="0"/>
    <x v="1"/>
    <x v="1"/>
    <n v="1"/>
    <n v="2.6"/>
  </r>
  <r>
    <s v="2023-06"/>
    <x v="1"/>
    <x v="1"/>
    <x v="8"/>
    <x v="10"/>
    <x v="4"/>
    <x v="5"/>
    <x v="1"/>
    <x v="0"/>
    <x v="2"/>
    <n v="0"/>
    <n v="2.2000000000000002"/>
  </r>
  <r>
    <s v="2023-09"/>
    <x v="10"/>
    <x v="10"/>
    <x v="8"/>
    <x v="18"/>
    <x v="1"/>
    <x v="5"/>
    <x v="0"/>
    <x v="1"/>
    <x v="4"/>
    <n v="0"/>
    <n v="2.6"/>
  </r>
  <r>
    <s v="2023-10"/>
    <x v="2"/>
    <x v="2"/>
    <x v="4"/>
    <x v="4"/>
    <x v="4"/>
    <x v="1"/>
    <x v="0"/>
    <x v="8"/>
    <x v="0"/>
    <n v="0"/>
    <n v="3.6"/>
  </r>
  <r>
    <s v="2023-01"/>
    <x v="4"/>
    <x v="4"/>
    <x v="9"/>
    <x v="14"/>
    <x v="0"/>
    <x v="3"/>
    <x v="1"/>
    <x v="1"/>
    <x v="4"/>
    <n v="0"/>
    <n v="2.2000000000000002"/>
  </r>
  <r>
    <s v="2023-10"/>
    <x v="2"/>
    <x v="2"/>
    <x v="7"/>
    <x v="9"/>
    <x v="2"/>
    <x v="2"/>
    <x v="1"/>
    <x v="0"/>
    <x v="2"/>
    <n v="0"/>
    <n v="2.8"/>
  </r>
  <r>
    <s v="2023-02"/>
    <x v="6"/>
    <x v="6"/>
    <x v="5"/>
    <x v="5"/>
    <x v="2"/>
    <x v="2"/>
    <x v="1"/>
    <x v="0"/>
    <x v="0"/>
    <n v="0"/>
    <n v="1.9"/>
  </r>
  <r>
    <s v="2023-05"/>
    <x v="7"/>
    <x v="7"/>
    <x v="5"/>
    <x v="6"/>
    <x v="1"/>
    <x v="4"/>
    <x v="0"/>
    <x v="0"/>
    <x v="0"/>
    <n v="1"/>
    <n v="4.2"/>
  </r>
  <r>
    <s v="2023-03"/>
    <x v="5"/>
    <x v="5"/>
    <x v="9"/>
    <x v="14"/>
    <x v="0"/>
    <x v="3"/>
    <x v="0"/>
    <x v="8"/>
    <x v="8"/>
    <n v="0"/>
    <n v="3.6"/>
  </r>
  <r>
    <s v="2023-12"/>
    <x v="9"/>
    <x v="9"/>
    <x v="0"/>
    <x v="12"/>
    <x v="1"/>
    <x v="1"/>
    <x v="0"/>
    <x v="0"/>
    <x v="0"/>
    <n v="0"/>
    <n v="2.5"/>
  </r>
  <r>
    <s v="2023-05"/>
    <x v="7"/>
    <x v="7"/>
    <x v="5"/>
    <x v="5"/>
    <x v="4"/>
    <x v="3"/>
    <x v="1"/>
    <x v="1"/>
    <x v="1"/>
    <n v="0"/>
    <n v="2.5"/>
  </r>
  <r>
    <s v="2023-02"/>
    <x v="6"/>
    <x v="6"/>
    <x v="5"/>
    <x v="5"/>
    <x v="0"/>
    <x v="2"/>
    <x v="0"/>
    <x v="1"/>
    <x v="1"/>
    <n v="0"/>
    <n v="4"/>
  </r>
  <r>
    <s v="2023-02"/>
    <x v="6"/>
    <x v="6"/>
    <x v="9"/>
    <x v="14"/>
    <x v="3"/>
    <x v="5"/>
    <x v="0"/>
    <x v="1"/>
    <x v="1"/>
    <n v="0"/>
    <n v="3.2"/>
  </r>
  <r>
    <s v="2023-05"/>
    <x v="7"/>
    <x v="7"/>
    <x v="1"/>
    <x v="1"/>
    <x v="3"/>
    <x v="5"/>
    <x v="0"/>
    <x v="0"/>
    <x v="0"/>
    <n v="0"/>
    <n v="1.4"/>
  </r>
  <r>
    <s v="2023-08"/>
    <x v="3"/>
    <x v="3"/>
    <x v="8"/>
    <x v="10"/>
    <x v="0"/>
    <x v="2"/>
    <x v="1"/>
    <x v="8"/>
    <x v="8"/>
    <n v="0"/>
    <n v="3.1"/>
  </r>
  <r>
    <s v="2023-08"/>
    <x v="3"/>
    <x v="3"/>
    <x v="8"/>
    <x v="10"/>
    <x v="1"/>
    <x v="4"/>
    <x v="0"/>
    <x v="7"/>
    <x v="2"/>
    <n v="0"/>
    <n v="4.5"/>
  </r>
  <r>
    <s v="2023-11"/>
    <x v="11"/>
    <x v="11"/>
    <x v="5"/>
    <x v="5"/>
    <x v="1"/>
    <x v="5"/>
    <x v="0"/>
    <x v="1"/>
    <x v="1"/>
    <n v="0"/>
    <n v="3.7"/>
  </r>
  <r>
    <s v="2023-06"/>
    <x v="1"/>
    <x v="1"/>
    <x v="8"/>
    <x v="18"/>
    <x v="3"/>
    <x v="4"/>
    <x v="0"/>
    <x v="0"/>
    <x v="0"/>
    <n v="1"/>
    <n v="3"/>
  </r>
  <r>
    <s v="2023-05"/>
    <x v="7"/>
    <x v="7"/>
    <x v="7"/>
    <x v="9"/>
    <x v="3"/>
    <x v="0"/>
    <x v="1"/>
    <x v="7"/>
    <x v="1"/>
    <n v="0"/>
    <n v="3.1"/>
  </r>
  <r>
    <s v="2023-09"/>
    <x v="10"/>
    <x v="10"/>
    <x v="2"/>
    <x v="19"/>
    <x v="0"/>
    <x v="1"/>
    <x v="0"/>
    <x v="4"/>
    <x v="0"/>
    <n v="0"/>
    <n v="4.3"/>
  </r>
  <r>
    <s v="2023-11"/>
    <x v="11"/>
    <x v="11"/>
    <x v="0"/>
    <x v="12"/>
    <x v="5"/>
    <x v="0"/>
    <x v="0"/>
    <x v="4"/>
    <x v="6"/>
    <n v="1"/>
    <n v="0.8"/>
  </r>
  <r>
    <s v="2023-03"/>
    <x v="5"/>
    <x v="5"/>
    <x v="8"/>
    <x v="10"/>
    <x v="0"/>
    <x v="5"/>
    <x v="0"/>
    <x v="2"/>
    <x v="8"/>
    <n v="0"/>
    <n v="2.9"/>
  </r>
  <r>
    <s v="2023-12"/>
    <x v="9"/>
    <x v="9"/>
    <x v="7"/>
    <x v="9"/>
    <x v="4"/>
    <x v="2"/>
    <x v="1"/>
    <x v="7"/>
    <x v="2"/>
    <n v="0"/>
    <n v="1.8"/>
  </r>
  <r>
    <s v="2023-03"/>
    <x v="5"/>
    <x v="5"/>
    <x v="2"/>
    <x v="19"/>
    <x v="5"/>
    <x v="4"/>
    <x v="0"/>
    <x v="2"/>
    <x v="3"/>
    <n v="0"/>
    <n v="3.3"/>
  </r>
  <r>
    <s v="2023-11"/>
    <x v="11"/>
    <x v="11"/>
    <x v="1"/>
    <x v="1"/>
    <x v="2"/>
    <x v="1"/>
    <x v="1"/>
    <x v="5"/>
    <x v="5"/>
    <n v="0"/>
    <n v="5.5"/>
  </r>
  <r>
    <s v="2023-08"/>
    <x v="3"/>
    <x v="3"/>
    <x v="1"/>
    <x v="1"/>
    <x v="4"/>
    <x v="0"/>
    <x v="0"/>
    <x v="7"/>
    <x v="2"/>
    <n v="0"/>
    <n v="3.9"/>
  </r>
  <r>
    <s v="2023-10"/>
    <x v="2"/>
    <x v="2"/>
    <x v="4"/>
    <x v="11"/>
    <x v="5"/>
    <x v="2"/>
    <x v="1"/>
    <x v="7"/>
    <x v="1"/>
    <n v="0"/>
    <n v="5.0999999999999996"/>
  </r>
  <r>
    <s v="2023-07"/>
    <x v="8"/>
    <x v="8"/>
    <x v="9"/>
    <x v="14"/>
    <x v="0"/>
    <x v="2"/>
    <x v="0"/>
    <x v="2"/>
    <x v="3"/>
    <n v="0"/>
    <n v="3.5"/>
  </r>
  <r>
    <s v="2023-02"/>
    <x v="6"/>
    <x v="6"/>
    <x v="0"/>
    <x v="12"/>
    <x v="5"/>
    <x v="1"/>
    <x v="1"/>
    <x v="7"/>
    <x v="2"/>
    <n v="0"/>
    <n v="1.2"/>
  </r>
  <r>
    <s v="2023-01"/>
    <x v="4"/>
    <x v="4"/>
    <x v="5"/>
    <x v="5"/>
    <x v="4"/>
    <x v="1"/>
    <x v="0"/>
    <x v="7"/>
    <x v="2"/>
    <n v="0"/>
    <n v="2.9"/>
  </r>
  <r>
    <s v="2023-11"/>
    <x v="11"/>
    <x v="11"/>
    <x v="3"/>
    <x v="15"/>
    <x v="3"/>
    <x v="1"/>
    <x v="1"/>
    <x v="2"/>
    <x v="3"/>
    <n v="1"/>
    <n v="4"/>
  </r>
  <r>
    <s v="2023-05"/>
    <x v="7"/>
    <x v="7"/>
    <x v="3"/>
    <x v="3"/>
    <x v="1"/>
    <x v="2"/>
    <x v="1"/>
    <x v="1"/>
    <x v="1"/>
    <n v="0"/>
    <n v="3.8"/>
  </r>
  <r>
    <s v="2023-04"/>
    <x v="0"/>
    <x v="0"/>
    <x v="4"/>
    <x v="11"/>
    <x v="0"/>
    <x v="0"/>
    <x v="1"/>
    <x v="8"/>
    <x v="6"/>
    <n v="1"/>
    <n v="2.2000000000000002"/>
  </r>
  <r>
    <s v="2023-04"/>
    <x v="0"/>
    <x v="0"/>
    <x v="8"/>
    <x v="18"/>
    <x v="5"/>
    <x v="0"/>
    <x v="1"/>
    <x v="8"/>
    <x v="6"/>
    <n v="0"/>
    <n v="4.9000000000000004"/>
  </r>
  <r>
    <s v="2023-11"/>
    <x v="11"/>
    <x v="11"/>
    <x v="1"/>
    <x v="16"/>
    <x v="2"/>
    <x v="4"/>
    <x v="1"/>
    <x v="7"/>
    <x v="1"/>
    <n v="1"/>
    <n v="2.1"/>
  </r>
  <r>
    <s v="2023-12"/>
    <x v="9"/>
    <x v="9"/>
    <x v="9"/>
    <x v="17"/>
    <x v="4"/>
    <x v="5"/>
    <x v="0"/>
    <x v="8"/>
    <x v="8"/>
    <n v="0"/>
    <n v="2.7"/>
  </r>
  <r>
    <s v="2023-04"/>
    <x v="0"/>
    <x v="0"/>
    <x v="6"/>
    <x v="7"/>
    <x v="4"/>
    <x v="1"/>
    <x v="1"/>
    <x v="8"/>
    <x v="6"/>
    <n v="1"/>
    <n v="2.5"/>
  </r>
  <r>
    <s v="2023-02"/>
    <x v="6"/>
    <x v="6"/>
    <x v="4"/>
    <x v="11"/>
    <x v="1"/>
    <x v="0"/>
    <x v="1"/>
    <x v="0"/>
    <x v="0"/>
    <n v="1"/>
    <n v="2.9"/>
  </r>
  <r>
    <s v="2023-12"/>
    <x v="9"/>
    <x v="9"/>
    <x v="9"/>
    <x v="17"/>
    <x v="3"/>
    <x v="1"/>
    <x v="1"/>
    <x v="10"/>
    <x v="9"/>
    <n v="1"/>
    <n v="3.3"/>
  </r>
  <r>
    <s v="2023-04"/>
    <x v="0"/>
    <x v="0"/>
    <x v="9"/>
    <x v="17"/>
    <x v="0"/>
    <x v="4"/>
    <x v="0"/>
    <x v="3"/>
    <x v="4"/>
    <n v="0"/>
    <n v="1.9"/>
  </r>
  <r>
    <s v="2023-01"/>
    <x v="4"/>
    <x v="4"/>
    <x v="8"/>
    <x v="18"/>
    <x v="3"/>
    <x v="2"/>
    <x v="0"/>
    <x v="2"/>
    <x v="8"/>
    <n v="0"/>
    <n v="2.6"/>
  </r>
  <r>
    <s v="2023-05"/>
    <x v="7"/>
    <x v="7"/>
    <x v="8"/>
    <x v="10"/>
    <x v="5"/>
    <x v="1"/>
    <x v="0"/>
    <x v="8"/>
    <x v="0"/>
    <n v="0"/>
    <n v="3.1"/>
  </r>
  <r>
    <s v="2023-03"/>
    <x v="5"/>
    <x v="5"/>
    <x v="0"/>
    <x v="12"/>
    <x v="4"/>
    <x v="5"/>
    <x v="0"/>
    <x v="4"/>
    <x v="6"/>
    <n v="0"/>
    <n v="3.2"/>
  </r>
  <r>
    <s v="2023-09"/>
    <x v="10"/>
    <x v="10"/>
    <x v="3"/>
    <x v="3"/>
    <x v="3"/>
    <x v="2"/>
    <x v="1"/>
    <x v="4"/>
    <x v="0"/>
    <n v="0"/>
    <n v="1.9"/>
  </r>
  <r>
    <s v="2023-12"/>
    <x v="9"/>
    <x v="9"/>
    <x v="3"/>
    <x v="15"/>
    <x v="2"/>
    <x v="0"/>
    <x v="0"/>
    <x v="0"/>
    <x v="0"/>
    <n v="1"/>
    <n v="3"/>
  </r>
  <r>
    <s v="2023-03"/>
    <x v="5"/>
    <x v="5"/>
    <x v="4"/>
    <x v="4"/>
    <x v="4"/>
    <x v="0"/>
    <x v="0"/>
    <x v="0"/>
    <x v="2"/>
    <n v="0"/>
    <n v="3.9"/>
  </r>
  <r>
    <s v="2023-01"/>
    <x v="4"/>
    <x v="4"/>
    <x v="0"/>
    <x v="0"/>
    <x v="5"/>
    <x v="2"/>
    <x v="0"/>
    <x v="0"/>
    <x v="0"/>
    <n v="0"/>
    <n v="1.3"/>
  </r>
  <r>
    <s v="2023-12"/>
    <x v="9"/>
    <x v="9"/>
    <x v="6"/>
    <x v="8"/>
    <x v="0"/>
    <x v="4"/>
    <x v="1"/>
    <x v="12"/>
    <x v="11"/>
    <n v="0"/>
    <n v="2.2999999999999998"/>
  </r>
  <r>
    <s v="2023-08"/>
    <x v="3"/>
    <x v="3"/>
    <x v="8"/>
    <x v="10"/>
    <x v="0"/>
    <x v="5"/>
    <x v="1"/>
    <x v="3"/>
    <x v="5"/>
    <n v="0"/>
    <n v="3.5"/>
  </r>
  <r>
    <s v="2023-06"/>
    <x v="1"/>
    <x v="1"/>
    <x v="3"/>
    <x v="3"/>
    <x v="5"/>
    <x v="2"/>
    <x v="0"/>
    <x v="7"/>
    <x v="1"/>
    <n v="0"/>
    <n v="4.3"/>
  </r>
  <r>
    <s v="2023-01"/>
    <x v="4"/>
    <x v="4"/>
    <x v="4"/>
    <x v="11"/>
    <x v="2"/>
    <x v="0"/>
    <x v="1"/>
    <x v="4"/>
    <x v="0"/>
    <n v="0"/>
    <n v="2.6"/>
  </r>
  <r>
    <s v="2023-11"/>
    <x v="11"/>
    <x v="11"/>
    <x v="3"/>
    <x v="3"/>
    <x v="0"/>
    <x v="0"/>
    <x v="0"/>
    <x v="2"/>
    <x v="8"/>
    <n v="0"/>
    <n v="3.7"/>
  </r>
  <r>
    <s v="2023-02"/>
    <x v="6"/>
    <x v="6"/>
    <x v="1"/>
    <x v="1"/>
    <x v="4"/>
    <x v="5"/>
    <x v="1"/>
    <x v="3"/>
    <x v="4"/>
    <n v="0"/>
    <n v="2.4"/>
  </r>
  <r>
    <s v="2023-03"/>
    <x v="5"/>
    <x v="5"/>
    <x v="2"/>
    <x v="2"/>
    <x v="4"/>
    <x v="2"/>
    <x v="0"/>
    <x v="3"/>
    <x v="4"/>
    <n v="0"/>
    <n v="1.2"/>
  </r>
  <r>
    <s v="2023-04"/>
    <x v="0"/>
    <x v="0"/>
    <x v="4"/>
    <x v="11"/>
    <x v="2"/>
    <x v="4"/>
    <x v="1"/>
    <x v="4"/>
    <x v="6"/>
    <n v="0"/>
    <n v="1.8"/>
  </r>
  <r>
    <s v="2023-11"/>
    <x v="11"/>
    <x v="11"/>
    <x v="0"/>
    <x v="12"/>
    <x v="2"/>
    <x v="0"/>
    <x v="1"/>
    <x v="1"/>
    <x v="1"/>
    <n v="0"/>
    <n v="3.5"/>
  </r>
  <r>
    <s v="2023-04"/>
    <x v="0"/>
    <x v="0"/>
    <x v="1"/>
    <x v="16"/>
    <x v="2"/>
    <x v="3"/>
    <x v="1"/>
    <x v="0"/>
    <x v="2"/>
    <n v="0"/>
    <n v="2.5"/>
  </r>
  <r>
    <s v="2023-09"/>
    <x v="10"/>
    <x v="10"/>
    <x v="6"/>
    <x v="7"/>
    <x v="3"/>
    <x v="1"/>
    <x v="0"/>
    <x v="2"/>
    <x v="3"/>
    <n v="0"/>
    <n v="1.8"/>
  </r>
  <r>
    <s v="2023-05"/>
    <x v="7"/>
    <x v="7"/>
    <x v="2"/>
    <x v="2"/>
    <x v="2"/>
    <x v="0"/>
    <x v="0"/>
    <x v="8"/>
    <x v="6"/>
    <n v="0"/>
    <n v="3.2"/>
  </r>
  <r>
    <s v="2023-10"/>
    <x v="2"/>
    <x v="2"/>
    <x v="6"/>
    <x v="8"/>
    <x v="1"/>
    <x v="3"/>
    <x v="0"/>
    <x v="3"/>
    <x v="4"/>
    <n v="1"/>
    <n v="2.9"/>
  </r>
  <r>
    <s v="2023-09"/>
    <x v="10"/>
    <x v="10"/>
    <x v="8"/>
    <x v="10"/>
    <x v="2"/>
    <x v="0"/>
    <x v="0"/>
    <x v="3"/>
    <x v="5"/>
    <n v="0"/>
    <n v="3.4"/>
  </r>
  <r>
    <s v="2023-12"/>
    <x v="9"/>
    <x v="9"/>
    <x v="1"/>
    <x v="1"/>
    <x v="2"/>
    <x v="0"/>
    <x v="0"/>
    <x v="4"/>
    <x v="6"/>
    <n v="0"/>
    <n v="3.3"/>
  </r>
  <r>
    <s v="2023-02"/>
    <x v="6"/>
    <x v="6"/>
    <x v="0"/>
    <x v="12"/>
    <x v="4"/>
    <x v="2"/>
    <x v="0"/>
    <x v="1"/>
    <x v="1"/>
    <n v="0"/>
    <n v="3.9"/>
  </r>
  <r>
    <s v="2023-09"/>
    <x v="10"/>
    <x v="10"/>
    <x v="4"/>
    <x v="4"/>
    <x v="5"/>
    <x v="4"/>
    <x v="1"/>
    <x v="7"/>
    <x v="2"/>
    <n v="0"/>
    <n v="4"/>
  </r>
  <r>
    <s v="2023-07"/>
    <x v="8"/>
    <x v="8"/>
    <x v="3"/>
    <x v="15"/>
    <x v="0"/>
    <x v="2"/>
    <x v="1"/>
    <x v="8"/>
    <x v="8"/>
    <n v="1"/>
    <n v="1.6"/>
  </r>
  <r>
    <s v="2023-01"/>
    <x v="4"/>
    <x v="4"/>
    <x v="7"/>
    <x v="13"/>
    <x v="2"/>
    <x v="0"/>
    <x v="1"/>
    <x v="3"/>
    <x v="4"/>
    <n v="0"/>
    <n v="3.1"/>
  </r>
  <r>
    <s v="2023-08"/>
    <x v="3"/>
    <x v="3"/>
    <x v="6"/>
    <x v="7"/>
    <x v="5"/>
    <x v="5"/>
    <x v="0"/>
    <x v="1"/>
    <x v="1"/>
    <n v="0"/>
    <n v="2.4"/>
  </r>
  <r>
    <s v="2023-07"/>
    <x v="8"/>
    <x v="8"/>
    <x v="5"/>
    <x v="6"/>
    <x v="1"/>
    <x v="1"/>
    <x v="0"/>
    <x v="5"/>
    <x v="5"/>
    <n v="0"/>
    <n v="3.5"/>
  </r>
  <r>
    <s v="2023-11"/>
    <x v="11"/>
    <x v="11"/>
    <x v="4"/>
    <x v="11"/>
    <x v="3"/>
    <x v="5"/>
    <x v="1"/>
    <x v="4"/>
    <x v="0"/>
    <n v="0"/>
    <n v="2.8"/>
  </r>
  <r>
    <s v="2023-03"/>
    <x v="5"/>
    <x v="5"/>
    <x v="0"/>
    <x v="0"/>
    <x v="5"/>
    <x v="0"/>
    <x v="0"/>
    <x v="0"/>
    <x v="1"/>
    <n v="0"/>
    <n v="4"/>
  </r>
  <r>
    <s v="2023-03"/>
    <x v="5"/>
    <x v="5"/>
    <x v="3"/>
    <x v="15"/>
    <x v="5"/>
    <x v="4"/>
    <x v="0"/>
    <x v="3"/>
    <x v="4"/>
    <n v="0"/>
    <n v="3.2"/>
  </r>
  <r>
    <s v="2023-05"/>
    <x v="7"/>
    <x v="7"/>
    <x v="3"/>
    <x v="15"/>
    <x v="3"/>
    <x v="1"/>
    <x v="1"/>
    <x v="2"/>
    <x v="8"/>
    <n v="1"/>
    <n v="2.2000000000000002"/>
  </r>
  <r>
    <s v="2023-09"/>
    <x v="10"/>
    <x v="10"/>
    <x v="2"/>
    <x v="19"/>
    <x v="1"/>
    <x v="5"/>
    <x v="1"/>
    <x v="10"/>
    <x v="3"/>
    <n v="1"/>
    <n v="1.1000000000000001"/>
  </r>
  <r>
    <s v="2023-05"/>
    <x v="7"/>
    <x v="7"/>
    <x v="5"/>
    <x v="6"/>
    <x v="2"/>
    <x v="5"/>
    <x v="0"/>
    <x v="4"/>
    <x v="6"/>
    <n v="0"/>
    <n v="2.9"/>
  </r>
  <r>
    <s v="2023-07"/>
    <x v="8"/>
    <x v="8"/>
    <x v="6"/>
    <x v="8"/>
    <x v="4"/>
    <x v="1"/>
    <x v="1"/>
    <x v="10"/>
    <x v="3"/>
    <n v="0"/>
    <n v="4.7"/>
  </r>
  <r>
    <s v="2023-09"/>
    <x v="10"/>
    <x v="10"/>
    <x v="7"/>
    <x v="13"/>
    <x v="4"/>
    <x v="4"/>
    <x v="0"/>
    <x v="5"/>
    <x v="5"/>
    <n v="1"/>
    <n v="3.8"/>
  </r>
  <r>
    <s v="2023-10"/>
    <x v="2"/>
    <x v="2"/>
    <x v="8"/>
    <x v="18"/>
    <x v="4"/>
    <x v="2"/>
    <x v="1"/>
    <x v="10"/>
    <x v="3"/>
    <n v="0"/>
    <n v="1.8"/>
  </r>
  <r>
    <s v="2023-06"/>
    <x v="1"/>
    <x v="1"/>
    <x v="6"/>
    <x v="7"/>
    <x v="3"/>
    <x v="3"/>
    <x v="1"/>
    <x v="0"/>
    <x v="0"/>
    <n v="1"/>
    <n v="3.9"/>
  </r>
  <r>
    <s v="2023-11"/>
    <x v="11"/>
    <x v="11"/>
    <x v="8"/>
    <x v="18"/>
    <x v="1"/>
    <x v="2"/>
    <x v="0"/>
    <x v="7"/>
    <x v="2"/>
    <n v="0"/>
    <n v="2.6"/>
  </r>
  <r>
    <s v="2023-08"/>
    <x v="3"/>
    <x v="3"/>
    <x v="7"/>
    <x v="9"/>
    <x v="2"/>
    <x v="4"/>
    <x v="0"/>
    <x v="7"/>
    <x v="2"/>
    <n v="0"/>
    <n v="3.4"/>
  </r>
  <r>
    <s v="2023-02"/>
    <x v="6"/>
    <x v="6"/>
    <x v="3"/>
    <x v="3"/>
    <x v="3"/>
    <x v="5"/>
    <x v="1"/>
    <x v="4"/>
    <x v="0"/>
    <n v="0"/>
    <n v="3.9"/>
  </r>
  <r>
    <s v="2023-02"/>
    <x v="6"/>
    <x v="6"/>
    <x v="9"/>
    <x v="17"/>
    <x v="0"/>
    <x v="1"/>
    <x v="0"/>
    <x v="0"/>
    <x v="2"/>
    <n v="1"/>
    <n v="3.4"/>
  </r>
  <r>
    <s v="2023-10"/>
    <x v="2"/>
    <x v="2"/>
    <x v="0"/>
    <x v="12"/>
    <x v="2"/>
    <x v="4"/>
    <x v="0"/>
    <x v="8"/>
    <x v="8"/>
    <n v="0"/>
    <n v="3.2"/>
  </r>
  <r>
    <s v="2023-03"/>
    <x v="5"/>
    <x v="5"/>
    <x v="7"/>
    <x v="9"/>
    <x v="5"/>
    <x v="5"/>
    <x v="1"/>
    <x v="1"/>
    <x v="1"/>
    <n v="0"/>
    <n v="1.3"/>
  </r>
  <r>
    <s v="2023-09"/>
    <x v="10"/>
    <x v="10"/>
    <x v="2"/>
    <x v="2"/>
    <x v="5"/>
    <x v="3"/>
    <x v="1"/>
    <x v="8"/>
    <x v="8"/>
    <n v="0"/>
    <n v="2.5"/>
  </r>
  <r>
    <s v="2023-06"/>
    <x v="1"/>
    <x v="1"/>
    <x v="4"/>
    <x v="11"/>
    <x v="3"/>
    <x v="1"/>
    <x v="0"/>
    <x v="3"/>
    <x v="4"/>
    <n v="0"/>
    <n v="5.4"/>
  </r>
  <r>
    <s v="2023-06"/>
    <x v="1"/>
    <x v="1"/>
    <x v="2"/>
    <x v="19"/>
    <x v="0"/>
    <x v="0"/>
    <x v="1"/>
    <x v="1"/>
    <x v="1"/>
    <n v="0"/>
    <n v="3.4"/>
  </r>
  <r>
    <s v="2023-10"/>
    <x v="2"/>
    <x v="2"/>
    <x v="1"/>
    <x v="1"/>
    <x v="2"/>
    <x v="0"/>
    <x v="1"/>
    <x v="7"/>
    <x v="2"/>
    <n v="0"/>
    <n v="2.9"/>
  </r>
  <r>
    <s v="2023-11"/>
    <x v="11"/>
    <x v="11"/>
    <x v="0"/>
    <x v="12"/>
    <x v="3"/>
    <x v="5"/>
    <x v="1"/>
    <x v="1"/>
    <x v="1"/>
    <n v="0"/>
    <n v="2.4"/>
  </r>
  <r>
    <s v="2023-11"/>
    <x v="11"/>
    <x v="11"/>
    <x v="8"/>
    <x v="18"/>
    <x v="5"/>
    <x v="0"/>
    <x v="1"/>
    <x v="1"/>
    <x v="1"/>
    <n v="0"/>
    <n v="4.5999999999999996"/>
  </r>
  <r>
    <s v="2023-02"/>
    <x v="6"/>
    <x v="6"/>
    <x v="6"/>
    <x v="7"/>
    <x v="3"/>
    <x v="1"/>
    <x v="1"/>
    <x v="4"/>
    <x v="2"/>
    <n v="0"/>
    <n v="3.8"/>
  </r>
  <r>
    <s v="2023-10"/>
    <x v="2"/>
    <x v="2"/>
    <x v="2"/>
    <x v="2"/>
    <x v="5"/>
    <x v="1"/>
    <x v="1"/>
    <x v="8"/>
    <x v="6"/>
    <n v="0"/>
    <n v="4.4000000000000004"/>
  </r>
  <r>
    <s v="2023-04"/>
    <x v="0"/>
    <x v="0"/>
    <x v="9"/>
    <x v="17"/>
    <x v="3"/>
    <x v="3"/>
    <x v="0"/>
    <x v="7"/>
    <x v="2"/>
    <n v="0"/>
    <n v="1.4"/>
  </r>
  <r>
    <s v="2023-03"/>
    <x v="5"/>
    <x v="5"/>
    <x v="9"/>
    <x v="14"/>
    <x v="1"/>
    <x v="1"/>
    <x v="0"/>
    <x v="4"/>
    <x v="6"/>
    <n v="1"/>
    <n v="3.8"/>
  </r>
  <r>
    <s v="2023-03"/>
    <x v="5"/>
    <x v="5"/>
    <x v="1"/>
    <x v="16"/>
    <x v="5"/>
    <x v="4"/>
    <x v="1"/>
    <x v="7"/>
    <x v="2"/>
    <n v="0"/>
    <n v="4.0999999999999996"/>
  </r>
  <r>
    <s v="2023-06"/>
    <x v="1"/>
    <x v="1"/>
    <x v="1"/>
    <x v="1"/>
    <x v="3"/>
    <x v="3"/>
    <x v="0"/>
    <x v="7"/>
    <x v="2"/>
    <n v="0"/>
    <n v="2.6"/>
  </r>
  <r>
    <s v="2023-10"/>
    <x v="2"/>
    <x v="2"/>
    <x v="4"/>
    <x v="11"/>
    <x v="2"/>
    <x v="3"/>
    <x v="1"/>
    <x v="3"/>
    <x v="4"/>
    <n v="0"/>
    <n v="4.5"/>
  </r>
  <r>
    <s v="2023-12"/>
    <x v="9"/>
    <x v="9"/>
    <x v="1"/>
    <x v="1"/>
    <x v="1"/>
    <x v="3"/>
    <x v="1"/>
    <x v="4"/>
    <x v="2"/>
    <n v="1"/>
    <n v="3.2"/>
  </r>
  <r>
    <s v="2023-03"/>
    <x v="5"/>
    <x v="5"/>
    <x v="3"/>
    <x v="15"/>
    <x v="1"/>
    <x v="0"/>
    <x v="0"/>
    <x v="8"/>
    <x v="6"/>
    <n v="1"/>
    <n v="3.4"/>
  </r>
  <r>
    <s v="2023-08"/>
    <x v="3"/>
    <x v="3"/>
    <x v="7"/>
    <x v="13"/>
    <x v="5"/>
    <x v="1"/>
    <x v="0"/>
    <x v="1"/>
    <x v="5"/>
    <n v="0"/>
    <n v="4.2"/>
  </r>
  <r>
    <s v="2023-10"/>
    <x v="2"/>
    <x v="2"/>
    <x v="8"/>
    <x v="10"/>
    <x v="5"/>
    <x v="5"/>
    <x v="0"/>
    <x v="0"/>
    <x v="2"/>
    <n v="0"/>
    <n v="2.5"/>
  </r>
  <r>
    <s v="2023-08"/>
    <x v="3"/>
    <x v="3"/>
    <x v="1"/>
    <x v="1"/>
    <x v="0"/>
    <x v="0"/>
    <x v="0"/>
    <x v="7"/>
    <x v="2"/>
    <n v="0"/>
    <n v="2.5"/>
  </r>
  <r>
    <s v="2023-08"/>
    <x v="3"/>
    <x v="3"/>
    <x v="3"/>
    <x v="15"/>
    <x v="2"/>
    <x v="0"/>
    <x v="1"/>
    <x v="7"/>
    <x v="2"/>
    <n v="0"/>
    <n v="2"/>
  </r>
  <r>
    <s v="2023-01"/>
    <x v="4"/>
    <x v="4"/>
    <x v="7"/>
    <x v="9"/>
    <x v="5"/>
    <x v="3"/>
    <x v="0"/>
    <x v="7"/>
    <x v="1"/>
    <n v="0"/>
    <n v="2.9"/>
  </r>
  <r>
    <s v="2023-01"/>
    <x v="4"/>
    <x v="4"/>
    <x v="9"/>
    <x v="17"/>
    <x v="1"/>
    <x v="5"/>
    <x v="1"/>
    <x v="9"/>
    <x v="8"/>
    <n v="1"/>
    <n v="2.6"/>
  </r>
  <r>
    <s v="2023-01"/>
    <x v="4"/>
    <x v="4"/>
    <x v="8"/>
    <x v="10"/>
    <x v="2"/>
    <x v="2"/>
    <x v="1"/>
    <x v="1"/>
    <x v="1"/>
    <n v="0"/>
    <n v="2.8"/>
  </r>
  <r>
    <s v="2023-04"/>
    <x v="0"/>
    <x v="0"/>
    <x v="8"/>
    <x v="10"/>
    <x v="2"/>
    <x v="5"/>
    <x v="1"/>
    <x v="0"/>
    <x v="0"/>
    <n v="1"/>
    <n v="3.3"/>
  </r>
  <r>
    <s v="2023-07"/>
    <x v="8"/>
    <x v="8"/>
    <x v="5"/>
    <x v="5"/>
    <x v="0"/>
    <x v="0"/>
    <x v="1"/>
    <x v="1"/>
    <x v="4"/>
    <n v="0"/>
    <n v="2.4"/>
  </r>
  <r>
    <s v="2023-03"/>
    <x v="5"/>
    <x v="5"/>
    <x v="7"/>
    <x v="9"/>
    <x v="5"/>
    <x v="0"/>
    <x v="1"/>
    <x v="8"/>
    <x v="6"/>
    <n v="2"/>
    <n v="2.5"/>
  </r>
  <r>
    <s v="2023-02"/>
    <x v="6"/>
    <x v="6"/>
    <x v="1"/>
    <x v="16"/>
    <x v="4"/>
    <x v="0"/>
    <x v="1"/>
    <x v="5"/>
    <x v="5"/>
    <n v="0"/>
    <n v="2.9"/>
  </r>
  <r>
    <s v="2023-09"/>
    <x v="10"/>
    <x v="10"/>
    <x v="6"/>
    <x v="8"/>
    <x v="3"/>
    <x v="5"/>
    <x v="0"/>
    <x v="1"/>
    <x v="1"/>
    <n v="0"/>
    <n v="1.9"/>
  </r>
  <r>
    <s v="2023-05"/>
    <x v="7"/>
    <x v="7"/>
    <x v="4"/>
    <x v="4"/>
    <x v="2"/>
    <x v="3"/>
    <x v="1"/>
    <x v="2"/>
    <x v="6"/>
    <n v="2"/>
    <n v="0"/>
  </r>
  <r>
    <s v="2023-02"/>
    <x v="6"/>
    <x v="6"/>
    <x v="8"/>
    <x v="18"/>
    <x v="3"/>
    <x v="0"/>
    <x v="0"/>
    <x v="7"/>
    <x v="2"/>
    <n v="0"/>
    <n v="3.6"/>
  </r>
  <r>
    <s v="2023-06"/>
    <x v="1"/>
    <x v="1"/>
    <x v="6"/>
    <x v="7"/>
    <x v="4"/>
    <x v="3"/>
    <x v="0"/>
    <x v="1"/>
    <x v="1"/>
    <n v="0"/>
    <n v="1.3"/>
  </r>
  <r>
    <s v="2023-07"/>
    <x v="8"/>
    <x v="8"/>
    <x v="9"/>
    <x v="17"/>
    <x v="0"/>
    <x v="5"/>
    <x v="1"/>
    <x v="0"/>
    <x v="0"/>
    <n v="1"/>
    <n v="3.1"/>
  </r>
  <r>
    <s v="2023-03"/>
    <x v="5"/>
    <x v="5"/>
    <x v="4"/>
    <x v="11"/>
    <x v="1"/>
    <x v="4"/>
    <x v="1"/>
    <x v="12"/>
    <x v="11"/>
    <n v="0"/>
    <n v="3"/>
  </r>
  <r>
    <s v="2023-12"/>
    <x v="9"/>
    <x v="9"/>
    <x v="1"/>
    <x v="16"/>
    <x v="5"/>
    <x v="2"/>
    <x v="1"/>
    <x v="5"/>
    <x v="5"/>
    <n v="0"/>
    <n v="3.6"/>
  </r>
  <r>
    <s v="2023-10"/>
    <x v="2"/>
    <x v="2"/>
    <x v="0"/>
    <x v="12"/>
    <x v="1"/>
    <x v="2"/>
    <x v="1"/>
    <x v="4"/>
    <x v="2"/>
    <n v="1"/>
    <n v="5.5"/>
  </r>
  <r>
    <s v="2023-08"/>
    <x v="3"/>
    <x v="3"/>
    <x v="7"/>
    <x v="9"/>
    <x v="3"/>
    <x v="3"/>
    <x v="1"/>
    <x v="2"/>
    <x v="3"/>
    <n v="0"/>
    <n v="3"/>
  </r>
  <r>
    <s v="2023-05"/>
    <x v="7"/>
    <x v="7"/>
    <x v="7"/>
    <x v="9"/>
    <x v="0"/>
    <x v="1"/>
    <x v="1"/>
    <x v="8"/>
    <x v="8"/>
    <n v="0"/>
    <n v="3.2"/>
  </r>
  <r>
    <s v="2023-01"/>
    <x v="4"/>
    <x v="4"/>
    <x v="5"/>
    <x v="6"/>
    <x v="1"/>
    <x v="2"/>
    <x v="0"/>
    <x v="2"/>
    <x v="3"/>
    <n v="0"/>
    <n v="5.2"/>
  </r>
  <r>
    <s v="2023-11"/>
    <x v="11"/>
    <x v="11"/>
    <x v="5"/>
    <x v="5"/>
    <x v="4"/>
    <x v="5"/>
    <x v="1"/>
    <x v="8"/>
    <x v="0"/>
    <n v="2"/>
    <n v="1.1000000000000001"/>
  </r>
  <r>
    <s v="2023-06"/>
    <x v="1"/>
    <x v="1"/>
    <x v="5"/>
    <x v="6"/>
    <x v="0"/>
    <x v="5"/>
    <x v="0"/>
    <x v="7"/>
    <x v="2"/>
    <n v="0"/>
    <n v="2.4"/>
  </r>
  <r>
    <s v="2023-01"/>
    <x v="4"/>
    <x v="4"/>
    <x v="9"/>
    <x v="17"/>
    <x v="1"/>
    <x v="2"/>
    <x v="0"/>
    <x v="7"/>
    <x v="2"/>
    <n v="1"/>
    <n v="1.7"/>
  </r>
  <r>
    <s v="2023-04"/>
    <x v="0"/>
    <x v="0"/>
    <x v="7"/>
    <x v="9"/>
    <x v="5"/>
    <x v="3"/>
    <x v="0"/>
    <x v="4"/>
    <x v="0"/>
    <n v="0"/>
    <n v="0.9"/>
  </r>
  <r>
    <s v="2023-10"/>
    <x v="2"/>
    <x v="2"/>
    <x v="8"/>
    <x v="18"/>
    <x v="2"/>
    <x v="2"/>
    <x v="1"/>
    <x v="7"/>
    <x v="1"/>
    <n v="0"/>
    <n v="2.6"/>
  </r>
  <r>
    <s v="2023-11"/>
    <x v="11"/>
    <x v="11"/>
    <x v="6"/>
    <x v="7"/>
    <x v="2"/>
    <x v="3"/>
    <x v="1"/>
    <x v="1"/>
    <x v="1"/>
    <n v="0"/>
    <n v="2.7"/>
  </r>
  <r>
    <s v="2023-01"/>
    <x v="4"/>
    <x v="4"/>
    <x v="8"/>
    <x v="10"/>
    <x v="0"/>
    <x v="3"/>
    <x v="1"/>
    <x v="1"/>
    <x v="1"/>
    <n v="0"/>
    <n v="2.4"/>
  </r>
  <r>
    <s v="2023-01"/>
    <x v="4"/>
    <x v="4"/>
    <x v="8"/>
    <x v="18"/>
    <x v="5"/>
    <x v="2"/>
    <x v="0"/>
    <x v="0"/>
    <x v="0"/>
    <n v="0"/>
    <n v="1.8"/>
  </r>
  <r>
    <s v="2023-07"/>
    <x v="8"/>
    <x v="8"/>
    <x v="4"/>
    <x v="4"/>
    <x v="5"/>
    <x v="0"/>
    <x v="0"/>
    <x v="8"/>
    <x v="6"/>
    <n v="0"/>
    <n v="1.3"/>
  </r>
  <r>
    <s v="2023-07"/>
    <x v="8"/>
    <x v="8"/>
    <x v="5"/>
    <x v="5"/>
    <x v="1"/>
    <x v="0"/>
    <x v="1"/>
    <x v="10"/>
    <x v="3"/>
    <n v="0"/>
    <n v="2.1"/>
  </r>
  <r>
    <s v="2023-06"/>
    <x v="1"/>
    <x v="1"/>
    <x v="4"/>
    <x v="4"/>
    <x v="0"/>
    <x v="0"/>
    <x v="1"/>
    <x v="4"/>
    <x v="0"/>
    <n v="1"/>
    <n v="4.9000000000000004"/>
  </r>
  <r>
    <s v="2023-11"/>
    <x v="11"/>
    <x v="11"/>
    <x v="0"/>
    <x v="0"/>
    <x v="5"/>
    <x v="3"/>
    <x v="0"/>
    <x v="3"/>
    <x v="4"/>
    <n v="0"/>
    <n v="4"/>
  </r>
  <r>
    <s v="2023-04"/>
    <x v="0"/>
    <x v="0"/>
    <x v="9"/>
    <x v="17"/>
    <x v="1"/>
    <x v="1"/>
    <x v="0"/>
    <x v="7"/>
    <x v="2"/>
    <n v="1"/>
    <n v="3.4"/>
  </r>
  <r>
    <s v="2023-06"/>
    <x v="1"/>
    <x v="1"/>
    <x v="7"/>
    <x v="13"/>
    <x v="0"/>
    <x v="1"/>
    <x v="1"/>
    <x v="7"/>
    <x v="2"/>
    <n v="1"/>
    <n v="3.7"/>
  </r>
  <r>
    <s v="2023-03"/>
    <x v="5"/>
    <x v="5"/>
    <x v="9"/>
    <x v="14"/>
    <x v="2"/>
    <x v="3"/>
    <x v="1"/>
    <x v="7"/>
    <x v="2"/>
    <n v="0"/>
    <n v="1.3"/>
  </r>
  <r>
    <s v="2023-07"/>
    <x v="8"/>
    <x v="8"/>
    <x v="1"/>
    <x v="1"/>
    <x v="0"/>
    <x v="4"/>
    <x v="1"/>
    <x v="7"/>
    <x v="2"/>
    <n v="0"/>
    <n v="2.5"/>
  </r>
  <r>
    <s v="2023-07"/>
    <x v="8"/>
    <x v="8"/>
    <x v="6"/>
    <x v="8"/>
    <x v="2"/>
    <x v="1"/>
    <x v="0"/>
    <x v="2"/>
    <x v="3"/>
    <n v="0"/>
    <n v="2.4"/>
  </r>
  <r>
    <s v="2023-05"/>
    <x v="7"/>
    <x v="7"/>
    <x v="7"/>
    <x v="9"/>
    <x v="1"/>
    <x v="4"/>
    <x v="0"/>
    <x v="4"/>
    <x v="0"/>
    <n v="0"/>
    <n v="2.6"/>
  </r>
  <r>
    <s v="2023-12"/>
    <x v="9"/>
    <x v="9"/>
    <x v="7"/>
    <x v="13"/>
    <x v="5"/>
    <x v="2"/>
    <x v="1"/>
    <x v="4"/>
    <x v="0"/>
    <n v="0"/>
    <n v="3.5"/>
  </r>
  <r>
    <s v="2023-03"/>
    <x v="5"/>
    <x v="5"/>
    <x v="7"/>
    <x v="9"/>
    <x v="2"/>
    <x v="3"/>
    <x v="1"/>
    <x v="4"/>
    <x v="6"/>
    <n v="1"/>
    <n v="4.0999999999999996"/>
  </r>
  <r>
    <s v="2023-08"/>
    <x v="3"/>
    <x v="3"/>
    <x v="8"/>
    <x v="18"/>
    <x v="4"/>
    <x v="0"/>
    <x v="0"/>
    <x v="7"/>
    <x v="1"/>
    <n v="0"/>
    <n v="3.3"/>
  </r>
  <r>
    <s v="2023-09"/>
    <x v="10"/>
    <x v="10"/>
    <x v="1"/>
    <x v="16"/>
    <x v="3"/>
    <x v="4"/>
    <x v="1"/>
    <x v="7"/>
    <x v="1"/>
    <n v="0"/>
    <n v="1.1000000000000001"/>
  </r>
  <r>
    <s v="2023-08"/>
    <x v="3"/>
    <x v="3"/>
    <x v="6"/>
    <x v="7"/>
    <x v="0"/>
    <x v="5"/>
    <x v="1"/>
    <x v="7"/>
    <x v="2"/>
    <n v="0"/>
    <n v="1.2"/>
  </r>
  <r>
    <s v="2023-03"/>
    <x v="5"/>
    <x v="5"/>
    <x v="6"/>
    <x v="8"/>
    <x v="0"/>
    <x v="3"/>
    <x v="0"/>
    <x v="7"/>
    <x v="1"/>
    <n v="1"/>
    <n v="0.8"/>
  </r>
  <r>
    <s v="2023-08"/>
    <x v="3"/>
    <x v="3"/>
    <x v="7"/>
    <x v="13"/>
    <x v="0"/>
    <x v="4"/>
    <x v="1"/>
    <x v="1"/>
    <x v="4"/>
    <n v="0"/>
    <n v="2.8"/>
  </r>
  <r>
    <s v="2023-05"/>
    <x v="7"/>
    <x v="7"/>
    <x v="5"/>
    <x v="6"/>
    <x v="3"/>
    <x v="4"/>
    <x v="1"/>
    <x v="0"/>
    <x v="0"/>
    <n v="0"/>
    <n v="4.2"/>
  </r>
  <r>
    <s v="2023-11"/>
    <x v="11"/>
    <x v="11"/>
    <x v="4"/>
    <x v="4"/>
    <x v="1"/>
    <x v="0"/>
    <x v="1"/>
    <x v="1"/>
    <x v="1"/>
    <n v="0"/>
    <n v="2.5"/>
  </r>
  <r>
    <s v="2023-06"/>
    <x v="1"/>
    <x v="1"/>
    <x v="8"/>
    <x v="18"/>
    <x v="3"/>
    <x v="3"/>
    <x v="1"/>
    <x v="1"/>
    <x v="4"/>
    <n v="0"/>
    <n v="4"/>
  </r>
  <r>
    <s v="2023-03"/>
    <x v="5"/>
    <x v="5"/>
    <x v="6"/>
    <x v="8"/>
    <x v="0"/>
    <x v="5"/>
    <x v="1"/>
    <x v="0"/>
    <x v="0"/>
    <n v="0"/>
    <n v="1.9"/>
  </r>
  <r>
    <s v="2023-02"/>
    <x v="6"/>
    <x v="6"/>
    <x v="8"/>
    <x v="10"/>
    <x v="1"/>
    <x v="4"/>
    <x v="1"/>
    <x v="8"/>
    <x v="6"/>
    <n v="1"/>
    <n v="3.5"/>
  </r>
  <r>
    <s v="2023-03"/>
    <x v="5"/>
    <x v="5"/>
    <x v="4"/>
    <x v="11"/>
    <x v="4"/>
    <x v="3"/>
    <x v="1"/>
    <x v="7"/>
    <x v="2"/>
    <n v="0"/>
    <n v="2.2000000000000002"/>
  </r>
  <r>
    <s v="2023-06"/>
    <x v="1"/>
    <x v="1"/>
    <x v="7"/>
    <x v="9"/>
    <x v="2"/>
    <x v="4"/>
    <x v="0"/>
    <x v="7"/>
    <x v="1"/>
    <n v="0"/>
    <n v="3.6"/>
  </r>
  <r>
    <s v="2023-12"/>
    <x v="9"/>
    <x v="9"/>
    <x v="1"/>
    <x v="16"/>
    <x v="3"/>
    <x v="1"/>
    <x v="0"/>
    <x v="7"/>
    <x v="1"/>
    <n v="0"/>
    <n v="2.2000000000000002"/>
  </r>
  <r>
    <s v="2023-09"/>
    <x v="10"/>
    <x v="10"/>
    <x v="8"/>
    <x v="10"/>
    <x v="3"/>
    <x v="0"/>
    <x v="1"/>
    <x v="0"/>
    <x v="0"/>
    <n v="0"/>
    <n v="4.0999999999999996"/>
  </r>
  <r>
    <s v="2023-09"/>
    <x v="10"/>
    <x v="10"/>
    <x v="1"/>
    <x v="1"/>
    <x v="4"/>
    <x v="0"/>
    <x v="1"/>
    <x v="4"/>
    <x v="2"/>
    <n v="0"/>
    <n v="3.2"/>
  </r>
  <r>
    <s v="2023-02"/>
    <x v="6"/>
    <x v="6"/>
    <x v="2"/>
    <x v="2"/>
    <x v="4"/>
    <x v="3"/>
    <x v="1"/>
    <x v="1"/>
    <x v="1"/>
    <n v="0"/>
    <n v="3.4"/>
  </r>
  <r>
    <s v="2023-06"/>
    <x v="1"/>
    <x v="1"/>
    <x v="7"/>
    <x v="9"/>
    <x v="2"/>
    <x v="1"/>
    <x v="1"/>
    <x v="1"/>
    <x v="1"/>
    <n v="0"/>
    <n v="4.3"/>
  </r>
  <r>
    <s v="2023-06"/>
    <x v="1"/>
    <x v="1"/>
    <x v="2"/>
    <x v="2"/>
    <x v="1"/>
    <x v="1"/>
    <x v="0"/>
    <x v="0"/>
    <x v="0"/>
    <n v="1"/>
    <n v="1.7"/>
  </r>
  <r>
    <s v="2023-09"/>
    <x v="10"/>
    <x v="10"/>
    <x v="0"/>
    <x v="12"/>
    <x v="3"/>
    <x v="0"/>
    <x v="0"/>
    <x v="10"/>
    <x v="8"/>
    <n v="0"/>
    <n v="3.1"/>
  </r>
  <r>
    <s v="2023-07"/>
    <x v="8"/>
    <x v="8"/>
    <x v="7"/>
    <x v="13"/>
    <x v="1"/>
    <x v="3"/>
    <x v="0"/>
    <x v="2"/>
    <x v="6"/>
    <n v="1"/>
    <n v="3.1"/>
  </r>
  <r>
    <s v="2023-10"/>
    <x v="2"/>
    <x v="2"/>
    <x v="6"/>
    <x v="8"/>
    <x v="2"/>
    <x v="2"/>
    <x v="1"/>
    <x v="3"/>
    <x v="5"/>
    <n v="0"/>
    <n v="2"/>
  </r>
  <r>
    <s v="2023-12"/>
    <x v="9"/>
    <x v="9"/>
    <x v="8"/>
    <x v="10"/>
    <x v="5"/>
    <x v="4"/>
    <x v="1"/>
    <x v="1"/>
    <x v="1"/>
    <n v="0"/>
    <n v="3.9"/>
  </r>
  <r>
    <s v="2023-07"/>
    <x v="8"/>
    <x v="8"/>
    <x v="2"/>
    <x v="2"/>
    <x v="5"/>
    <x v="1"/>
    <x v="1"/>
    <x v="7"/>
    <x v="2"/>
    <n v="1"/>
    <n v="3.8"/>
  </r>
  <r>
    <s v="2023-09"/>
    <x v="10"/>
    <x v="10"/>
    <x v="4"/>
    <x v="4"/>
    <x v="3"/>
    <x v="1"/>
    <x v="1"/>
    <x v="2"/>
    <x v="0"/>
    <n v="2"/>
    <n v="2.4"/>
  </r>
  <r>
    <s v="2023-08"/>
    <x v="3"/>
    <x v="3"/>
    <x v="0"/>
    <x v="0"/>
    <x v="1"/>
    <x v="3"/>
    <x v="1"/>
    <x v="3"/>
    <x v="4"/>
    <n v="0"/>
    <n v="2.2999999999999998"/>
  </r>
  <r>
    <s v="2023-09"/>
    <x v="10"/>
    <x v="10"/>
    <x v="6"/>
    <x v="8"/>
    <x v="4"/>
    <x v="4"/>
    <x v="0"/>
    <x v="8"/>
    <x v="8"/>
    <n v="0"/>
    <n v="2.8"/>
  </r>
  <r>
    <s v="2023-05"/>
    <x v="7"/>
    <x v="7"/>
    <x v="2"/>
    <x v="19"/>
    <x v="5"/>
    <x v="0"/>
    <x v="1"/>
    <x v="8"/>
    <x v="8"/>
    <n v="0"/>
    <n v="2.4"/>
  </r>
  <r>
    <s v="2023-04"/>
    <x v="0"/>
    <x v="0"/>
    <x v="9"/>
    <x v="14"/>
    <x v="2"/>
    <x v="1"/>
    <x v="1"/>
    <x v="10"/>
    <x v="3"/>
    <n v="0"/>
    <n v="3.2"/>
  </r>
  <r>
    <s v="2023-02"/>
    <x v="6"/>
    <x v="6"/>
    <x v="8"/>
    <x v="18"/>
    <x v="4"/>
    <x v="2"/>
    <x v="1"/>
    <x v="3"/>
    <x v="4"/>
    <n v="0"/>
    <n v="2.2999999999999998"/>
  </r>
  <r>
    <s v="2023-01"/>
    <x v="4"/>
    <x v="4"/>
    <x v="0"/>
    <x v="12"/>
    <x v="3"/>
    <x v="3"/>
    <x v="1"/>
    <x v="8"/>
    <x v="6"/>
    <n v="0"/>
    <n v="2.2999999999999998"/>
  </r>
  <r>
    <s v="2023-08"/>
    <x v="3"/>
    <x v="3"/>
    <x v="9"/>
    <x v="17"/>
    <x v="4"/>
    <x v="5"/>
    <x v="0"/>
    <x v="5"/>
    <x v="5"/>
    <n v="0"/>
    <n v="2.8"/>
  </r>
  <r>
    <s v="2023-01"/>
    <x v="4"/>
    <x v="4"/>
    <x v="1"/>
    <x v="1"/>
    <x v="5"/>
    <x v="3"/>
    <x v="0"/>
    <x v="8"/>
    <x v="8"/>
    <n v="0"/>
    <n v="3"/>
  </r>
  <r>
    <s v="2023-06"/>
    <x v="1"/>
    <x v="1"/>
    <x v="4"/>
    <x v="4"/>
    <x v="1"/>
    <x v="1"/>
    <x v="1"/>
    <x v="8"/>
    <x v="6"/>
    <n v="0"/>
    <n v="3"/>
  </r>
  <r>
    <s v="2023-10"/>
    <x v="2"/>
    <x v="2"/>
    <x v="5"/>
    <x v="5"/>
    <x v="2"/>
    <x v="5"/>
    <x v="1"/>
    <x v="2"/>
    <x v="8"/>
    <n v="0"/>
    <n v="3.2"/>
  </r>
  <r>
    <s v="2023-02"/>
    <x v="6"/>
    <x v="6"/>
    <x v="8"/>
    <x v="10"/>
    <x v="0"/>
    <x v="5"/>
    <x v="0"/>
    <x v="8"/>
    <x v="8"/>
    <n v="0"/>
    <n v="4.5"/>
  </r>
  <r>
    <s v="2023-05"/>
    <x v="7"/>
    <x v="7"/>
    <x v="0"/>
    <x v="12"/>
    <x v="1"/>
    <x v="2"/>
    <x v="1"/>
    <x v="0"/>
    <x v="0"/>
    <n v="0"/>
    <n v="2.7"/>
  </r>
  <r>
    <s v="2023-08"/>
    <x v="3"/>
    <x v="3"/>
    <x v="9"/>
    <x v="17"/>
    <x v="4"/>
    <x v="1"/>
    <x v="0"/>
    <x v="4"/>
    <x v="0"/>
    <n v="0"/>
    <n v="3.9"/>
  </r>
  <r>
    <s v="2023-09"/>
    <x v="10"/>
    <x v="10"/>
    <x v="4"/>
    <x v="4"/>
    <x v="1"/>
    <x v="2"/>
    <x v="1"/>
    <x v="0"/>
    <x v="1"/>
    <n v="0"/>
    <n v="3.7"/>
  </r>
  <r>
    <s v="2023-04"/>
    <x v="0"/>
    <x v="0"/>
    <x v="0"/>
    <x v="0"/>
    <x v="5"/>
    <x v="3"/>
    <x v="1"/>
    <x v="0"/>
    <x v="0"/>
    <n v="0"/>
    <n v="1.7"/>
  </r>
  <r>
    <s v="2023-10"/>
    <x v="2"/>
    <x v="2"/>
    <x v="1"/>
    <x v="1"/>
    <x v="4"/>
    <x v="4"/>
    <x v="1"/>
    <x v="5"/>
    <x v="5"/>
    <n v="0"/>
    <n v="1.8"/>
  </r>
  <r>
    <s v="2023-07"/>
    <x v="8"/>
    <x v="8"/>
    <x v="5"/>
    <x v="6"/>
    <x v="3"/>
    <x v="2"/>
    <x v="1"/>
    <x v="1"/>
    <x v="1"/>
    <n v="0"/>
    <n v="4.3"/>
  </r>
  <r>
    <s v="2023-05"/>
    <x v="7"/>
    <x v="7"/>
    <x v="7"/>
    <x v="9"/>
    <x v="5"/>
    <x v="4"/>
    <x v="0"/>
    <x v="2"/>
    <x v="6"/>
    <n v="1"/>
    <n v="2.4"/>
  </r>
  <r>
    <s v="2023-11"/>
    <x v="11"/>
    <x v="11"/>
    <x v="3"/>
    <x v="15"/>
    <x v="2"/>
    <x v="1"/>
    <x v="0"/>
    <x v="4"/>
    <x v="6"/>
    <n v="0"/>
    <n v="4.9000000000000004"/>
  </r>
  <r>
    <s v="2023-11"/>
    <x v="11"/>
    <x v="11"/>
    <x v="9"/>
    <x v="14"/>
    <x v="4"/>
    <x v="4"/>
    <x v="1"/>
    <x v="3"/>
    <x v="4"/>
    <n v="0"/>
    <n v="4"/>
  </r>
  <r>
    <s v="2023-01"/>
    <x v="4"/>
    <x v="4"/>
    <x v="8"/>
    <x v="18"/>
    <x v="4"/>
    <x v="1"/>
    <x v="1"/>
    <x v="7"/>
    <x v="2"/>
    <n v="0"/>
    <n v="2.2000000000000002"/>
  </r>
  <r>
    <s v="2023-05"/>
    <x v="7"/>
    <x v="7"/>
    <x v="3"/>
    <x v="15"/>
    <x v="2"/>
    <x v="2"/>
    <x v="0"/>
    <x v="4"/>
    <x v="0"/>
    <n v="0"/>
    <n v="3"/>
  </r>
  <r>
    <s v="2023-03"/>
    <x v="5"/>
    <x v="5"/>
    <x v="1"/>
    <x v="1"/>
    <x v="2"/>
    <x v="3"/>
    <x v="0"/>
    <x v="1"/>
    <x v="1"/>
    <n v="0"/>
    <n v="3.5"/>
  </r>
  <r>
    <s v="2023-09"/>
    <x v="10"/>
    <x v="10"/>
    <x v="1"/>
    <x v="1"/>
    <x v="3"/>
    <x v="5"/>
    <x v="0"/>
    <x v="4"/>
    <x v="6"/>
    <n v="0"/>
    <n v="3.5"/>
  </r>
  <r>
    <s v="2023-01"/>
    <x v="4"/>
    <x v="4"/>
    <x v="5"/>
    <x v="5"/>
    <x v="2"/>
    <x v="4"/>
    <x v="1"/>
    <x v="1"/>
    <x v="1"/>
    <n v="1"/>
    <n v="3.4"/>
  </r>
  <r>
    <s v="2023-09"/>
    <x v="10"/>
    <x v="10"/>
    <x v="8"/>
    <x v="10"/>
    <x v="2"/>
    <x v="1"/>
    <x v="1"/>
    <x v="7"/>
    <x v="2"/>
    <n v="0"/>
    <n v="2.2999999999999998"/>
  </r>
  <r>
    <s v="2023-12"/>
    <x v="9"/>
    <x v="9"/>
    <x v="3"/>
    <x v="15"/>
    <x v="1"/>
    <x v="4"/>
    <x v="1"/>
    <x v="0"/>
    <x v="0"/>
    <n v="0"/>
    <n v="4"/>
  </r>
  <r>
    <s v="2023-07"/>
    <x v="8"/>
    <x v="8"/>
    <x v="7"/>
    <x v="13"/>
    <x v="5"/>
    <x v="3"/>
    <x v="1"/>
    <x v="8"/>
    <x v="6"/>
    <n v="0"/>
    <n v="3.8"/>
  </r>
  <r>
    <s v="2023-07"/>
    <x v="8"/>
    <x v="8"/>
    <x v="0"/>
    <x v="12"/>
    <x v="4"/>
    <x v="4"/>
    <x v="0"/>
    <x v="8"/>
    <x v="8"/>
    <n v="1"/>
    <n v="0.9"/>
  </r>
  <r>
    <s v="2023-07"/>
    <x v="8"/>
    <x v="8"/>
    <x v="9"/>
    <x v="14"/>
    <x v="5"/>
    <x v="4"/>
    <x v="1"/>
    <x v="7"/>
    <x v="2"/>
    <n v="0"/>
    <n v="2.8"/>
  </r>
  <r>
    <s v="2023-06"/>
    <x v="1"/>
    <x v="1"/>
    <x v="2"/>
    <x v="19"/>
    <x v="3"/>
    <x v="0"/>
    <x v="0"/>
    <x v="3"/>
    <x v="4"/>
    <n v="0"/>
    <n v="3.5"/>
  </r>
  <r>
    <s v="2023-02"/>
    <x v="6"/>
    <x v="6"/>
    <x v="4"/>
    <x v="4"/>
    <x v="5"/>
    <x v="0"/>
    <x v="1"/>
    <x v="0"/>
    <x v="2"/>
    <n v="0"/>
    <n v="2.9"/>
  </r>
  <r>
    <s v="2023-07"/>
    <x v="8"/>
    <x v="8"/>
    <x v="6"/>
    <x v="8"/>
    <x v="4"/>
    <x v="3"/>
    <x v="0"/>
    <x v="4"/>
    <x v="0"/>
    <n v="0"/>
    <n v="2.7"/>
  </r>
  <r>
    <s v="2023-07"/>
    <x v="8"/>
    <x v="8"/>
    <x v="2"/>
    <x v="2"/>
    <x v="4"/>
    <x v="4"/>
    <x v="0"/>
    <x v="7"/>
    <x v="2"/>
    <n v="0"/>
    <n v="3.9"/>
  </r>
  <r>
    <s v="2023-04"/>
    <x v="0"/>
    <x v="0"/>
    <x v="2"/>
    <x v="19"/>
    <x v="5"/>
    <x v="2"/>
    <x v="0"/>
    <x v="8"/>
    <x v="6"/>
    <n v="2"/>
    <n v="3.9"/>
  </r>
  <r>
    <s v="2023-09"/>
    <x v="10"/>
    <x v="10"/>
    <x v="2"/>
    <x v="19"/>
    <x v="3"/>
    <x v="1"/>
    <x v="0"/>
    <x v="5"/>
    <x v="5"/>
    <n v="1"/>
    <n v="1.8"/>
  </r>
  <r>
    <s v="2023-05"/>
    <x v="7"/>
    <x v="7"/>
    <x v="6"/>
    <x v="8"/>
    <x v="3"/>
    <x v="0"/>
    <x v="1"/>
    <x v="0"/>
    <x v="0"/>
    <n v="0"/>
    <n v="2.2000000000000002"/>
  </r>
  <r>
    <s v="2023-04"/>
    <x v="0"/>
    <x v="0"/>
    <x v="7"/>
    <x v="13"/>
    <x v="1"/>
    <x v="0"/>
    <x v="1"/>
    <x v="5"/>
    <x v="5"/>
    <n v="0"/>
    <n v="3.1"/>
  </r>
  <r>
    <s v="2023-01"/>
    <x v="4"/>
    <x v="4"/>
    <x v="5"/>
    <x v="5"/>
    <x v="0"/>
    <x v="2"/>
    <x v="0"/>
    <x v="4"/>
    <x v="6"/>
    <n v="0"/>
    <n v="5.3"/>
  </r>
  <r>
    <s v="2023-03"/>
    <x v="5"/>
    <x v="5"/>
    <x v="2"/>
    <x v="19"/>
    <x v="2"/>
    <x v="1"/>
    <x v="0"/>
    <x v="7"/>
    <x v="2"/>
    <n v="0"/>
    <n v="2.8"/>
  </r>
  <r>
    <s v="2023-12"/>
    <x v="9"/>
    <x v="9"/>
    <x v="7"/>
    <x v="13"/>
    <x v="4"/>
    <x v="4"/>
    <x v="1"/>
    <x v="0"/>
    <x v="0"/>
    <n v="0"/>
    <n v="2.9"/>
  </r>
  <r>
    <s v="2023-09"/>
    <x v="10"/>
    <x v="10"/>
    <x v="8"/>
    <x v="10"/>
    <x v="4"/>
    <x v="3"/>
    <x v="0"/>
    <x v="1"/>
    <x v="1"/>
    <n v="0"/>
    <n v="1.3"/>
  </r>
  <r>
    <s v="2023-06"/>
    <x v="1"/>
    <x v="1"/>
    <x v="2"/>
    <x v="19"/>
    <x v="1"/>
    <x v="3"/>
    <x v="0"/>
    <x v="0"/>
    <x v="0"/>
    <n v="0"/>
    <n v="1.7"/>
  </r>
  <r>
    <s v="2023-09"/>
    <x v="10"/>
    <x v="10"/>
    <x v="0"/>
    <x v="0"/>
    <x v="2"/>
    <x v="4"/>
    <x v="0"/>
    <x v="3"/>
    <x v="4"/>
    <n v="0"/>
    <n v="3.4"/>
  </r>
  <r>
    <s v="2023-09"/>
    <x v="10"/>
    <x v="10"/>
    <x v="6"/>
    <x v="7"/>
    <x v="4"/>
    <x v="4"/>
    <x v="1"/>
    <x v="3"/>
    <x v="4"/>
    <n v="0"/>
    <n v="2.1"/>
  </r>
  <r>
    <s v="2023-03"/>
    <x v="5"/>
    <x v="5"/>
    <x v="9"/>
    <x v="14"/>
    <x v="4"/>
    <x v="3"/>
    <x v="1"/>
    <x v="1"/>
    <x v="1"/>
    <n v="0"/>
    <n v="3.5"/>
  </r>
  <r>
    <s v="2023-10"/>
    <x v="2"/>
    <x v="2"/>
    <x v="5"/>
    <x v="6"/>
    <x v="0"/>
    <x v="2"/>
    <x v="0"/>
    <x v="0"/>
    <x v="0"/>
    <n v="0"/>
    <n v="1.9"/>
  </r>
  <r>
    <s v="2023-04"/>
    <x v="0"/>
    <x v="0"/>
    <x v="9"/>
    <x v="17"/>
    <x v="5"/>
    <x v="5"/>
    <x v="0"/>
    <x v="0"/>
    <x v="0"/>
    <n v="0"/>
    <n v="3"/>
  </r>
  <r>
    <s v="2023-05"/>
    <x v="7"/>
    <x v="7"/>
    <x v="8"/>
    <x v="10"/>
    <x v="5"/>
    <x v="3"/>
    <x v="1"/>
    <x v="7"/>
    <x v="2"/>
    <n v="0"/>
    <n v="4.3"/>
  </r>
  <r>
    <s v="2023-11"/>
    <x v="11"/>
    <x v="11"/>
    <x v="1"/>
    <x v="1"/>
    <x v="0"/>
    <x v="1"/>
    <x v="0"/>
    <x v="9"/>
    <x v="9"/>
    <n v="1"/>
    <n v="1.1000000000000001"/>
  </r>
  <r>
    <s v="2023-04"/>
    <x v="0"/>
    <x v="0"/>
    <x v="7"/>
    <x v="13"/>
    <x v="5"/>
    <x v="0"/>
    <x v="1"/>
    <x v="0"/>
    <x v="0"/>
    <n v="0"/>
    <n v="4.0999999999999996"/>
  </r>
  <r>
    <s v="2023-09"/>
    <x v="10"/>
    <x v="10"/>
    <x v="4"/>
    <x v="11"/>
    <x v="5"/>
    <x v="2"/>
    <x v="0"/>
    <x v="4"/>
    <x v="2"/>
    <n v="1"/>
    <n v="0.8"/>
  </r>
  <r>
    <s v="2023-04"/>
    <x v="0"/>
    <x v="0"/>
    <x v="2"/>
    <x v="2"/>
    <x v="3"/>
    <x v="5"/>
    <x v="1"/>
    <x v="0"/>
    <x v="1"/>
    <n v="0"/>
    <n v="5.2"/>
  </r>
  <r>
    <s v="2023-07"/>
    <x v="8"/>
    <x v="8"/>
    <x v="0"/>
    <x v="0"/>
    <x v="1"/>
    <x v="2"/>
    <x v="0"/>
    <x v="4"/>
    <x v="0"/>
    <n v="0"/>
    <n v="4.2"/>
  </r>
  <r>
    <s v="2023-03"/>
    <x v="5"/>
    <x v="5"/>
    <x v="5"/>
    <x v="6"/>
    <x v="0"/>
    <x v="4"/>
    <x v="0"/>
    <x v="4"/>
    <x v="6"/>
    <n v="1"/>
    <n v="3.8"/>
  </r>
  <r>
    <s v="2023-06"/>
    <x v="1"/>
    <x v="1"/>
    <x v="8"/>
    <x v="18"/>
    <x v="4"/>
    <x v="0"/>
    <x v="1"/>
    <x v="7"/>
    <x v="1"/>
    <n v="0"/>
    <n v="2.6"/>
  </r>
  <r>
    <s v="2023-10"/>
    <x v="2"/>
    <x v="2"/>
    <x v="2"/>
    <x v="19"/>
    <x v="4"/>
    <x v="4"/>
    <x v="1"/>
    <x v="4"/>
    <x v="0"/>
    <n v="0"/>
    <n v="5"/>
  </r>
  <r>
    <s v="2023-05"/>
    <x v="7"/>
    <x v="7"/>
    <x v="5"/>
    <x v="5"/>
    <x v="5"/>
    <x v="4"/>
    <x v="1"/>
    <x v="4"/>
    <x v="0"/>
    <n v="0"/>
    <n v="3.3"/>
  </r>
  <r>
    <s v="2023-01"/>
    <x v="4"/>
    <x v="4"/>
    <x v="9"/>
    <x v="17"/>
    <x v="5"/>
    <x v="4"/>
    <x v="0"/>
    <x v="1"/>
    <x v="4"/>
    <n v="0"/>
    <n v="2.2999999999999998"/>
  </r>
  <r>
    <s v="2023-10"/>
    <x v="2"/>
    <x v="2"/>
    <x v="0"/>
    <x v="0"/>
    <x v="1"/>
    <x v="2"/>
    <x v="0"/>
    <x v="7"/>
    <x v="1"/>
    <n v="0"/>
    <n v="3"/>
  </r>
  <r>
    <s v="2023-03"/>
    <x v="5"/>
    <x v="5"/>
    <x v="5"/>
    <x v="5"/>
    <x v="1"/>
    <x v="4"/>
    <x v="1"/>
    <x v="1"/>
    <x v="1"/>
    <n v="0"/>
    <n v="2.7"/>
  </r>
  <r>
    <s v="2023-03"/>
    <x v="5"/>
    <x v="5"/>
    <x v="7"/>
    <x v="13"/>
    <x v="2"/>
    <x v="5"/>
    <x v="0"/>
    <x v="0"/>
    <x v="0"/>
    <n v="0"/>
    <n v="4.2"/>
  </r>
  <r>
    <s v="2023-03"/>
    <x v="5"/>
    <x v="5"/>
    <x v="4"/>
    <x v="4"/>
    <x v="0"/>
    <x v="0"/>
    <x v="0"/>
    <x v="8"/>
    <x v="8"/>
    <n v="0"/>
    <n v="0.5"/>
  </r>
  <r>
    <s v="2023-05"/>
    <x v="7"/>
    <x v="7"/>
    <x v="8"/>
    <x v="10"/>
    <x v="5"/>
    <x v="4"/>
    <x v="1"/>
    <x v="4"/>
    <x v="2"/>
    <n v="1"/>
    <n v="1.3"/>
  </r>
  <r>
    <s v="2023-03"/>
    <x v="5"/>
    <x v="5"/>
    <x v="4"/>
    <x v="4"/>
    <x v="3"/>
    <x v="4"/>
    <x v="1"/>
    <x v="3"/>
    <x v="5"/>
    <n v="1"/>
    <n v="3.2"/>
  </r>
  <r>
    <s v="2023-02"/>
    <x v="6"/>
    <x v="6"/>
    <x v="8"/>
    <x v="10"/>
    <x v="0"/>
    <x v="5"/>
    <x v="1"/>
    <x v="3"/>
    <x v="4"/>
    <n v="0"/>
    <n v="3.9"/>
  </r>
  <r>
    <s v="2023-04"/>
    <x v="0"/>
    <x v="0"/>
    <x v="4"/>
    <x v="11"/>
    <x v="4"/>
    <x v="0"/>
    <x v="0"/>
    <x v="7"/>
    <x v="2"/>
    <n v="0"/>
    <n v="3"/>
  </r>
  <r>
    <s v="2023-04"/>
    <x v="0"/>
    <x v="0"/>
    <x v="9"/>
    <x v="17"/>
    <x v="0"/>
    <x v="5"/>
    <x v="0"/>
    <x v="8"/>
    <x v="0"/>
    <n v="0"/>
    <n v="1.2"/>
  </r>
  <r>
    <s v="2023-05"/>
    <x v="7"/>
    <x v="7"/>
    <x v="5"/>
    <x v="6"/>
    <x v="0"/>
    <x v="1"/>
    <x v="1"/>
    <x v="7"/>
    <x v="1"/>
    <n v="0"/>
    <n v="2.7"/>
  </r>
  <r>
    <s v="2023-11"/>
    <x v="11"/>
    <x v="11"/>
    <x v="8"/>
    <x v="10"/>
    <x v="3"/>
    <x v="4"/>
    <x v="1"/>
    <x v="4"/>
    <x v="6"/>
    <n v="0"/>
    <n v="1.7"/>
  </r>
  <r>
    <s v="2023-07"/>
    <x v="8"/>
    <x v="8"/>
    <x v="7"/>
    <x v="13"/>
    <x v="0"/>
    <x v="3"/>
    <x v="0"/>
    <x v="2"/>
    <x v="8"/>
    <n v="0"/>
    <n v="2"/>
  </r>
  <r>
    <s v="2023-04"/>
    <x v="0"/>
    <x v="0"/>
    <x v="8"/>
    <x v="18"/>
    <x v="0"/>
    <x v="1"/>
    <x v="0"/>
    <x v="1"/>
    <x v="1"/>
    <n v="0"/>
    <n v="3.1"/>
  </r>
  <r>
    <s v="2023-08"/>
    <x v="3"/>
    <x v="3"/>
    <x v="5"/>
    <x v="5"/>
    <x v="4"/>
    <x v="0"/>
    <x v="1"/>
    <x v="0"/>
    <x v="2"/>
    <n v="2"/>
    <n v="1.2"/>
  </r>
  <r>
    <s v="2023-04"/>
    <x v="0"/>
    <x v="0"/>
    <x v="3"/>
    <x v="15"/>
    <x v="2"/>
    <x v="3"/>
    <x v="0"/>
    <x v="7"/>
    <x v="2"/>
    <n v="0"/>
    <n v="2.2999999999999998"/>
  </r>
  <r>
    <s v="2023-07"/>
    <x v="8"/>
    <x v="8"/>
    <x v="5"/>
    <x v="6"/>
    <x v="1"/>
    <x v="1"/>
    <x v="1"/>
    <x v="0"/>
    <x v="0"/>
    <n v="1"/>
    <n v="3.7"/>
  </r>
  <r>
    <s v="2023-09"/>
    <x v="10"/>
    <x v="10"/>
    <x v="5"/>
    <x v="5"/>
    <x v="5"/>
    <x v="3"/>
    <x v="0"/>
    <x v="2"/>
    <x v="8"/>
    <n v="0"/>
    <n v="4.2"/>
  </r>
  <r>
    <s v="2023-11"/>
    <x v="11"/>
    <x v="11"/>
    <x v="9"/>
    <x v="14"/>
    <x v="5"/>
    <x v="5"/>
    <x v="0"/>
    <x v="5"/>
    <x v="5"/>
    <n v="0"/>
    <n v="2.9"/>
  </r>
  <r>
    <s v="2023-05"/>
    <x v="7"/>
    <x v="7"/>
    <x v="4"/>
    <x v="4"/>
    <x v="2"/>
    <x v="5"/>
    <x v="1"/>
    <x v="0"/>
    <x v="1"/>
    <n v="0"/>
    <n v="3.5"/>
  </r>
  <r>
    <s v="2023-11"/>
    <x v="11"/>
    <x v="11"/>
    <x v="0"/>
    <x v="12"/>
    <x v="1"/>
    <x v="0"/>
    <x v="0"/>
    <x v="3"/>
    <x v="4"/>
    <n v="0"/>
    <n v="2.9"/>
  </r>
  <r>
    <s v="2023-08"/>
    <x v="3"/>
    <x v="3"/>
    <x v="1"/>
    <x v="16"/>
    <x v="1"/>
    <x v="0"/>
    <x v="1"/>
    <x v="5"/>
    <x v="5"/>
    <n v="0"/>
    <n v="2.2000000000000002"/>
  </r>
  <r>
    <s v="2023-11"/>
    <x v="11"/>
    <x v="11"/>
    <x v="0"/>
    <x v="12"/>
    <x v="3"/>
    <x v="5"/>
    <x v="0"/>
    <x v="2"/>
    <x v="6"/>
    <n v="1"/>
    <n v="2.2999999999999998"/>
  </r>
  <r>
    <s v="2023-04"/>
    <x v="0"/>
    <x v="0"/>
    <x v="1"/>
    <x v="16"/>
    <x v="0"/>
    <x v="3"/>
    <x v="1"/>
    <x v="7"/>
    <x v="1"/>
    <n v="0"/>
    <n v="2.2999999999999998"/>
  </r>
  <r>
    <s v="2023-07"/>
    <x v="8"/>
    <x v="8"/>
    <x v="3"/>
    <x v="3"/>
    <x v="3"/>
    <x v="4"/>
    <x v="0"/>
    <x v="7"/>
    <x v="2"/>
    <n v="0"/>
    <n v="3.7"/>
  </r>
  <r>
    <s v="2023-08"/>
    <x v="3"/>
    <x v="3"/>
    <x v="9"/>
    <x v="17"/>
    <x v="1"/>
    <x v="2"/>
    <x v="0"/>
    <x v="4"/>
    <x v="6"/>
    <n v="0"/>
    <n v="3.3"/>
  </r>
  <r>
    <s v="2023-10"/>
    <x v="2"/>
    <x v="2"/>
    <x v="2"/>
    <x v="19"/>
    <x v="0"/>
    <x v="2"/>
    <x v="0"/>
    <x v="7"/>
    <x v="2"/>
    <n v="0"/>
    <n v="3.8"/>
  </r>
  <r>
    <s v="2023-09"/>
    <x v="10"/>
    <x v="10"/>
    <x v="4"/>
    <x v="11"/>
    <x v="1"/>
    <x v="3"/>
    <x v="0"/>
    <x v="7"/>
    <x v="2"/>
    <n v="0"/>
    <n v="4"/>
  </r>
  <r>
    <s v="2023-05"/>
    <x v="7"/>
    <x v="7"/>
    <x v="9"/>
    <x v="14"/>
    <x v="2"/>
    <x v="2"/>
    <x v="0"/>
    <x v="0"/>
    <x v="0"/>
    <n v="0"/>
    <n v="3.5"/>
  </r>
  <r>
    <s v="2023-10"/>
    <x v="2"/>
    <x v="2"/>
    <x v="3"/>
    <x v="3"/>
    <x v="1"/>
    <x v="2"/>
    <x v="1"/>
    <x v="4"/>
    <x v="0"/>
    <n v="0"/>
    <n v="3.2"/>
  </r>
  <r>
    <s v="2023-10"/>
    <x v="2"/>
    <x v="2"/>
    <x v="2"/>
    <x v="19"/>
    <x v="5"/>
    <x v="1"/>
    <x v="1"/>
    <x v="3"/>
    <x v="4"/>
    <n v="0"/>
    <n v="2.1"/>
  </r>
  <r>
    <s v="2023-10"/>
    <x v="2"/>
    <x v="2"/>
    <x v="6"/>
    <x v="7"/>
    <x v="4"/>
    <x v="5"/>
    <x v="0"/>
    <x v="7"/>
    <x v="1"/>
    <n v="0"/>
    <n v="1.5"/>
  </r>
  <r>
    <s v="2023-11"/>
    <x v="11"/>
    <x v="11"/>
    <x v="6"/>
    <x v="8"/>
    <x v="2"/>
    <x v="2"/>
    <x v="1"/>
    <x v="0"/>
    <x v="0"/>
    <n v="0"/>
    <n v="2.8"/>
  </r>
  <r>
    <s v="2023-04"/>
    <x v="0"/>
    <x v="0"/>
    <x v="6"/>
    <x v="8"/>
    <x v="4"/>
    <x v="2"/>
    <x v="1"/>
    <x v="1"/>
    <x v="1"/>
    <n v="0"/>
    <n v="3.4"/>
  </r>
  <r>
    <s v="2023-08"/>
    <x v="3"/>
    <x v="3"/>
    <x v="5"/>
    <x v="5"/>
    <x v="2"/>
    <x v="0"/>
    <x v="1"/>
    <x v="7"/>
    <x v="2"/>
    <n v="0"/>
    <n v="4.3"/>
  </r>
  <r>
    <s v="2023-10"/>
    <x v="2"/>
    <x v="2"/>
    <x v="2"/>
    <x v="19"/>
    <x v="4"/>
    <x v="3"/>
    <x v="0"/>
    <x v="4"/>
    <x v="0"/>
    <n v="0"/>
    <n v="3.2"/>
  </r>
  <r>
    <s v="2023-03"/>
    <x v="5"/>
    <x v="5"/>
    <x v="8"/>
    <x v="10"/>
    <x v="4"/>
    <x v="1"/>
    <x v="1"/>
    <x v="0"/>
    <x v="2"/>
    <n v="1"/>
    <n v="4"/>
  </r>
  <r>
    <s v="2023-01"/>
    <x v="4"/>
    <x v="4"/>
    <x v="1"/>
    <x v="16"/>
    <x v="1"/>
    <x v="1"/>
    <x v="1"/>
    <x v="4"/>
    <x v="0"/>
    <n v="0"/>
    <n v="3"/>
  </r>
  <r>
    <s v="2023-02"/>
    <x v="6"/>
    <x v="6"/>
    <x v="2"/>
    <x v="19"/>
    <x v="4"/>
    <x v="5"/>
    <x v="0"/>
    <x v="1"/>
    <x v="1"/>
    <n v="0"/>
    <n v="3.6"/>
  </r>
  <r>
    <s v="2023-10"/>
    <x v="2"/>
    <x v="2"/>
    <x v="6"/>
    <x v="7"/>
    <x v="0"/>
    <x v="3"/>
    <x v="0"/>
    <x v="8"/>
    <x v="8"/>
    <n v="0"/>
    <n v="1.3"/>
  </r>
  <r>
    <s v="2023-04"/>
    <x v="0"/>
    <x v="0"/>
    <x v="3"/>
    <x v="3"/>
    <x v="5"/>
    <x v="3"/>
    <x v="0"/>
    <x v="1"/>
    <x v="4"/>
    <n v="0"/>
    <n v="3.4"/>
  </r>
  <r>
    <s v="2023-05"/>
    <x v="7"/>
    <x v="7"/>
    <x v="1"/>
    <x v="1"/>
    <x v="4"/>
    <x v="2"/>
    <x v="1"/>
    <x v="4"/>
    <x v="6"/>
    <n v="0"/>
    <n v="1.4"/>
  </r>
  <r>
    <s v="2023-07"/>
    <x v="8"/>
    <x v="8"/>
    <x v="8"/>
    <x v="10"/>
    <x v="3"/>
    <x v="5"/>
    <x v="0"/>
    <x v="7"/>
    <x v="1"/>
    <n v="0"/>
    <n v="3.8"/>
  </r>
  <r>
    <s v="2023-08"/>
    <x v="3"/>
    <x v="3"/>
    <x v="9"/>
    <x v="14"/>
    <x v="1"/>
    <x v="0"/>
    <x v="0"/>
    <x v="4"/>
    <x v="6"/>
    <n v="1"/>
    <n v="4.2"/>
  </r>
  <r>
    <s v="2023-06"/>
    <x v="1"/>
    <x v="1"/>
    <x v="9"/>
    <x v="14"/>
    <x v="1"/>
    <x v="4"/>
    <x v="0"/>
    <x v="4"/>
    <x v="0"/>
    <n v="1"/>
    <n v="2.2000000000000002"/>
  </r>
  <r>
    <s v="2023-02"/>
    <x v="6"/>
    <x v="6"/>
    <x v="6"/>
    <x v="7"/>
    <x v="0"/>
    <x v="0"/>
    <x v="1"/>
    <x v="7"/>
    <x v="1"/>
    <n v="0"/>
    <n v="2.8"/>
  </r>
  <r>
    <s v="2023-11"/>
    <x v="11"/>
    <x v="11"/>
    <x v="9"/>
    <x v="17"/>
    <x v="4"/>
    <x v="5"/>
    <x v="1"/>
    <x v="1"/>
    <x v="4"/>
    <n v="0"/>
    <n v="1.5"/>
  </r>
  <r>
    <s v="2023-11"/>
    <x v="11"/>
    <x v="11"/>
    <x v="9"/>
    <x v="14"/>
    <x v="1"/>
    <x v="0"/>
    <x v="1"/>
    <x v="0"/>
    <x v="0"/>
    <n v="1"/>
    <n v="2.8"/>
  </r>
  <r>
    <s v="2023-10"/>
    <x v="2"/>
    <x v="2"/>
    <x v="4"/>
    <x v="4"/>
    <x v="2"/>
    <x v="0"/>
    <x v="0"/>
    <x v="7"/>
    <x v="4"/>
    <n v="0"/>
    <n v="1.4"/>
  </r>
  <r>
    <s v="2023-10"/>
    <x v="2"/>
    <x v="2"/>
    <x v="5"/>
    <x v="6"/>
    <x v="3"/>
    <x v="2"/>
    <x v="0"/>
    <x v="1"/>
    <x v="1"/>
    <n v="0"/>
    <n v="2.2999999999999998"/>
  </r>
  <r>
    <s v="2023-01"/>
    <x v="4"/>
    <x v="4"/>
    <x v="8"/>
    <x v="18"/>
    <x v="0"/>
    <x v="4"/>
    <x v="0"/>
    <x v="0"/>
    <x v="0"/>
    <n v="1"/>
    <n v="3.4"/>
  </r>
  <r>
    <s v="2023-12"/>
    <x v="9"/>
    <x v="9"/>
    <x v="2"/>
    <x v="19"/>
    <x v="5"/>
    <x v="3"/>
    <x v="1"/>
    <x v="7"/>
    <x v="2"/>
    <n v="0"/>
    <n v="2.7"/>
  </r>
  <r>
    <s v="2023-02"/>
    <x v="6"/>
    <x v="6"/>
    <x v="5"/>
    <x v="5"/>
    <x v="1"/>
    <x v="0"/>
    <x v="1"/>
    <x v="7"/>
    <x v="2"/>
    <n v="0"/>
    <n v="4.0999999999999996"/>
  </r>
  <r>
    <s v="2023-04"/>
    <x v="0"/>
    <x v="0"/>
    <x v="5"/>
    <x v="6"/>
    <x v="4"/>
    <x v="4"/>
    <x v="1"/>
    <x v="10"/>
    <x v="9"/>
    <n v="2"/>
    <n v="2.1"/>
  </r>
  <r>
    <s v="2023-12"/>
    <x v="9"/>
    <x v="9"/>
    <x v="4"/>
    <x v="4"/>
    <x v="2"/>
    <x v="0"/>
    <x v="1"/>
    <x v="1"/>
    <x v="1"/>
    <n v="0"/>
    <n v="0.6"/>
  </r>
  <r>
    <s v="2023-10"/>
    <x v="2"/>
    <x v="2"/>
    <x v="8"/>
    <x v="10"/>
    <x v="2"/>
    <x v="1"/>
    <x v="0"/>
    <x v="4"/>
    <x v="6"/>
    <n v="1"/>
    <n v="1.7"/>
  </r>
  <r>
    <s v="2023-02"/>
    <x v="6"/>
    <x v="6"/>
    <x v="2"/>
    <x v="2"/>
    <x v="5"/>
    <x v="4"/>
    <x v="0"/>
    <x v="4"/>
    <x v="6"/>
    <n v="2"/>
    <n v="2.5"/>
  </r>
  <r>
    <s v="2023-03"/>
    <x v="5"/>
    <x v="5"/>
    <x v="3"/>
    <x v="3"/>
    <x v="1"/>
    <x v="4"/>
    <x v="0"/>
    <x v="7"/>
    <x v="2"/>
    <n v="1"/>
    <n v="3.5"/>
  </r>
  <r>
    <s v="2023-10"/>
    <x v="2"/>
    <x v="2"/>
    <x v="0"/>
    <x v="12"/>
    <x v="3"/>
    <x v="1"/>
    <x v="0"/>
    <x v="7"/>
    <x v="4"/>
    <n v="1"/>
    <n v="2.6"/>
  </r>
  <r>
    <s v="2023-04"/>
    <x v="0"/>
    <x v="0"/>
    <x v="7"/>
    <x v="9"/>
    <x v="2"/>
    <x v="0"/>
    <x v="0"/>
    <x v="1"/>
    <x v="4"/>
    <n v="1"/>
    <n v="1.7"/>
  </r>
  <r>
    <s v="2023-12"/>
    <x v="9"/>
    <x v="9"/>
    <x v="8"/>
    <x v="18"/>
    <x v="0"/>
    <x v="2"/>
    <x v="0"/>
    <x v="3"/>
    <x v="4"/>
    <n v="0"/>
    <n v="3.2"/>
  </r>
  <r>
    <s v="2023-07"/>
    <x v="8"/>
    <x v="8"/>
    <x v="6"/>
    <x v="8"/>
    <x v="2"/>
    <x v="0"/>
    <x v="0"/>
    <x v="1"/>
    <x v="1"/>
    <n v="0"/>
    <n v="3.7"/>
  </r>
  <r>
    <s v="2023-11"/>
    <x v="11"/>
    <x v="11"/>
    <x v="7"/>
    <x v="9"/>
    <x v="2"/>
    <x v="2"/>
    <x v="0"/>
    <x v="0"/>
    <x v="2"/>
    <n v="0"/>
    <n v="2.8"/>
  </r>
  <r>
    <s v="2023-04"/>
    <x v="0"/>
    <x v="0"/>
    <x v="3"/>
    <x v="15"/>
    <x v="4"/>
    <x v="5"/>
    <x v="0"/>
    <x v="7"/>
    <x v="2"/>
    <n v="0"/>
    <n v="4.0999999999999996"/>
  </r>
  <r>
    <s v="2023-09"/>
    <x v="10"/>
    <x v="10"/>
    <x v="1"/>
    <x v="1"/>
    <x v="0"/>
    <x v="3"/>
    <x v="0"/>
    <x v="0"/>
    <x v="0"/>
    <n v="0"/>
    <n v="2.8"/>
  </r>
  <r>
    <s v="2023-01"/>
    <x v="4"/>
    <x v="4"/>
    <x v="6"/>
    <x v="7"/>
    <x v="3"/>
    <x v="2"/>
    <x v="0"/>
    <x v="3"/>
    <x v="4"/>
    <n v="0"/>
    <n v="0.6"/>
  </r>
  <r>
    <s v="2023-10"/>
    <x v="2"/>
    <x v="2"/>
    <x v="2"/>
    <x v="2"/>
    <x v="4"/>
    <x v="5"/>
    <x v="0"/>
    <x v="3"/>
    <x v="4"/>
    <n v="0"/>
    <n v="3.4"/>
  </r>
  <r>
    <s v="2023-02"/>
    <x v="6"/>
    <x v="6"/>
    <x v="3"/>
    <x v="15"/>
    <x v="4"/>
    <x v="3"/>
    <x v="1"/>
    <x v="0"/>
    <x v="0"/>
    <n v="0"/>
    <n v="3.4"/>
  </r>
  <r>
    <s v="2023-02"/>
    <x v="6"/>
    <x v="6"/>
    <x v="0"/>
    <x v="12"/>
    <x v="0"/>
    <x v="0"/>
    <x v="0"/>
    <x v="0"/>
    <x v="0"/>
    <n v="0"/>
    <n v="2.9"/>
  </r>
  <r>
    <s v="2023-05"/>
    <x v="7"/>
    <x v="7"/>
    <x v="1"/>
    <x v="1"/>
    <x v="5"/>
    <x v="5"/>
    <x v="0"/>
    <x v="0"/>
    <x v="0"/>
    <n v="1"/>
    <n v="2.5"/>
  </r>
  <r>
    <s v="2023-03"/>
    <x v="5"/>
    <x v="5"/>
    <x v="0"/>
    <x v="12"/>
    <x v="2"/>
    <x v="4"/>
    <x v="0"/>
    <x v="2"/>
    <x v="8"/>
    <n v="1"/>
    <n v="2.6"/>
  </r>
  <r>
    <s v="2023-03"/>
    <x v="5"/>
    <x v="5"/>
    <x v="1"/>
    <x v="1"/>
    <x v="5"/>
    <x v="5"/>
    <x v="1"/>
    <x v="1"/>
    <x v="1"/>
    <n v="0"/>
    <n v="2.5"/>
  </r>
  <r>
    <s v="2023-01"/>
    <x v="4"/>
    <x v="4"/>
    <x v="8"/>
    <x v="18"/>
    <x v="1"/>
    <x v="3"/>
    <x v="1"/>
    <x v="9"/>
    <x v="12"/>
    <n v="1"/>
    <n v="4.4000000000000004"/>
  </r>
  <r>
    <s v="2023-11"/>
    <x v="11"/>
    <x v="11"/>
    <x v="6"/>
    <x v="7"/>
    <x v="0"/>
    <x v="4"/>
    <x v="0"/>
    <x v="1"/>
    <x v="1"/>
    <n v="0"/>
    <n v="1.8"/>
  </r>
  <r>
    <s v="2023-02"/>
    <x v="6"/>
    <x v="6"/>
    <x v="8"/>
    <x v="18"/>
    <x v="5"/>
    <x v="5"/>
    <x v="0"/>
    <x v="0"/>
    <x v="0"/>
    <n v="1"/>
    <n v="3.3"/>
  </r>
  <r>
    <s v="2023-08"/>
    <x v="3"/>
    <x v="3"/>
    <x v="7"/>
    <x v="13"/>
    <x v="5"/>
    <x v="0"/>
    <x v="0"/>
    <x v="7"/>
    <x v="1"/>
    <n v="0"/>
    <n v="3.3"/>
  </r>
  <r>
    <s v="2023-04"/>
    <x v="0"/>
    <x v="0"/>
    <x v="3"/>
    <x v="15"/>
    <x v="0"/>
    <x v="4"/>
    <x v="1"/>
    <x v="0"/>
    <x v="0"/>
    <n v="0"/>
    <n v="3.5"/>
  </r>
  <r>
    <s v="2023-08"/>
    <x v="3"/>
    <x v="3"/>
    <x v="6"/>
    <x v="7"/>
    <x v="0"/>
    <x v="4"/>
    <x v="0"/>
    <x v="1"/>
    <x v="1"/>
    <n v="0"/>
    <n v="3.6"/>
  </r>
  <r>
    <s v="2023-05"/>
    <x v="7"/>
    <x v="7"/>
    <x v="7"/>
    <x v="13"/>
    <x v="0"/>
    <x v="1"/>
    <x v="0"/>
    <x v="7"/>
    <x v="1"/>
    <n v="0"/>
    <n v="2.8"/>
  </r>
  <r>
    <s v="2023-08"/>
    <x v="3"/>
    <x v="3"/>
    <x v="2"/>
    <x v="2"/>
    <x v="4"/>
    <x v="3"/>
    <x v="0"/>
    <x v="8"/>
    <x v="2"/>
    <n v="0"/>
    <n v="2.4"/>
  </r>
  <r>
    <s v="2023-03"/>
    <x v="5"/>
    <x v="5"/>
    <x v="7"/>
    <x v="9"/>
    <x v="5"/>
    <x v="2"/>
    <x v="0"/>
    <x v="0"/>
    <x v="2"/>
    <n v="0"/>
    <n v="4.7"/>
  </r>
  <r>
    <s v="2023-08"/>
    <x v="3"/>
    <x v="3"/>
    <x v="1"/>
    <x v="16"/>
    <x v="0"/>
    <x v="4"/>
    <x v="0"/>
    <x v="8"/>
    <x v="8"/>
    <n v="0"/>
    <n v="0.7"/>
  </r>
  <r>
    <s v="2023-09"/>
    <x v="10"/>
    <x v="10"/>
    <x v="3"/>
    <x v="15"/>
    <x v="1"/>
    <x v="3"/>
    <x v="0"/>
    <x v="4"/>
    <x v="0"/>
    <n v="0"/>
    <n v="3"/>
  </r>
  <r>
    <s v="2023-03"/>
    <x v="5"/>
    <x v="5"/>
    <x v="2"/>
    <x v="2"/>
    <x v="4"/>
    <x v="4"/>
    <x v="0"/>
    <x v="7"/>
    <x v="2"/>
    <n v="0"/>
    <n v="3.7"/>
  </r>
  <r>
    <s v="2023-07"/>
    <x v="8"/>
    <x v="8"/>
    <x v="5"/>
    <x v="6"/>
    <x v="1"/>
    <x v="3"/>
    <x v="0"/>
    <x v="7"/>
    <x v="2"/>
    <n v="0"/>
    <n v="4.9000000000000004"/>
  </r>
  <r>
    <s v="2023-03"/>
    <x v="5"/>
    <x v="5"/>
    <x v="1"/>
    <x v="1"/>
    <x v="0"/>
    <x v="5"/>
    <x v="0"/>
    <x v="8"/>
    <x v="6"/>
    <n v="0"/>
    <n v="4"/>
  </r>
  <r>
    <s v="2023-02"/>
    <x v="6"/>
    <x v="6"/>
    <x v="5"/>
    <x v="6"/>
    <x v="2"/>
    <x v="3"/>
    <x v="1"/>
    <x v="3"/>
    <x v="5"/>
    <n v="0"/>
    <n v="2.7"/>
  </r>
  <r>
    <s v="2023-11"/>
    <x v="11"/>
    <x v="11"/>
    <x v="2"/>
    <x v="2"/>
    <x v="0"/>
    <x v="4"/>
    <x v="0"/>
    <x v="1"/>
    <x v="4"/>
    <n v="0"/>
    <n v="2.1"/>
  </r>
  <r>
    <s v="2023-08"/>
    <x v="3"/>
    <x v="3"/>
    <x v="5"/>
    <x v="6"/>
    <x v="4"/>
    <x v="1"/>
    <x v="0"/>
    <x v="7"/>
    <x v="2"/>
    <n v="0"/>
    <n v="2.8"/>
  </r>
  <r>
    <s v="2023-02"/>
    <x v="6"/>
    <x v="6"/>
    <x v="1"/>
    <x v="16"/>
    <x v="0"/>
    <x v="2"/>
    <x v="1"/>
    <x v="8"/>
    <x v="6"/>
    <n v="0"/>
    <n v="4"/>
  </r>
  <r>
    <s v="2023-08"/>
    <x v="3"/>
    <x v="3"/>
    <x v="8"/>
    <x v="10"/>
    <x v="3"/>
    <x v="4"/>
    <x v="1"/>
    <x v="4"/>
    <x v="6"/>
    <n v="0"/>
    <n v="2.9"/>
  </r>
  <r>
    <s v="2023-03"/>
    <x v="5"/>
    <x v="5"/>
    <x v="2"/>
    <x v="2"/>
    <x v="3"/>
    <x v="5"/>
    <x v="1"/>
    <x v="8"/>
    <x v="8"/>
    <n v="1"/>
    <n v="3.2"/>
  </r>
  <r>
    <s v="2023-08"/>
    <x v="3"/>
    <x v="3"/>
    <x v="9"/>
    <x v="17"/>
    <x v="5"/>
    <x v="0"/>
    <x v="1"/>
    <x v="4"/>
    <x v="6"/>
    <n v="0"/>
    <n v="2.7"/>
  </r>
  <r>
    <s v="2023-05"/>
    <x v="7"/>
    <x v="7"/>
    <x v="1"/>
    <x v="1"/>
    <x v="3"/>
    <x v="2"/>
    <x v="1"/>
    <x v="2"/>
    <x v="3"/>
    <n v="0"/>
    <n v="3.2"/>
  </r>
  <r>
    <s v="2023-01"/>
    <x v="4"/>
    <x v="4"/>
    <x v="0"/>
    <x v="0"/>
    <x v="5"/>
    <x v="1"/>
    <x v="0"/>
    <x v="0"/>
    <x v="0"/>
    <n v="0"/>
    <n v="2.7"/>
  </r>
  <r>
    <s v="2023-03"/>
    <x v="5"/>
    <x v="5"/>
    <x v="3"/>
    <x v="3"/>
    <x v="2"/>
    <x v="2"/>
    <x v="0"/>
    <x v="0"/>
    <x v="0"/>
    <n v="0"/>
    <n v="3.9"/>
  </r>
  <r>
    <s v="2023-02"/>
    <x v="6"/>
    <x v="6"/>
    <x v="7"/>
    <x v="9"/>
    <x v="5"/>
    <x v="0"/>
    <x v="1"/>
    <x v="8"/>
    <x v="6"/>
    <n v="0"/>
    <n v="4.3"/>
  </r>
  <r>
    <s v="2023-06"/>
    <x v="1"/>
    <x v="1"/>
    <x v="8"/>
    <x v="18"/>
    <x v="3"/>
    <x v="2"/>
    <x v="1"/>
    <x v="8"/>
    <x v="8"/>
    <n v="0"/>
    <n v="-0.5"/>
  </r>
  <r>
    <s v="2023-12"/>
    <x v="9"/>
    <x v="9"/>
    <x v="0"/>
    <x v="0"/>
    <x v="4"/>
    <x v="3"/>
    <x v="0"/>
    <x v="1"/>
    <x v="1"/>
    <n v="0"/>
    <n v="2.8"/>
  </r>
  <r>
    <s v="2023-08"/>
    <x v="3"/>
    <x v="3"/>
    <x v="9"/>
    <x v="14"/>
    <x v="0"/>
    <x v="5"/>
    <x v="1"/>
    <x v="1"/>
    <x v="1"/>
    <n v="0"/>
    <n v="4.4000000000000004"/>
  </r>
  <r>
    <s v="2023-07"/>
    <x v="8"/>
    <x v="8"/>
    <x v="8"/>
    <x v="18"/>
    <x v="5"/>
    <x v="4"/>
    <x v="0"/>
    <x v="4"/>
    <x v="2"/>
    <n v="2"/>
    <n v="2.9"/>
  </r>
  <r>
    <s v="2023-08"/>
    <x v="3"/>
    <x v="3"/>
    <x v="0"/>
    <x v="0"/>
    <x v="0"/>
    <x v="2"/>
    <x v="1"/>
    <x v="5"/>
    <x v="5"/>
    <n v="0"/>
    <n v="3.6"/>
  </r>
  <r>
    <s v="2023-05"/>
    <x v="7"/>
    <x v="7"/>
    <x v="8"/>
    <x v="18"/>
    <x v="0"/>
    <x v="2"/>
    <x v="1"/>
    <x v="2"/>
    <x v="8"/>
    <n v="0"/>
    <n v="3.1"/>
  </r>
  <r>
    <s v="2023-11"/>
    <x v="11"/>
    <x v="11"/>
    <x v="7"/>
    <x v="9"/>
    <x v="1"/>
    <x v="3"/>
    <x v="0"/>
    <x v="2"/>
    <x v="3"/>
    <n v="0"/>
    <n v="2.7"/>
  </r>
  <r>
    <s v="2023-09"/>
    <x v="10"/>
    <x v="10"/>
    <x v="2"/>
    <x v="19"/>
    <x v="3"/>
    <x v="0"/>
    <x v="1"/>
    <x v="0"/>
    <x v="2"/>
    <n v="0"/>
    <n v="2.6"/>
  </r>
  <r>
    <s v="2023-11"/>
    <x v="11"/>
    <x v="11"/>
    <x v="4"/>
    <x v="4"/>
    <x v="2"/>
    <x v="1"/>
    <x v="1"/>
    <x v="0"/>
    <x v="0"/>
    <n v="1"/>
    <n v="1.8"/>
  </r>
  <r>
    <s v="2023-08"/>
    <x v="3"/>
    <x v="3"/>
    <x v="5"/>
    <x v="5"/>
    <x v="5"/>
    <x v="4"/>
    <x v="0"/>
    <x v="0"/>
    <x v="0"/>
    <n v="0"/>
    <n v="3"/>
  </r>
  <r>
    <s v="2023-10"/>
    <x v="2"/>
    <x v="2"/>
    <x v="5"/>
    <x v="6"/>
    <x v="3"/>
    <x v="5"/>
    <x v="0"/>
    <x v="4"/>
    <x v="6"/>
    <n v="0"/>
    <n v="1.5"/>
  </r>
  <r>
    <s v="2023-10"/>
    <x v="2"/>
    <x v="2"/>
    <x v="6"/>
    <x v="7"/>
    <x v="5"/>
    <x v="2"/>
    <x v="0"/>
    <x v="0"/>
    <x v="0"/>
    <n v="0"/>
    <n v="4"/>
  </r>
  <r>
    <s v="2023-09"/>
    <x v="10"/>
    <x v="10"/>
    <x v="4"/>
    <x v="4"/>
    <x v="0"/>
    <x v="0"/>
    <x v="0"/>
    <x v="1"/>
    <x v="1"/>
    <n v="0"/>
    <n v="2.2999999999999998"/>
  </r>
  <r>
    <s v="2023-07"/>
    <x v="8"/>
    <x v="8"/>
    <x v="9"/>
    <x v="17"/>
    <x v="2"/>
    <x v="1"/>
    <x v="0"/>
    <x v="0"/>
    <x v="0"/>
    <n v="0"/>
    <n v="2.6"/>
  </r>
  <r>
    <s v="2023-08"/>
    <x v="3"/>
    <x v="3"/>
    <x v="4"/>
    <x v="4"/>
    <x v="1"/>
    <x v="2"/>
    <x v="0"/>
    <x v="1"/>
    <x v="1"/>
    <n v="0"/>
    <n v="3.2"/>
  </r>
  <r>
    <s v="2023-07"/>
    <x v="8"/>
    <x v="8"/>
    <x v="4"/>
    <x v="11"/>
    <x v="5"/>
    <x v="1"/>
    <x v="0"/>
    <x v="0"/>
    <x v="0"/>
    <n v="0"/>
    <n v="3.7"/>
  </r>
  <r>
    <s v="2023-01"/>
    <x v="4"/>
    <x v="4"/>
    <x v="0"/>
    <x v="0"/>
    <x v="2"/>
    <x v="0"/>
    <x v="0"/>
    <x v="4"/>
    <x v="0"/>
    <n v="1"/>
    <n v="3.1"/>
  </r>
  <r>
    <s v="2023-06"/>
    <x v="1"/>
    <x v="1"/>
    <x v="3"/>
    <x v="3"/>
    <x v="5"/>
    <x v="0"/>
    <x v="0"/>
    <x v="1"/>
    <x v="1"/>
    <n v="0"/>
    <n v="3.3"/>
  </r>
  <r>
    <s v="2023-01"/>
    <x v="4"/>
    <x v="4"/>
    <x v="1"/>
    <x v="1"/>
    <x v="3"/>
    <x v="1"/>
    <x v="1"/>
    <x v="2"/>
    <x v="6"/>
    <n v="1"/>
    <n v="2.8"/>
  </r>
  <r>
    <s v="2023-09"/>
    <x v="10"/>
    <x v="10"/>
    <x v="3"/>
    <x v="3"/>
    <x v="3"/>
    <x v="1"/>
    <x v="0"/>
    <x v="1"/>
    <x v="1"/>
    <n v="0"/>
    <n v="4.5999999999999996"/>
  </r>
  <r>
    <s v="2023-12"/>
    <x v="9"/>
    <x v="9"/>
    <x v="9"/>
    <x v="14"/>
    <x v="5"/>
    <x v="1"/>
    <x v="1"/>
    <x v="3"/>
    <x v="5"/>
    <n v="0"/>
    <n v="1.3"/>
  </r>
  <r>
    <s v="2023-05"/>
    <x v="7"/>
    <x v="7"/>
    <x v="6"/>
    <x v="7"/>
    <x v="0"/>
    <x v="4"/>
    <x v="0"/>
    <x v="7"/>
    <x v="2"/>
    <n v="0"/>
    <n v="1.2"/>
  </r>
  <r>
    <s v="2023-02"/>
    <x v="6"/>
    <x v="6"/>
    <x v="4"/>
    <x v="11"/>
    <x v="3"/>
    <x v="0"/>
    <x v="1"/>
    <x v="1"/>
    <x v="1"/>
    <n v="0"/>
    <n v="3.3"/>
  </r>
  <r>
    <s v="2023-09"/>
    <x v="10"/>
    <x v="10"/>
    <x v="1"/>
    <x v="1"/>
    <x v="1"/>
    <x v="2"/>
    <x v="1"/>
    <x v="8"/>
    <x v="6"/>
    <n v="0"/>
    <n v="1.4"/>
  </r>
  <r>
    <s v="2023-06"/>
    <x v="1"/>
    <x v="1"/>
    <x v="8"/>
    <x v="10"/>
    <x v="3"/>
    <x v="0"/>
    <x v="1"/>
    <x v="0"/>
    <x v="2"/>
    <n v="0"/>
    <n v="2.6"/>
  </r>
  <r>
    <s v="2023-08"/>
    <x v="3"/>
    <x v="3"/>
    <x v="4"/>
    <x v="11"/>
    <x v="4"/>
    <x v="2"/>
    <x v="1"/>
    <x v="0"/>
    <x v="0"/>
    <n v="0"/>
    <n v="1.8"/>
  </r>
  <r>
    <s v="2023-06"/>
    <x v="1"/>
    <x v="1"/>
    <x v="7"/>
    <x v="13"/>
    <x v="1"/>
    <x v="1"/>
    <x v="1"/>
    <x v="1"/>
    <x v="4"/>
    <n v="0"/>
    <n v="4"/>
  </r>
  <r>
    <s v="2023-06"/>
    <x v="1"/>
    <x v="1"/>
    <x v="8"/>
    <x v="18"/>
    <x v="0"/>
    <x v="1"/>
    <x v="1"/>
    <x v="1"/>
    <x v="1"/>
    <n v="0"/>
    <n v="1.6"/>
  </r>
  <r>
    <s v="2023-02"/>
    <x v="6"/>
    <x v="6"/>
    <x v="8"/>
    <x v="10"/>
    <x v="5"/>
    <x v="2"/>
    <x v="0"/>
    <x v="0"/>
    <x v="0"/>
    <n v="0"/>
    <n v="4.2"/>
  </r>
  <r>
    <s v="2023-03"/>
    <x v="5"/>
    <x v="5"/>
    <x v="6"/>
    <x v="7"/>
    <x v="2"/>
    <x v="2"/>
    <x v="1"/>
    <x v="8"/>
    <x v="8"/>
    <n v="1"/>
    <n v="1.6"/>
  </r>
  <r>
    <s v="2023-10"/>
    <x v="2"/>
    <x v="2"/>
    <x v="8"/>
    <x v="18"/>
    <x v="4"/>
    <x v="0"/>
    <x v="0"/>
    <x v="4"/>
    <x v="0"/>
    <n v="0"/>
    <n v="1.6"/>
  </r>
  <r>
    <s v="2023-01"/>
    <x v="4"/>
    <x v="4"/>
    <x v="2"/>
    <x v="19"/>
    <x v="3"/>
    <x v="0"/>
    <x v="0"/>
    <x v="1"/>
    <x v="4"/>
    <n v="0"/>
    <n v="2.1"/>
  </r>
  <r>
    <s v="2023-10"/>
    <x v="2"/>
    <x v="2"/>
    <x v="8"/>
    <x v="10"/>
    <x v="4"/>
    <x v="2"/>
    <x v="1"/>
    <x v="2"/>
    <x v="3"/>
    <n v="0"/>
    <n v="2.6"/>
  </r>
  <r>
    <s v="2023-11"/>
    <x v="11"/>
    <x v="11"/>
    <x v="2"/>
    <x v="19"/>
    <x v="0"/>
    <x v="5"/>
    <x v="0"/>
    <x v="1"/>
    <x v="4"/>
    <n v="0"/>
    <n v="3.5"/>
  </r>
  <r>
    <s v="2023-03"/>
    <x v="5"/>
    <x v="5"/>
    <x v="4"/>
    <x v="11"/>
    <x v="3"/>
    <x v="5"/>
    <x v="0"/>
    <x v="0"/>
    <x v="0"/>
    <n v="0"/>
    <n v="5"/>
  </r>
  <r>
    <s v="2023-01"/>
    <x v="4"/>
    <x v="4"/>
    <x v="9"/>
    <x v="14"/>
    <x v="1"/>
    <x v="2"/>
    <x v="1"/>
    <x v="7"/>
    <x v="2"/>
    <n v="1"/>
    <n v="2"/>
  </r>
  <r>
    <s v="2023-11"/>
    <x v="11"/>
    <x v="11"/>
    <x v="3"/>
    <x v="15"/>
    <x v="2"/>
    <x v="0"/>
    <x v="0"/>
    <x v="7"/>
    <x v="1"/>
    <n v="0"/>
    <n v="2.2000000000000002"/>
  </r>
  <r>
    <s v="2023-03"/>
    <x v="5"/>
    <x v="5"/>
    <x v="1"/>
    <x v="1"/>
    <x v="0"/>
    <x v="5"/>
    <x v="0"/>
    <x v="0"/>
    <x v="0"/>
    <n v="0"/>
    <n v="4.2"/>
  </r>
  <r>
    <s v="2023-07"/>
    <x v="8"/>
    <x v="8"/>
    <x v="4"/>
    <x v="11"/>
    <x v="4"/>
    <x v="0"/>
    <x v="1"/>
    <x v="0"/>
    <x v="0"/>
    <n v="0"/>
    <n v="3"/>
  </r>
  <r>
    <s v="2023-11"/>
    <x v="11"/>
    <x v="11"/>
    <x v="0"/>
    <x v="0"/>
    <x v="0"/>
    <x v="1"/>
    <x v="1"/>
    <x v="1"/>
    <x v="1"/>
    <n v="0"/>
    <n v="3.3"/>
  </r>
  <r>
    <s v="2023-08"/>
    <x v="3"/>
    <x v="3"/>
    <x v="5"/>
    <x v="6"/>
    <x v="1"/>
    <x v="4"/>
    <x v="1"/>
    <x v="0"/>
    <x v="0"/>
    <n v="0"/>
    <n v="3.1"/>
  </r>
  <r>
    <s v="2023-08"/>
    <x v="3"/>
    <x v="3"/>
    <x v="9"/>
    <x v="17"/>
    <x v="5"/>
    <x v="0"/>
    <x v="1"/>
    <x v="2"/>
    <x v="6"/>
    <n v="0"/>
    <n v="3.7"/>
  </r>
  <r>
    <s v="2023-07"/>
    <x v="8"/>
    <x v="8"/>
    <x v="7"/>
    <x v="13"/>
    <x v="3"/>
    <x v="0"/>
    <x v="1"/>
    <x v="3"/>
    <x v="4"/>
    <n v="0"/>
    <n v="0.8"/>
  </r>
  <r>
    <s v="2023-07"/>
    <x v="8"/>
    <x v="8"/>
    <x v="3"/>
    <x v="15"/>
    <x v="2"/>
    <x v="1"/>
    <x v="1"/>
    <x v="0"/>
    <x v="0"/>
    <n v="0"/>
    <n v="2.2000000000000002"/>
  </r>
  <r>
    <s v="2023-05"/>
    <x v="7"/>
    <x v="7"/>
    <x v="7"/>
    <x v="9"/>
    <x v="5"/>
    <x v="3"/>
    <x v="1"/>
    <x v="1"/>
    <x v="4"/>
    <n v="0"/>
    <n v="4.8"/>
  </r>
  <r>
    <s v="2023-11"/>
    <x v="11"/>
    <x v="11"/>
    <x v="3"/>
    <x v="3"/>
    <x v="4"/>
    <x v="5"/>
    <x v="0"/>
    <x v="7"/>
    <x v="5"/>
    <n v="0"/>
    <n v="2"/>
  </r>
  <r>
    <s v="2023-06"/>
    <x v="1"/>
    <x v="1"/>
    <x v="0"/>
    <x v="12"/>
    <x v="1"/>
    <x v="4"/>
    <x v="1"/>
    <x v="4"/>
    <x v="6"/>
    <n v="0"/>
    <n v="3.5"/>
  </r>
  <r>
    <s v="2023-02"/>
    <x v="6"/>
    <x v="6"/>
    <x v="0"/>
    <x v="0"/>
    <x v="1"/>
    <x v="1"/>
    <x v="0"/>
    <x v="0"/>
    <x v="2"/>
    <n v="1"/>
    <n v="4.0999999999999996"/>
  </r>
  <r>
    <s v="2023-11"/>
    <x v="11"/>
    <x v="11"/>
    <x v="2"/>
    <x v="19"/>
    <x v="5"/>
    <x v="3"/>
    <x v="0"/>
    <x v="2"/>
    <x v="8"/>
    <n v="0"/>
    <n v="2.8"/>
  </r>
  <r>
    <s v="2023-10"/>
    <x v="2"/>
    <x v="2"/>
    <x v="1"/>
    <x v="16"/>
    <x v="4"/>
    <x v="0"/>
    <x v="1"/>
    <x v="7"/>
    <x v="2"/>
    <n v="0"/>
    <n v="3"/>
  </r>
  <r>
    <s v="2023-12"/>
    <x v="9"/>
    <x v="9"/>
    <x v="5"/>
    <x v="6"/>
    <x v="1"/>
    <x v="0"/>
    <x v="1"/>
    <x v="1"/>
    <x v="1"/>
    <n v="0"/>
    <n v="2.6"/>
  </r>
  <r>
    <s v="2023-08"/>
    <x v="3"/>
    <x v="3"/>
    <x v="3"/>
    <x v="3"/>
    <x v="4"/>
    <x v="1"/>
    <x v="1"/>
    <x v="1"/>
    <x v="1"/>
    <n v="0"/>
    <n v="3.6"/>
  </r>
  <r>
    <s v="2023-07"/>
    <x v="8"/>
    <x v="8"/>
    <x v="9"/>
    <x v="17"/>
    <x v="3"/>
    <x v="2"/>
    <x v="1"/>
    <x v="0"/>
    <x v="2"/>
    <n v="1"/>
    <n v="3.7"/>
  </r>
  <r>
    <s v="2023-07"/>
    <x v="8"/>
    <x v="8"/>
    <x v="3"/>
    <x v="15"/>
    <x v="0"/>
    <x v="4"/>
    <x v="1"/>
    <x v="4"/>
    <x v="0"/>
    <n v="0"/>
    <n v="3.1"/>
  </r>
  <r>
    <s v="2023-09"/>
    <x v="10"/>
    <x v="10"/>
    <x v="4"/>
    <x v="4"/>
    <x v="4"/>
    <x v="5"/>
    <x v="1"/>
    <x v="0"/>
    <x v="1"/>
    <n v="0"/>
    <n v="4"/>
  </r>
  <r>
    <s v="2023-08"/>
    <x v="3"/>
    <x v="3"/>
    <x v="1"/>
    <x v="16"/>
    <x v="3"/>
    <x v="1"/>
    <x v="1"/>
    <x v="0"/>
    <x v="0"/>
    <n v="1"/>
    <n v="3.6"/>
  </r>
  <r>
    <s v="2023-12"/>
    <x v="9"/>
    <x v="9"/>
    <x v="5"/>
    <x v="5"/>
    <x v="3"/>
    <x v="0"/>
    <x v="0"/>
    <x v="10"/>
    <x v="9"/>
    <n v="0"/>
    <n v="1.5"/>
  </r>
  <r>
    <s v="2023-04"/>
    <x v="0"/>
    <x v="0"/>
    <x v="1"/>
    <x v="1"/>
    <x v="1"/>
    <x v="3"/>
    <x v="0"/>
    <x v="7"/>
    <x v="2"/>
    <n v="0"/>
    <n v="2.2000000000000002"/>
  </r>
  <r>
    <s v="2023-04"/>
    <x v="0"/>
    <x v="0"/>
    <x v="5"/>
    <x v="6"/>
    <x v="3"/>
    <x v="0"/>
    <x v="1"/>
    <x v="8"/>
    <x v="6"/>
    <n v="1"/>
    <n v="2.9"/>
  </r>
  <r>
    <s v="2023-01"/>
    <x v="4"/>
    <x v="4"/>
    <x v="7"/>
    <x v="13"/>
    <x v="1"/>
    <x v="5"/>
    <x v="0"/>
    <x v="3"/>
    <x v="5"/>
    <n v="0"/>
    <n v="1.9"/>
  </r>
  <r>
    <s v="2023-07"/>
    <x v="8"/>
    <x v="8"/>
    <x v="6"/>
    <x v="8"/>
    <x v="2"/>
    <x v="1"/>
    <x v="1"/>
    <x v="12"/>
    <x v="11"/>
    <n v="0"/>
    <n v="3.1"/>
  </r>
  <r>
    <s v="2023-06"/>
    <x v="1"/>
    <x v="1"/>
    <x v="5"/>
    <x v="6"/>
    <x v="1"/>
    <x v="0"/>
    <x v="1"/>
    <x v="7"/>
    <x v="2"/>
    <n v="0"/>
    <n v="2.1"/>
  </r>
  <r>
    <s v="2023-08"/>
    <x v="3"/>
    <x v="3"/>
    <x v="1"/>
    <x v="16"/>
    <x v="5"/>
    <x v="0"/>
    <x v="0"/>
    <x v="4"/>
    <x v="0"/>
    <n v="0"/>
    <n v="4.0999999999999996"/>
  </r>
  <r>
    <s v="2023-07"/>
    <x v="8"/>
    <x v="8"/>
    <x v="0"/>
    <x v="0"/>
    <x v="3"/>
    <x v="2"/>
    <x v="0"/>
    <x v="4"/>
    <x v="0"/>
    <n v="0"/>
    <n v="4.5"/>
  </r>
  <r>
    <s v="2023-03"/>
    <x v="5"/>
    <x v="5"/>
    <x v="7"/>
    <x v="9"/>
    <x v="5"/>
    <x v="4"/>
    <x v="1"/>
    <x v="7"/>
    <x v="1"/>
    <n v="0"/>
    <n v="2.2000000000000002"/>
  </r>
  <r>
    <s v="2023-05"/>
    <x v="7"/>
    <x v="7"/>
    <x v="3"/>
    <x v="15"/>
    <x v="4"/>
    <x v="2"/>
    <x v="1"/>
    <x v="7"/>
    <x v="2"/>
    <n v="0"/>
    <n v="3"/>
  </r>
  <r>
    <s v="2023-08"/>
    <x v="3"/>
    <x v="3"/>
    <x v="2"/>
    <x v="19"/>
    <x v="4"/>
    <x v="3"/>
    <x v="0"/>
    <x v="1"/>
    <x v="4"/>
    <n v="0"/>
    <n v="4"/>
  </r>
  <r>
    <s v="2023-03"/>
    <x v="5"/>
    <x v="5"/>
    <x v="1"/>
    <x v="16"/>
    <x v="0"/>
    <x v="4"/>
    <x v="1"/>
    <x v="1"/>
    <x v="1"/>
    <n v="0"/>
    <n v="4.9000000000000004"/>
  </r>
  <r>
    <s v="2023-08"/>
    <x v="3"/>
    <x v="3"/>
    <x v="8"/>
    <x v="18"/>
    <x v="2"/>
    <x v="4"/>
    <x v="1"/>
    <x v="5"/>
    <x v="11"/>
    <n v="0"/>
    <n v="2.1"/>
  </r>
  <r>
    <s v="2023-12"/>
    <x v="9"/>
    <x v="9"/>
    <x v="7"/>
    <x v="9"/>
    <x v="1"/>
    <x v="4"/>
    <x v="1"/>
    <x v="3"/>
    <x v="4"/>
    <n v="1"/>
    <n v="2.2999999999999998"/>
  </r>
  <r>
    <s v="2023-12"/>
    <x v="9"/>
    <x v="9"/>
    <x v="3"/>
    <x v="15"/>
    <x v="5"/>
    <x v="2"/>
    <x v="1"/>
    <x v="7"/>
    <x v="2"/>
    <n v="0"/>
    <n v="2.7"/>
  </r>
  <r>
    <s v="2023-09"/>
    <x v="10"/>
    <x v="10"/>
    <x v="6"/>
    <x v="7"/>
    <x v="5"/>
    <x v="2"/>
    <x v="0"/>
    <x v="1"/>
    <x v="1"/>
    <n v="1"/>
    <n v="3.1"/>
  </r>
  <r>
    <s v="2023-04"/>
    <x v="0"/>
    <x v="0"/>
    <x v="5"/>
    <x v="5"/>
    <x v="0"/>
    <x v="4"/>
    <x v="1"/>
    <x v="8"/>
    <x v="6"/>
    <n v="0"/>
    <n v="3.9"/>
  </r>
  <r>
    <s v="2023-12"/>
    <x v="9"/>
    <x v="9"/>
    <x v="6"/>
    <x v="7"/>
    <x v="4"/>
    <x v="5"/>
    <x v="0"/>
    <x v="7"/>
    <x v="2"/>
    <n v="0"/>
    <n v="2.1"/>
  </r>
  <r>
    <s v="2023-01"/>
    <x v="4"/>
    <x v="4"/>
    <x v="6"/>
    <x v="7"/>
    <x v="0"/>
    <x v="2"/>
    <x v="1"/>
    <x v="0"/>
    <x v="2"/>
    <n v="1"/>
    <n v="4.5"/>
  </r>
  <r>
    <s v="2023-05"/>
    <x v="7"/>
    <x v="7"/>
    <x v="0"/>
    <x v="12"/>
    <x v="3"/>
    <x v="4"/>
    <x v="1"/>
    <x v="3"/>
    <x v="4"/>
    <n v="0"/>
    <n v="2.2999999999999998"/>
  </r>
  <r>
    <s v="2023-06"/>
    <x v="1"/>
    <x v="1"/>
    <x v="0"/>
    <x v="12"/>
    <x v="3"/>
    <x v="4"/>
    <x v="1"/>
    <x v="7"/>
    <x v="2"/>
    <n v="0"/>
    <n v="4"/>
  </r>
  <r>
    <s v="2023-02"/>
    <x v="6"/>
    <x v="6"/>
    <x v="5"/>
    <x v="5"/>
    <x v="0"/>
    <x v="4"/>
    <x v="0"/>
    <x v="5"/>
    <x v="5"/>
    <n v="0"/>
    <n v="1.7"/>
  </r>
  <r>
    <s v="2023-08"/>
    <x v="3"/>
    <x v="3"/>
    <x v="2"/>
    <x v="19"/>
    <x v="2"/>
    <x v="2"/>
    <x v="1"/>
    <x v="3"/>
    <x v="5"/>
    <n v="0"/>
    <n v="1.6"/>
  </r>
  <r>
    <s v="2023-10"/>
    <x v="2"/>
    <x v="2"/>
    <x v="5"/>
    <x v="6"/>
    <x v="1"/>
    <x v="1"/>
    <x v="0"/>
    <x v="0"/>
    <x v="0"/>
    <n v="0"/>
    <n v="4"/>
  </r>
  <r>
    <s v="2023-07"/>
    <x v="8"/>
    <x v="8"/>
    <x v="6"/>
    <x v="7"/>
    <x v="3"/>
    <x v="4"/>
    <x v="0"/>
    <x v="7"/>
    <x v="2"/>
    <n v="0"/>
    <n v="3.1"/>
  </r>
  <r>
    <s v="2023-04"/>
    <x v="0"/>
    <x v="0"/>
    <x v="8"/>
    <x v="18"/>
    <x v="2"/>
    <x v="0"/>
    <x v="1"/>
    <x v="8"/>
    <x v="0"/>
    <n v="0"/>
    <n v="2.2999999999999998"/>
  </r>
  <r>
    <s v="2023-07"/>
    <x v="8"/>
    <x v="8"/>
    <x v="8"/>
    <x v="18"/>
    <x v="5"/>
    <x v="1"/>
    <x v="1"/>
    <x v="1"/>
    <x v="4"/>
    <n v="0"/>
    <n v="2.1"/>
  </r>
  <r>
    <s v="2023-02"/>
    <x v="6"/>
    <x v="6"/>
    <x v="3"/>
    <x v="3"/>
    <x v="2"/>
    <x v="5"/>
    <x v="0"/>
    <x v="7"/>
    <x v="2"/>
    <n v="0"/>
    <n v="2.2000000000000002"/>
  </r>
  <r>
    <s v="2023-07"/>
    <x v="8"/>
    <x v="8"/>
    <x v="4"/>
    <x v="4"/>
    <x v="2"/>
    <x v="5"/>
    <x v="0"/>
    <x v="7"/>
    <x v="2"/>
    <n v="1"/>
    <n v="3.4"/>
  </r>
  <r>
    <s v="2023-01"/>
    <x v="4"/>
    <x v="4"/>
    <x v="0"/>
    <x v="0"/>
    <x v="2"/>
    <x v="5"/>
    <x v="1"/>
    <x v="2"/>
    <x v="3"/>
    <n v="0"/>
    <n v="5.6"/>
  </r>
  <r>
    <s v="2023-05"/>
    <x v="7"/>
    <x v="7"/>
    <x v="6"/>
    <x v="7"/>
    <x v="3"/>
    <x v="5"/>
    <x v="0"/>
    <x v="0"/>
    <x v="0"/>
    <n v="0"/>
    <n v="3.3"/>
  </r>
  <r>
    <s v="2023-10"/>
    <x v="2"/>
    <x v="2"/>
    <x v="4"/>
    <x v="11"/>
    <x v="0"/>
    <x v="3"/>
    <x v="1"/>
    <x v="4"/>
    <x v="6"/>
    <n v="1"/>
    <n v="5"/>
  </r>
  <r>
    <s v="2023-04"/>
    <x v="0"/>
    <x v="0"/>
    <x v="7"/>
    <x v="9"/>
    <x v="5"/>
    <x v="2"/>
    <x v="1"/>
    <x v="3"/>
    <x v="5"/>
    <n v="0"/>
    <n v="3.4"/>
  </r>
  <r>
    <s v="2023-04"/>
    <x v="0"/>
    <x v="0"/>
    <x v="1"/>
    <x v="1"/>
    <x v="4"/>
    <x v="1"/>
    <x v="0"/>
    <x v="1"/>
    <x v="1"/>
    <n v="0"/>
    <n v="3.9"/>
  </r>
  <r>
    <s v="2023-07"/>
    <x v="8"/>
    <x v="8"/>
    <x v="5"/>
    <x v="5"/>
    <x v="4"/>
    <x v="1"/>
    <x v="0"/>
    <x v="4"/>
    <x v="0"/>
    <n v="0"/>
    <n v="2.8"/>
  </r>
  <r>
    <s v="2023-01"/>
    <x v="4"/>
    <x v="4"/>
    <x v="9"/>
    <x v="14"/>
    <x v="5"/>
    <x v="3"/>
    <x v="1"/>
    <x v="7"/>
    <x v="2"/>
    <n v="0"/>
    <n v="2.8"/>
  </r>
  <r>
    <s v="2023-10"/>
    <x v="2"/>
    <x v="2"/>
    <x v="7"/>
    <x v="13"/>
    <x v="2"/>
    <x v="2"/>
    <x v="1"/>
    <x v="4"/>
    <x v="6"/>
    <n v="0"/>
    <n v="4.5"/>
  </r>
  <r>
    <s v="2023-06"/>
    <x v="1"/>
    <x v="1"/>
    <x v="3"/>
    <x v="3"/>
    <x v="5"/>
    <x v="0"/>
    <x v="0"/>
    <x v="0"/>
    <x v="1"/>
    <n v="0"/>
    <n v="4.3"/>
  </r>
  <r>
    <s v="2023-06"/>
    <x v="1"/>
    <x v="1"/>
    <x v="4"/>
    <x v="4"/>
    <x v="5"/>
    <x v="2"/>
    <x v="0"/>
    <x v="1"/>
    <x v="1"/>
    <n v="0"/>
    <n v="2.2999999999999998"/>
  </r>
  <r>
    <s v="2023-02"/>
    <x v="6"/>
    <x v="6"/>
    <x v="4"/>
    <x v="4"/>
    <x v="4"/>
    <x v="5"/>
    <x v="0"/>
    <x v="2"/>
    <x v="8"/>
    <n v="0"/>
    <n v="2.5"/>
  </r>
  <r>
    <s v="2023-07"/>
    <x v="8"/>
    <x v="8"/>
    <x v="4"/>
    <x v="4"/>
    <x v="0"/>
    <x v="1"/>
    <x v="0"/>
    <x v="4"/>
    <x v="6"/>
    <n v="1"/>
    <n v="1.6"/>
  </r>
  <r>
    <s v="2023-03"/>
    <x v="5"/>
    <x v="5"/>
    <x v="5"/>
    <x v="6"/>
    <x v="4"/>
    <x v="0"/>
    <x v="1"/>
    <x v="4"/>
    <x v="6"/>
    <n v="0"/>
    <n v="2.1"/>
  </r>
  <r>
    <s v="2023-06"/>
    <x v="1"/>
    <x v="1"/>
    <x v="9"/>
    <x v="14"/>
    <x v="0"/>
    <x v="4"/>
    <x v="0"/>
    <x v="1"/>
    <x v="1"/>
    <n v="0"/>
    <n v="2.9"/>
  </r>
  <r>
    <s v="2023-05"/>
    <x v="7"/>
    <x v="7"/>
    <x v="4"/>
    <x v="4"/>
    <x v="1"/>
    <x v="0"/>
    <x v="1"/>
    <x v="8"/>
    <x v="6"/>
    <n v="0"/>
    <n v="0.9"/>
  </r>
  <r>
    <s v="2023-03"/>
    <x v="5"/>
    <x v="5"/>
    <x v="2"/>
    <x v="2"/>
    <x v="1"/>
    <x v="3"/>
    <x v="0"/>
    <x v="8"/>
    <x v="6"/>
    <n v="0"/>
    <n v="2.8"/>
  </r>
  <r>
    <s v="2023-08"/>
    <x v="3"/>
    <x v="3"/>
    <x v="2"/>
    <x v="19"/>
    <x v="0"/>
    <x v="2"/>
    <x v="1"/>
    <x v="7"/>
    <x v="2"/>
    <n v="0"/>
    <n v="3.4"/>
  </r>
  <r>
    <s v="2023-06"/>
    <x v="1"/>
    <x v="1"/>
    <x v="4"/>
    <x v="4"/>
    <x v="0"/>
    <x v="3"/>
    <x v="0"/>
    <x v="8"/>
    <x v="0"/>
    <n v="0"/>
    <n v="3.1"/>
  </r>
  <r>
    <s v="2023-08"/>
    <x v="3"/>
    <x v="3"/>
    <x v="3"/>
    <x v="15"/>
    <x v="4"/>
    <x v="4"/>
    <x v="0"/>
    <x v="4"/>
    <x v="0"/>
    <n v="0"/>
    <n v="3"/>
  </r>
  <r>
    <s v="2023-06"/>
    <x v="1"/>
    <x v="1"/>
    <x v="0"/>
    <x v="12"/>
    <x v="3"/>
    <x v="4"/>
    <x v="0"/>
    <x v="8"/>
    <x v="6"/>
    <n v="0"/>
    <n v="1.6"/>
  </r>
  <r>
    <s v="2023-11"/>
    <x v="11"/>
    <x v="11"/>
    <x v="9"/>
    <x v="14"/>
    <x v="5"/>
    <x v="3"/>
    <x v="1"/>
    <x v="7"/>
    <x v="2"/>
    <n v="0"/>
    <n v="3.7"/>
  </r>
  <r>
    <s v="2023-07"/>
    <x v="8"/>
    <x v="8"/>
    <x v="4"/>
    <x v="4"/>
    <x v="2"/>
    <x v="1"/>
    <x v="1"/>
    <x v="0"/>
    <x v="1"/>
    <n v="0"/>
    <n v="2.2999999999999998"/>
  </r>
  <r>
    <s v="2023-10"/>
    <x v="2"/>
    <x v="2"/>
    <x v="3"/>
    <x v="3"/>
    <x v="1"/>
    <x v="3"/>
    <x v="1"/>
    <x v="7"/>
    <x v="4"/>
    <n v="0"/>
    <n v="3.5"/>
  </r>
  <r>
    <s v="2023-12"/>
    <x v="9"/>
    <x v="9"/>
    <x v="7"/>
    <x v="9"/>
    <x v="2"/>
    <x v="3"/>
    <x v="1"/>
    <x v="7"/>
    <x v="1"/>
    <n v="0"/>
    <n v="2.8"/>
  </r>
  <r>
    <s v="2023-12"/>
    <x v="9"/>
    <x v="9"/>
    <x v="7"/>
    <x v="9"/>
    <x v="4"/>
    <x v="2"/>
    <x v="0"/>
    <x v="4"/>
    <x v="6"/>
    <n v="0"/>
    <n v="1.5"/>
  </r>
  <r>
    <s v="2023-07"/>
    <x v="8"/>
    <x v="8"/>
    <x v="9"/>
    <x v="17"/>
    <x v="1"/>
    <x v="1"/>
    <x v="1"/>
    <x v="1"/>
    <x v="4"/>
    <n v="0"/>
    <n v="1.7"/>
  </r>
  <r>
    <s v="2023-02"/>
    <x v="6"/>
    <x v="6"/>
    <x v="8"/>
    <x v="10"/>
    <x v="4"/>
    <x v="1"/>
    <x v="0"/>
    <x v="7"/>
    <x v="1"/>
    <n v="0"/>
    <n v="2.6"/>
  </r>
  <r>
    <s v="2023-06"/>
    <x v="1"/>
    <x v="1"/>
    <x v="0"/>
    <x v="0"/>
    <x v="5"/>
    <x v="3"/>
    <x v="1"/>
    <x v="4"/>
    <x v="6"/>
    <n v="0"/>
    <n v="2.4"/>
  </r>
  <r>
    <s v="2023-08"/>
    <x v="3"/>
    <x v="3"/>
    <x v="9"/>
    <x v="17"/>
    <x v="2"/>
    <x v="4"/>
    <x v="0"/>
    <x v="7"/>
    <x v="2"/>
    <n v="1"/>
    <n v="4.5"/>
  </r>
  <r>
    <s v="2023-03"/>
    <x v="5"/>
    <x v="5"/>
    <x v="1"/>
    <x v="16"/>
    <x v="3"/>
    <x v="5"/>
    <x v="0"/>
    <x v="3"/>
    <x v="4"/>
    <n v="0"/>
    <n v="1.9"/>
  </r>
  <r>
    <s v="2023-06"/>
    <x v="1"/>
    <x v="1"/>
    <x v="3"/>
    <x v="15"/>
    <x v="2"/>
    <x v="4"/>
    <x v="1"/>
    <x v="3"/>
    <x v="4"/>
    <n v="0"/>
    <n v="5.9"/>
  </r>
  <r>
    <s v="2023-05"/>
    <x v="7"/>
    <x v="7"/>
    <x v="4"/>
    <x v="4"/>
    <x v="2"/>
    <x v="1"/>
    <x v="0"/>
    <x v="0"/>
    <x v="2"/>
    <n v="0"/>
    <n v="3.3"/>
  </r>
  <r>
    <s v="2023-06"/>
    <x v="1"/>
    <x v="1"/>
    <x v="1"/>
    <x v="1"/>
    <x v="1"/>
    <x v="5"/>
    <x v="1"/>
    <x v="0"/>
    <x v="0"/>
    <n v="1"/>
    <n v="2.1"/>
  </r>
  <r>
    <s v="2023-03"/>
    <x v="5"/>
    <x v="5"/>
    <x v="6"/>
    <x v="8"/>
    <x v="2"/>
    <x v="2"/>
    <x v="1"/>
    <x v="8"/>
    <x v="8"/>
    <n v="0"/>
    <n v="3.2"/>
  </r>
  <r>
    <s v="2023-09"/>
    <x v="10"/>
    <x v="10"/>
    <x v="5"/>
    <x v="6"/>
    <x v="1"/>
    <x v="3"/>
    <x v="1"/>
    <x v="8"/>
    <x v="6"/>
    <n v="0"/>
    <n v="2.6"/>
  </r>
  <r>
    <s v="2023-03"/>
    <x v="5"/>
    <x v="5"/>
    <x v="4"/>
    <x v="11"/>
    <x v="3"/>
    <x v="2"/>
    <x v="1"/>
    <x v="0"/>
    <x v="0"/>
    <n v="1"/>
    <n v="3.6"/>
  </r>
  <r>
    <s v="2023-11"/>
    <x v="11"/>
    <x v="11"/>
    <x v="5"/>
    <x v="5"/>
    <x v="0"/>
    <x v="2"/>
    <x v="1"/>
    <x v="3"/>
    <x v="4"/>
    <n v="0"/>
    <n v="2.2000000000000002"/>
  </r>
  <r>
    <s v="2023-12"/>
    <x v="9"/>
    <x v="9"/>
    <x v="1"/>
    <x v="1"/>
    <x v="0"/>
    <x v="1"/>
    <x v="0"/>
    <x v="0"/>
    <x v="0"/>
    <n v="0"/>
    <n v="2.7"/>
  </r>
  <r>
    <s v="2023-04"/>
    <x v="0"/>
    <x v="0"/>
    <x v="8"/>
    <x v="18"/>
    <x v="3"/>
    <x v="1"/>
    <x v="1"/>
    <x v="8"/>
    <x v="8"/>
    <n v="0"/>
    <n v="3.6"/>
  </r>
  <r>
    <s v="2023-03"/>
    <x v="5"/>
    <x v="5"/>
    <x v="0"/>
    <x v="0"/>
    <x v="2"/>
    <x v="1"/>
    <x v="1"/>
    <x v="0"/>
    <x v="2"/>
    <n v="0"/>
    <n v="3.5"/>
  </r>
  <r>
    <s v="2023-11"/>
    <x v="11"/>
    <x v="11"/>
    <x v="0"/>
    <x v="12"/>
    <x v="0"/>
    <x v="2"/>
    <x v="0"/>
    <x v="3"/>
    <x v="4"/>
    <n v="0"/>
    <n v="-0.3"/>
  </r>
  <r>
    <s v="2023-11"/>
    <x v="11"/>
    <x v="11"/>
    <x v="8"/>
    <x v="18"/>
    <x v="1"/>
    <x v="2"/>
    <x v="0"/>
    <x v="3"/>
    <x v="4"/>
    <n v="0"/>
    <n v="4.2"/>
  </r>
  <r>
    <s v="2023-04"/>
    <x v="0"/>
    <x v="0"/>
    <x v="1"/>
    <x v="1"/>
    <x v="3"/>
    <x v="2"/>
    <x v="0"/>
    <x v="4"/>
    <x v="6"/>
    <n v="0"/>
    <n v="2.9"/>
  </r>
  <r>
    <s v="2023-03"/>
    <x v="5"/>
    <x v="5"/>
    <x v="1"/>
    <x v="1"/>
    <x v="1"/>
    <x v="1"/>
    <x v="0"/>
    <x v="6"/>
    <x v="9"/>
    <n v="1"/>
    <n v="3.1"/>
  </r>
  <r>
    <s v="2023-02"/>
    <x v="6"/>
    <x v="6"/>
    <x v="4"/>
    <x v="11"/>
    <x v="0"/>
    <x v="1"/>
    <x v="1"/>
    <x v="4"/>
    <x v="6"/>
    <n v="0"/>
    <n v="3.2"/>
  </r>
  <r>
    <s v="2023-01"/>
    <x v="4"/>
    <x v="4"/>
    <x v="5"/>
    <x v="6"/>
    <x v="3"/>
    <x v="5"/>
    <x v="1"/>
    <x v="7"/>
    <x v="2"/>
    <n v="0"/>
    <n v="4.2"/>
  </r>
  <r>
    <s v="2023-07"/>
    <x v="8"/>
    <x v="8"/>
    <x v="5"/>
    <x v="6"/>
    <x v="3"/>
    <x v="4"/>
    <x v="1"/>
    <x v="7"/>
    <x v="2"/>
    <n v="0"/>
    <n v="2.1"/>
  </r>
  <r>
    <s v="2023-06"/>
    <x v="1"/>
    <x v="1"/>
    <x v="6"/>
    <x v="7"/>
    <x v="4"/>
    <x v="4"/>
    <x v="1"/>
    <x v="0"/>
    <x v="0"/>
    <n v="0"/>
    <n v="3.3"/>
  </r>
  <r>
    <s v="2023-11"/>
    <x v="11"/>
    <x v="11"/>
    <x v="5"/>
    <x v="5"/>
    <x v="1"/>
    <x v="3"/>
    <x v="0"/>
    <x v="4"/>
    <x v="6"/>
    <n v="2"/>
    <n v="4"/>
  </r>
  <r>
    <s v="2023-02"/>
    <x v="6"/>
    <x v="6"/>
    <x v="5"/>
    <x v="6"/>
    <x v="0"/>
    <x v="0"/>
    <x v="0"/>
    <x v="3"/>
    <x v="5"/>
    <n v="0"/>
    <n v="1.3"/>
  </r>
  <r>
    <s v="2023-11"/>
    <x v="11"/>
    <x v="11"/>
    <x v="3"/>
    <x v="3"/>
    <x v="5"/>
    <x v="1"/>
    <x v="0"/>
    <x v="6"/>
    <x v="7"/>
    <n v="0"/>
    <n v="0.6"/>
  </r>
  <r>
    <s v="2023-12"/>
    <x v="9"/>
    <x v="9"/>
    <x v="6"/>
    <x v="7"/>
    <x v="2"/>
    <x v="4"/>
    <x v="1"/>
    <x v="0"/>
    <x v="2"/>
    <n v="0"/>
    <n v="3.2"/>
  </r>
  <r>
    <s v="2023-10"/>
    <x v="2"/>
    <x v="2"/>
    <x v="4"/>
    <x v="4"/>
    <x v="3"/>
    <x v="2"/>
    <x v="0"/>
    <x v="7"/>
    <x v="2"/>
    <n v="0"/>
    <n v="2.2999999999999998"/>
  </r>
  <r>
    <s v="2023-07"/>
    <x v="8"/>
    <x v="8"/>
    <x v="9"/>
    <x v="14"/>
    <x v="3"/>
    <x v="5"/>
    <x v="0"/>
    <x v="7"/>
    <x v="2"/>
    <n v="1"/>
    <n v="2.6"/>
  </r>
  <r>
    <s v="2023-09"/>
    <x v="10"/>
    <x v="10"/>
    <x v="2"/>
    <x v="19"/>
    <x v="3"/>
    <x v="2"/>
    <x v="0"/>
    <x v="1"/>
    <x v="1"/>
    <n v="0"/>
    <n v="2.1"/>
  </r>
  <r>
    <s v="2023-04"/>
    <x v="0"/>
    <x v="0"/>
    <x v="0"/>
    <x v="0"/>
    <x v="3"/>
    <x v="0"/>
    <x v="0"/>
    <x v="4"/>
    <x v="0"/>
    <n v="0"/>
    <n v="2.2999999999999998"/>
  </r>
  <r>
    <s v="2023-05"/>
    <x v="7"/>
    <x v="7"/>
    <x v="9"/>
    <x v="17"/>
    <x v="4"/>
    <x v="5"/>
    <x v="0"/>
    <x v="7"/>
    <x v="2"/>
    <n v="0"/>
    <n v="2.9"/>
  </r>
  <r>
    <s v="2023-02"/>
    <x v="6"/>
    <x v="6"/>
    <x v="4"/>
    <x v="4"/>
    <x v="5"/>
    <x v="1"/>
    <x v="1"/>
    <x v="2"/>
    <x v="3"/>
    <n v="0"/>
    <n v="3.3"/>
  </r>
  <r>
    <s v="2023-12"/>
    <x v="9"/>
    <x v="9"/>
    <x v="4"/>
    <x v="11"/>
    <x v="4"/>
    <x v="4"/>
    <x v="0"/>
    <x v="0"/>
    <x v="2"/>
    <n v="0"/>
    <n v="3.1"/>
  </r>
  <r>
    <s v="2023-09"/>
    <x v="10"/>
    <x v="10"/>
    <x v="1"/>
    <x v="16"/>
    <x v="0"/>
    <x v="0"/>
    <x v="1"/>
    <x v="0"/>
    <x v="0"/>
    <n v="1"/>
    <n v="2.9"/>
  </r>
  <r>
    <s v="2023-02"/>
    <x v="6"/>
    <x v="6"/>
    <x v="4"/>
    <x v="11"/>
    <x v="3"/>
    <x v="3"/>
    <x v="1"/>
    <x v="4"/>
    <x v="6"/>
    <n v="0"/>
    <n v="1.2"/>
  </r>
  <r>
    <s v="2023-05"/>
    <x v="7"/>
    <x v="7"/>
    <x v="5"/>
    <x v="6"/>
    <x v="0"/>
    <x v="4"/>
    <x v="1"/>
    <x v="7"/>
    <x v="2"/>
    <n v="1"/>
    <n v="2.2999999999999998"/>
  </r>
  <r>
    <s v="2023-05"/>
    <x v="7"/>
    <x v="7"/>
    <x v="0"/>
    <x v="12"/>
    <x v="2"/>
    <x v="2"/>
    <x v="0"/>
    <x v="0"/>
    <x v="0"/>
    <n v="1"/>
    <n v="2.9"/>
  </r>
  <r>
    <s v="2023-06"/>
    <x v="1"/>
    <x v="1"/>
    <x v="5"/>
    <x v="5"/>
    <x v="4"/>
    <x v="1"/>
    <x v="1"/>
    <x v="0"/>
    <x v="0"/>
    <n v="0"/>
    <n v="3.8"/>
  </r>
  <r>
    <s v="2023-09"/>
    <x v="10"/>
    <x v="10"/>
    <x v="4"/>
    <x v="4"/>
    <x v="4"/>
    <x v="0"/>
    <x v="1"/>
    <x v="7"/>
    <x v="2"/>
    <n v="0"/>
    <n v="1"/>
  </r>
  <r>
    <s v="2023-09"/>
    <x v="10"/>
    <x v="10"/>
    <x v="1"/>
    <x v="16"/>
    <x v="4"/>
    <x v="4"/>
    <x v="0"/>
    <x v="2"/>
    <x v="8"/>
    <n v="1"/>
    <n v="3.5"/>
  </r>
  <r>
    <s v="2023-08"/>
    <x v="3"/>
    <x v="3"/>
    <x v="4"/>
    <x v="11"/>
    <x v="5"/>
    <x v="1"/>
    <x v="0"/>
    <x v="7"/>
    <x v="2"/>
    <n v="0"/>
    <n v="4.7"/>
  </r>
  <r>
    <s v="2023-06"/>
    <x v="1"/>
    <x v="1"/>
    <x v="3"/>
    <x v="15"/>
    <x v="3"/>
    <x v="4"/>
    <x v="1"/>
    <x v="7"/>
    <x v="1"/>
    <n v="0"/>
    <n v="2.1"/>
  </r>
  <r>
    <s v="2023-07"/>
    <x v="8"/>
    <x v="8"/>
    <x v="5"/>
    <x v="6"/>
    <x v="0"/>
    <x v="2"/>
    <x v="1"/>
    <x v="2"/>
    <x v="3"/>
    <n v="0"/>
    <n v="2"/>
  </r>
  <r>
    <s v="2023-04"/>
    <x v="0"/>
    <x v="0"/>
    <x v="5"/>
    <x v="6"/>
    <x v="4"/>
    <x v="1"/>
    <x v="1"/>
    <x v="3"/>
    <x v="4"/>
    <n v="0"/>
    <n v="3.5"/>
  </r>
  <r>
    <s v="2023-12"/>
    <x v="9"/>
    <x v="9"/>
    <x v="5"/>
    <x v="5"/>
    <x v="0"/>
    <x v="5"/>
    <x v="1"/>
    <x v="2"/>
    <x v="3"/>
    <n v="1"/>
    <n v="3.3"/>
  </r>
  <r>
    <s v="2023-10"/>
    <x v="2"/>
    <x v="2"/>
    <x v="0"/>
    <x v="0"/>
    <x v="0"/>
    <x v="1"/>
    <x v="1"/>
    <x v="8"/>
    <x v="8"/>
    <n v="0"/>
    <n v="4.7"/>
  </r>
  <r>
    <s v="2023-05"/>
    <x v="7"/>
    <x v="7"/>
    <x v="2"/>
    <x v="2"/>
    <x v="3"/>
    <x v="1"/>
    <x v="0"/>
    <x v="8"/>
    <x v="8"/>
    <n v="1"/>
    <n v="4.2"/>
  </r>
  <r>
    <s v="2023-06"/>
    <x v="1"/>
    <x v="1"/>
    <x v="8"/>
    <x v="18"/>
    <x v="1"/>
    <x v="0"/>
    <x v="1"/>
    <x v="3"/>
    <x v="5"/>
    <n v="0"/>
    <n v="3"/>
  </r>
  <r>
    <s v="2023-03"/>
    <x v="5"/>
    <x v="5"/>
    <x v="5"/>
    <x v="6"/>
    <x v="0"/>
    <x v="2"/>
    <x v="1"/>
    <x v="1"/>
    <x v="1"/>
    <n v="0"/>
    <n v="3.5"/>
  </r>
  <r>
    <s v="2023-12"/>
    <x v="9"/>
    <x v="9"/>
    <x v="0"/>
    <x v="0"/>
    <x v="1"/>
    <x v="4"/>
    <x v="1"/>
    <x v="4"/>
    <x v="0"/>
    <n v="0"/>
    <n v="3.6"/>
  </r>
  <r>
    <s v="2023-07"/>
    <x v="8"/>
    <x v="8"/>
    <x v="6"/>
    <x v="8"/>
    <x v="2"/>
    <x v="0"/>
    <x v="0"/>
    <x v="1"/>
    <x v="1"/>
    <n v="0"/>
    <n v="3.4"/>
  </r>
  <r>
    <s v="2023-09"/>
    <x v="10"/>
    <x v="10"/>
    <x v="9"/>
    <x v="14"/>
    <x v="5"/>
    <x v="1"/>
    <x v="1"/>
    <x v="7"/>
    <x v="1"/>
    <n v="0"/>
    <n v="1.6"/>
  </r>
  <r>
    <s v="2023-06"/>
    <x v="1"/>
    <x v="1"/>
    <x v="3"/>
    <x v="15"/>
    <x v="1"/>
    <x v="0"/>
    <x v="1"/>
    <x v="1"/>
    <x v="1"/>
    <n v="0"/>
    <n v="2.4"/>
  </r>
  <r>
    <s v="2023-07"/>
    <x v="8"/>
    <x v="8"/>
    <x v="9"/>
    <x v="14"/>
    <x v="5"/>
    <x v="2"/>
    <x v="0"/>
    <x v="0"/>
    <x v="0"/>
    <n v="0"/>
    <n v="2.2999999999999998"/>
  </r>
  <r>
    <s v="2023-09"/>
    <x v="10"/>
    <x v="10"/>
    <x v="1"/>
    <x v="16"/>
    <x v="0"/>
    <x v="4"/>
    <x v="1"/>
    <x v="1"/>
    <x v="4"/>
    <n v="0"/>
    <n v="1.4"/>
  </r>
  <r>
    <s v="2023-10"/>
    <x v="2"/>
    <x v="2"/>
    <x v="7"/>
    <x v="9"/>
    <x v="0"/>
    <x v="1"/>
    <x v="1"/>
    <x v="1"/>
    <x v="1"/>
    <n v="0"/>
    <n v="4.0999999999999996"/>
  </r>
  <r>
    <s v="2023-10"/>
    <x v="2"/>
    <x v="2"/>
    <x v="1"/>
    <x v="1"/>
    <x v="5"/>
    <x v="0"/>
    <x v="1"/>
    <x v="3"/>
    <x v="4"/>
    <n v="0"/>
    <n v="3.1"/>
  </r>
  <r>
    <s v="2023-10"/>
    <x v="2"/>
    <x v="2"/>
    <x v="4"/>
    <x v="4"/>
    <x v="3"/>
    <x v="3"/>
    <x v="0"/>
    <x v="4"/>
    <x v="6"/>
    <n v="1"/>
    <n v="3.5"/>
  </r>
  <r>
    <s v="2023-03"/>
    <x v="5"/>
    <x v="5"/>
    <x v="2"/>
    <x v="19"/>
    <x v="0"/>
    <x v="1"/>
    <x v="0"/>
    <x v="7"/>
    <x v="1"/>
    <n v="0"/>
    <n v="4.9000000000000004"/>
  </r>
  <r>
    <s v="2023-10"/>
    <x v="2"/>
    <x v="2"/>
    <x v="4"/>
    <x v="11"/>
    <x v="2"/>
    <x v="5"/>
    <x v="1"/>
    <x v="8"/>
    <x v="8"/>
    <n v="0"/>
    <n v="3.3"/>
  </r>
  <r>
    <s v="2023-11"/>
    <x v="11"/>
    <x v="11"/>
    <x v="1"/>
    <x v="16"/>
    <x v="3"/>
    <x v="0"/>
    <x v="0"/>
    <x v="7"/>
    <x v="2"/>
    <n v="0"/>
    <n v="3"/>
  </r>
  <r>
    <s v="2023-02"/>
    <x v="6"/>
    <x v="6"/>
    <x v="5"/>
    <x v="5"/>
    <x v="2"/>
    <x v="0"/>
    <x v="0"/>
    <x v="3"/>
    <x v="4"/>
    <n v="0"/>
    <n v="3.2"/>
  </r>
  <r>
    <s v="2023-01"/>
    <x v="4"/>
    <x v="4"/>
    <x v="1"/>
    <x v="1"/>
    <x v="4"/>
    <x v="1"/>
    <x v="1"/>
    <x v="1"/>
    <x v="1"/>
    <n v="0"/>
    <n v="1.8"/>
  </r>
  <r>
    <s v="2023-01"/>
    <x v="4"/>
    <x v="4"/>
    <x v="7"/>
    <x v="13"/>
    <x v="3"/>
    <x v="4"/>
    <x v="0"/>
    <x v="0"/>
    <x v="0"/>
    <n v="0"/>
    <n v="3.4"/>
  </r>
  <r>
    <s v="2023-04"/>
    <x v="0"/>
    <x v="0"/>
    <x v="4"/>
    <x v="11"/>
    <x v="2"/>
    <x v="3"/>
    <x v="1"/>
    <x v="1"/>
    <x v="1"/>
    <n v="0"/>
    <n v="2.6"/>
  </r>
  <r>
    <s v="2023-04"/>
    <x v="0"/>
    <x v="0"/>
    <x v="3"/>
    <x v="15"/>
    <x v="5"/>
    <x v="5"/>
    <x v="0"/>
    <x v="1"/>
    <x v="1"/>
    <n v="0"/>
    <n v="3.3"/>
  </r>
  <r>
    <s v="2023-04"/>
    <x v="0"/>
    <x v="0"/>
    <x v="0"/>
    <x v="12"/>
    <x v="4"/>
    <x v="4"/>
    <x v="0"/>
    <x v="4"/>
    <x v="0"/>
    <n v="0"/>
    <n v="3.8"/>
  </r>
  <r>
    <s v="2023-12"/>
    <x v="9"/>
    <x v="9"/>
    <x v="8"/>
    <x v="18"/>
    <x v="5"/>
    <x v="4"/>
    <x v="0"/>
    <x v="4"/>
    <x v="6"/>
    <n v="0"/>
    <n v="4.9000000000000004"/>
  </r>
  <r>
    <s v="2023-08"/>
    <x v="3"/>
    <x v="3"/>
    <x v="3"/>
    <x v="3"/>
    <x v="0"/>
    <x v="2"/>
    <x v="0"/>
    <x v="7"/>
    <x v="2"/>
    <n v="0"/>
    <n v="2.9"/>
  </r>
  <r>
    <s v="2023-05"/>
    <x v="7"/>
    <x v="7"/>
    <x v="3"/>
    <x v="15"/>
    <x v="2"/>
    <x v="2"/>
    <x v="0"/>
    <x v="4"/>
    <x v="6"/>
    <n v="0"/>
    <n v="1.3"/>
  </r>
  <r>
    <s v="2023-03"/>
    <x v="5"/>
    <x v="5"/>
    <x v="0"/>
    <x v="12"/>
    <x v="5"/>
    <x v="5"/>
    <x v="1"/>
    <x v="8"/>
    <x v="8"/>
    <n v="2"/>
    <n v="2.6"/>
  </r>
  <r>
    <s v="2023-04"/>
    <x v="0"/>
    <x v="0"/>
    <x v="3"/>
    <x v="15"/>
    <x v="5"/>
    <x v="1"/>
    <x v="0"/>
    <x v="0"/>
    <x v="2"/>
    <n v="0"/>
    <n v="3.7"/>
  </r>
  <r>
    <s v="2023-03"/>
    <x v="5"/>
    <x v="5"/>
    <x v="8"/>
    <x v="18"/>
    <x v="1"/>
    <x v="3"/>
    <x v="0"/>
    <x v="0"/>
    <x v="0"/>
    <n v="1"/>
    <n v="3.5"/>
  </r>
  <r>
    <s v="2023-08"/>
    <x v="3"/>
    <x v="3"/>
    <x v="3"/>
    <x v="15"/>
    <x v="0"/>
    <x v="4"/>
    <x v="1"/>
    <x v="7"/>
    <x v="2"/>
    <n v="1"/>
    <n v="2.7"/>
  </r>
  <r>
    <s v="2023-12"/>
    <x v="9"/>
    <x v="9"/>
    <x v="7"/>
    <x v="13"/>
    <x v="0"/>
    <x v="5"/>
    <x v="1"/>
    <x v="1"/>
    <x v="1"/>
    <n v="0"/>
    <n v="3.1"/>
  </r>
  <r>
    <s v="2023-07"/>
    <x v="8"/>
    <x v="8"/>
    <x v="4"/>
    <x v="11"/>
    <x v="3"/>
    <x v="2"/>
    <x v="1"/>
    <x v="0"/>
    <x v="2"/>
    <n v="0"/>
    <n v="2.2999999999999998"/>
  </r>
  <r>
    <s v="2023-09"/>
    <x v="10"/>
    <x v="10"/>
    <x v="5"/>
    <x v="6"/>
    <x v="0"/>
    <x v="0"/>
    <x v="0"/>
    <x v="4"/>
    <x v="2"/>
    <n v="0"/>
    <n v="2.7"/>
  </r>
  <r>
    <s v="2023-01"/>
    <x v="4"/>
    <x v="4"/>
    <x v="5"/>
    <x v="6"/>
    <x v="5"/>
    <x v="3"/>
    <x v="1"/>
    <x v="7"/>
    <x v="2"/>
    <n v="0"/>
    <n v="2.2999999999999998"/>
  </r>
  <r>
    <s v="2023-07"/>
    <x v="8"/>
    <x v="8"/>
    <x v="8"/>
    <x v="10"/>
    <x v="3"/>
    <x v="3"/>
    <x v="1"/>
    <x v="0"/>
    <x v="2"/>
    <n v="2"/>
    <n v="2.7"/>
  </r>
  <r>
    <s v="2023-10"/>
    <x v="2"/>
    <x v="2"/>
    <x v="5"/>
    <x v="5"/>
    <x v="5"/>
    <x v="5"/>
    <x v="0"/>
    <x v="1"/>
    <x v="4"/>
    <n v="0"/>
    <n v="3"/>
  </r>
  <r>
    <s v="2023-09"/>
    <x v="10"/>
    <x v="10"/>
    <x v="8"/>
    <x v="10"/>
    <x v="5"/>
    <x v="5"/>
    <x v="0"/>
    <x v="13"/>
    <x v="10"/>
    <n v="0"/>
    <n v="4.3"/>
  </r>
  <r>
    <s v="2023-11"/>
    <x v="11"/>
    <x v="11"/>
    <x v="2"/>
    <x v="2"/>
    <x v="2"/>
    <x v="4"/>
    <x v="1"/>
    <x v="1"/>
    <x v="1"/>
    <n v="0"/>
    <n v="3.1"/>
  </r>
  <r>
    <s v="2023-09"/>
    <x v="10"/>
    <x v="10"/>
    <x v="3"/>
    <x v="3"/>
    <x v="0"/>
    <x v="0"/>
    <x v="0"/>
    <x v="7"/>
    <x v="4"/>
    <n v="0"/>
    <n v="2.4"/>
  </r>
  <r>
    <s v="2023-10"/>
    <x v="2"/>
    <x v="2"/>
    <x v="6"/>
    <x v="7"/>
    <x v="3"/>
    <x v="2"/>
    <x v="0"/>
    <x v="4"/>
    <x v="6"/>
    <n v="0"/>
    <n v="2.5"/>
  </r>
  <r>
    <s v="2023-03"/>
    <x v="5"/>
    <x v="5"/>
    <x v="6"/>
    <x v="8"/>
    <x v="3"/>
    <x v="1"/>
    <x v="1"/>
    <x v="2"/>
    <x v="6"/>
    <n v="0"/>
    <n v="1.1000000000000001"/>
  </r>
  <r>
    <s v="2023-09"/>
    <x v="10"/>
    <x v="10"/>
    <x v="9"/>
    <x v="17"/>
    <x v="2"/>
    <x v="4"/>
    <x v="1"/>
    <x v="8"/>
    <x v="8"/>
    <n v="0"/>
    <n v="3.8"/>
  </r>
  <r>
    <s v="2023-01"/>
    <x v="4"/>
    <x v="4"/>
    <x v="2"/>
    <x v="2"/>
    <x v="2"/>
    <x v="1"/>
    <x v="0"/>
    <x v="0"/>
    <x v="2"/>
    <n v="0"/>
    <n v="2.9"/>
  </r>
  <r>
    <s v="2023-11"/>
    <x v="11"/>
    <x v="11"/>
    <x v="4"/>
    <x v="11"/>
    <x v="2"/>
    <x v="2"/>
    <x v="0"/>
    <x v="2"/>
    <x v="3"/>
    <n v="1"/>
    <n v="2.2000000000000002"/>
  </r>
  <r>
    <s v="2023-01"/>
    <x v="4"/>
    <x v="4"/>
    <x v="7"/>
    <x v="13"/>
    <x v="2"/>
    <x v="1"/>
    <x v="0"/>
    <x v="4"/>
    <x v="6"/>
    <n v="0"/>
    <n v="1.7"/>
  </r>
  <r>
    <s v="2023-06"/>
    <x v="1"/>
    <x v="1"/>
    <x v="3"/>
    <x v="3"/>
    <x v="0"/>
    <x v="0"/>
    <x v="0"/>
    <x v="2"/>
    <x v="3"/>
    <n v="0"/>
    <n v="3.1"/>
  </r>
  <r>
    <s v="2023-10"/>
    <x v="2"/>
    <x v="2"/>
    <x v="4"/>
    <x v="4"/>
    <x v="3"/>
    <x v="2"/>
    <x v="0"/>
    <x v="7"/>
    <x v="2"/>
    <n v="0"/>
    <n v="1.7"/>
  </r>
  <r>
    <s v="2023-10"/>
    <x v="2"/>
    <x v="2"/>
    <x v="8"/>
    <x v="18"/>
    <x v="0"/>
    <x v="0"/>
    <x v="1"/>
    <x v="4"/>
    <x v="1"/>
    <n v="0"/>
    <n v="3.9"/>
  </r>
  <r>
    <s v="2023-06"/>
    <x v="1"/>
    <x v="1"/>
    <x v="0"/>
    <x v="0"/>
    <x v="1"/>
    <x v="4"/>
    <x v="0"/>
    <x v="4"/>
    <x v="0"/>
    <n v="1"/>
    <n v="2.5"/>
  </r>
  <r>
    <s v="2023-12"/>
    <x v="9"/>
    <x v="9"/>
    <x v="1"/>
    <x v="1"/>
    <x v="5"/>
    <x v="5"/>
    <x v="0"/>
    <x v="7"/>
    <x v="2"/>
    <n v="0"/>
    <n v="2.6"/>
  </r>
  <r>
    <s v="2023-09"/>
    <x v="10"/>
    <x v="10"/>
    <x v="9"/>
    <x v="17"/>
    <x v="4"/>
    <x v="0"/>
    <x v="0"/>
    <x v="0"/>
    <x v="0"/>
    <n v="1"/>
    <n v="2.6"/>
  </r>
  <r>
    <s v="2023-11"/>
    <x v="11"/>
    <x v="11"/>
    <x v="4"/>
    <x v="4"/>
    <x v="3"/>
    <x v="3"/>
    <x v="0"/>
    <x v="4"/>
    <x v="6"/>
    <n v="0"/>
    <n v="3.5"/>
  </r>
  <r>
    <s v="2023-10"/>
    <x v="2"/>
    <x v="2"/>
    <x v="6"/>
    <x v="7"/>
    <x v="0"/>
    <x v="2"/>
    <x v="0"/>
    <x v="3"/>
    <x v="5"/>
    <n v="0"/>
    <n v="3.6"/>
  </r>
  <r>
    <s v="2023-05"/>
    <x v="7"/>
    <x v="7"/>
    <x v="7"/>
    <x v="13"/>
    <x v="3"/>
    <x v="1"/>
    <x v="0"/>
    <x v="8"/>
    <x v="8"/>
    <n v="1"/>
    <n v="0.3"/>
  </r>
  <r>
    <s v="2023-06"/>
    <x v="1"/>
    <x v="1"/>
    <x v="4"/>
    <x v="4"/>
    <x v="4"/>
    <x v="3"/>
    <x v="1"/>
    <x v="7"/>
    <x v="2"/>
    <n v="0"/>
    <n v="3"/>
  </r>
  <r>
    <s v="2023-04"/>
    <x v="0"/>
    <x v="0"/>
    <x v="6"/>
    <x v="7"/>
    <x v="3"/>
    <x v="1"/>
    <x v="0"/>
    <x v="4"/>
    <x v="0"/>
    <n v="1"/>
    <n v="2.2000000000000002"/>
  </r>
  <r>
    <s v="2023-12"/>
    <x v="9"/>
    <x v="9"/>
    <x v="1"/>
    <x v="16"/>
    <x v="2"/>
    <x v="1"/>
    <x v="0"/>
    <x v="7"/>
    <x v="1"/>
    <n v="0"/>
    <n v="3.2"/>
  </r>
  <r>
    <s v="2023-12"/>
    <x v="9"/>
    <x v="9"/>
    <x v="5"/>
    <x v="6"/>
    <x v="2"/>
    <x v="2"/>
    <x v="0"/>
    <x v="9"/>
    <x v="9"/>
    <n v="1"/>
    <n v="3.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2023-04"/>
    <d v="2023-04-01T00:00:00"/>
    <s v="April"/>
    <s v="Delta"/>
    <x v="0"/>
    <s v="Pediatrics"/>
    <s v="Admission"/>
    <s v="Female"/>
    <n v="5"/>
    <n v="5"/>
    <n v="1"/>
    <n v="4.5999999999999996"/>
    <n v="1"/>
  </r>
  <r>
    <s v="2023-04"/>
    <d v="2023-04-01T00:00:00"/>
    <s v="April"/>
    <s v="FCT"/>
    <x v="1"/>
    <s v="Pediatrics"/>
    <s v="Delivery"/>
    <s v="Male"/>
    <n v="3"/>
    <n v="3"/>
    <n v="0"/>
    <n v="3.8"/>
    <n v="1"/>
  </r>
  <r>
    <s v="2023-06"/>
    <d v="2023-06-01T00:00:00"/>
    <s v="June"/>
    <s v="FCT"/>
    <x v="1"/>
    <s v="Outpatient"/>
    <s v="Surgery"/>
    <s v="Male"/>
    <n v="5"/>
    <n v="5"/>
    <n v="0"/>
    <n v="4.5"/>
    <n v="1"/>
  </r>
  <r>
    <s v="2023-10"/>
    <d v="2023-10-01T00:00:00"/>
    <s v="October"/>
    <s v="Anambra"/>
    <x v="2"/>
    <s v="Maternity"/>
    <s v="Consultation"/>
    <s v="Female"/>
    <n v="3"/>
    <n v="3"/>
    <n v="0"/>
    <n v="2.8"/>
    <n v="1"/>
  </r>
  <r>
    <s v="2023-10"/>
    <d v="2023-10-01T00:00:00"/>
    <s v="October"/>
    <s v="Lagos"/>
    <x v="3"/>
    <s v="Outpatient"/>
    <s v="Lab Test"/>
    <s v="Female"/>
    <n v="5"/>
    <n v="4"/>
    <n v="0"/>
    <n v="3"/>
    <n v="0.8"/>
  </r>
  <r>
    <s v="2023-08"/>
    <d v="2023-08-01T00:00:00"/>
    <s v="August"/>
    <s v="Lagos"/>
    <x v="3"/>
    <s v="Internal Medicine"/>
    <s v="Admission"/>
    <s v="Male"/>
    <n v="3"/>
    <n v="3"/>
    <n v="0"/>
    <n v="1.9"/>
    <n v="1"/>
  </r>
  <r>
    <s v="2023-01"/>
    <d v="2023-01-01T00:00:00"/>
    <s v="January"/>
    <s v="Edo"/>
    <x v="4"/>
    <s v="Outpatient"/>
    <s v="Consultation"/>
    <s v="Male"/>
    <n v="8"/>
    <n v="8"/>
    <n v="0"/>
    <n v="2"/>
    <n v="1"/>
  </r>
  <r>
    <s v="2023-03"/>
    <d v="2023-03-01T00:00:00"/>
    <s v="March"/>
    <s v="Kaduna"/>
    <x v="5"/>
    <s v="Internal Medicine"/>
    <s v="Consultation"/>
    <s v="Male"/>
    <n v="5"/>
    <n v="4"/>
    <n v="0"/>
    <n v="1.4"/>
    <n v="0.8"/>
  </r>
  <r>
    <s v="2023-01"/>
    <d v="2023-01-01T00:00:00"/>
    <s v="January"/>
    <s v="Kaduna"/>
    <x v="6"/>
    <s v="Emergency"/>
    <s v="Admission"/>
    <s v="Female"/>
    <n v="3"/>
    <n v="2"/>
    <n v="0"/>
    <n v="3.9"/>
    <n v="0.66666666666666663"/>
  </r>
  <r>
    <s v="2023-10"/>
    <d v="2023-10-01T00:00:00"/>
    <s v="October"/>
    <s v="Kano"/>
    <x v="7"/>
    <s v="Surgery"/>
    <s v="Consultation"/>
    <s v="Female"/>
    <n v="2"/>
    <n v="1"/>
    <n v="0"/>
    <n v="3.8"/>
    <n v="0.5"/>
  </r>
  <r>
    <s v="2023-02"/>
    <d v="2023-02-01T00:00:00"/>
    <s v="February"/>
    <s v="Kaduna"/>
    <x v="6"/>
    <s v="Pediatrics"/>
    <s v="Surgery"/>
    <s v="Male"/>
    <n v="2"/>
    <n v="2"/>
    <n v="0"/>
    <n v="3.8"/>
    <n v="1"/>
  </r>
  <r>
    <s v="2023-08"/>
    <d v="2023-08-01T00:00:00"/>
    <s v="August"/>
    <s v="Kano"/>
    <x v="8"/>
    <s v="Surgery"/>
    <s v="Delivery"/>
    <s v="Female"/>
    <n v="6"/>
    <n v="6"/>
    <n v="0"/>
    <n v="3.3"/>
    <n v="1"/>
  </r>
  <r>
    <s v="2023-04"/>
    <d v="2023-04-01T00:00:00"/>
    <s v="April"/>
    <s v="Delta"/>
    <x v="0"/>
    <s v="Outpatient"/>
    <s v="Admission"/>
    <s v="Male"/>
    <n v="1"/>
    <n v="1"/>
    <n v="0"/>
    <n v="3.1"/>
    <n v="1"/>
  </r>
  <r>
    <s v="2023-05"/>
    <d v="2023-05-01T00:00:00"/>
    <s v="May"/>
    <s v="Borno"/>
    <x v="9"/>
    <s v="Pediatrics"/>
    <s v="Lab Test"/>
    <s v="Male"/>
    <n v="5"/>
    <n v="5"/>
    <n v="0"/>
    <n v="1"/>
    <n v="1"/>
  </r>
  <r>
    <s v="2023-03"/>
    <d v="2023-03-01T00:00:00"/>
    <s v="March"/>
    <s v="Rivers"/>
    <x v="10"/>
    <s v="Internal Medicine"/>
    <s v="Admission"/>
    <s v="Female"/>
    <n v="11"/>
    <n v="11"/>
    <n v="0"/>
    <n v="3.3"/>
    <n v="1"/>
  </r>
  <r>
    <s v="2023-07"/>
    <d v="2023-07-01T00:00:00"/>
    <s v="July"/>
    <s v="Edo"/>
    <x v="11"/>
    <s v="Maternity"/>
    <s v="Delivery"/>
    <s v="Male"/>
    <n v="1"/>
    <n v="1"/>
    <n v="0"/>
    <n v="3.3"/>
    <n v="1"/>
  </r>
  <r>
    <s v="2023-10"/>
    <d v="2023-10-01T00:00:00"/>
    <s v="October"/>
    <s v="Delta"/>
    <x v="12"/>
    <s v="Pediatrics"/>
    <s v="Medication"/>
    <s v="Male"/>
    <n v="4"/>
    <n v="3"/>
    <n v="0"/>
    <n v="3"/>
    <n v="0.75"/>
  </r>
  <r>
    <s v="2023-05"/>
    <d v="2023-05-01T00:00:00"/>
    <s v="May"/>
    <s v="Kaduna"/>
    <x v="6"/>
    <s v="Outpatient"/>
    <s v="Lab Test"/>
    <s v="Female"/>
    <n v="2"/>
    <n v="2"/>
    <n v="0"/>
    <n v="1.3"/>
    <n v="1"/>
  </r>
  <r>
    <s v="2023-06"/>
    <d v="2023-06-01T00:00:00"/>
    <s v="June"/>
    <s v="Edo"/>
    <x v="11"/>
    <s v="Internal Medicine"/>
    <s v="Consultation"/>
    <s v="Female"/>
    <n v="3"/>
    <n v="3"/>
    <n v="0"/>
    <n v="4.0999999999999996"/>
    <n v="1"/>
  </r>
  <r>
    <s v="2023-01"/>
    <d v="2023-01-01T00:00:00"/>
    <s v="January"/>
    <s v="Delta"/>
    <x v="0"/>
    <s v="Emergency"/>
    <s v="Surgery"/>
    <s v="Male"/>
    <n v="6"/>
    <n v="5"/>
    <n v="0"/>
    <n v="3.8"/>
    <n v="0.83333333333333337"/>
  </r>
  <r>
    <s v="2023-07"/>
    <d v="2023-07-01T00:00:00"/>
    <s v="July"/>
    <s v="Rivers"/>
    <x v="10"/>
    <s v="Maternity"/>
    <s v="Lab Test"/>
    <s v="Male"/>
    <n v="2"/>
    <n v="2"/>
    <n v="0"/>
    <n v="1.4"/>
    <n v="1"/>
  </r>
  <r>
    <s v="2023-05"/>
    <d v="2023-05-01T00:00:00"/>
    <s v="May"/>
    <s v="Rivers"/>
    <x v="10"/>
    <s v="Pediatrics"/>
    <s v="Surgery"/>
    <s v="Male"/>
    <n v="5"/>
    <n v="5"/>
    <n v="0"/>
    <n v="3.1"/>
    <n v="1"/>
  </r>
  <r>
    <s v="2023-06"/>
    <d v="2023-06-01T00:00:00"/>
    <s v="June"/>
    <s v="Delta"/>
    <x v="0"/>
    <s v="Internal Medicine"/>
    <s v="Lab Test"/>
    <s v="Female"/>
    <n v="8"/>
    <n v="6"/>
    <n v="1"/>
    <n v="1.6"/>
    <n v="0.75"/>
  </r>
  <r>
    <s v="2023-07"/>
    <d v="2023-07-01T00:00:00"/>
    <s v="July"/>
    <s v="Kaduna"/>
    <x v="6"/>
    <s v="Emergency"/>
    <s v="Admission"/>
    <s v="Male"/>
    <n v="7"/>
    <n v="5"/>
    <n v="0"/>
    <n v="4.2"/>
    <n v="0.7142857142857143"/>
  </r>
  <r>
    <s v="2023-05"/>
    <d v="2023-05-01T00:00:00"/>
    <s v="May"/>
    <s v="Kano"/>
    <x v="8"/>
    <s v="Surgery"/>
    <s v="Consultation"/>
    <s v="Male"/>
    <n v="1"/>
    <n v="1"/>
    <n v="0"/>
    <n v="3.2"/>
    <n v="1"/>
  </r>
  <r>
    <s v="2023-07"/>
    <d v="2023-07-01T00:00:00"/>
    <s v="July"/>
    <s v="Borno"/>
    <x v="13"/>
    <s v="Emergency"/>
    <s v="Lab Test"/>
    <s v="Male"/>
    <n v="5"/>
    <n v="4"/>
    <n v="0"/>
    <n v="1.8"/>
    <n v="0.8"/>
  </r>
  <r>
    <s v="2023-02"/>
    <d v="2023-02-01T00:00:00"/>
    <s v="February"/>
    <s v="Edo"/>
    <x v="11"/>
    <s v="Pediatrics"/>
    <s v="Lab Test"/>
    <s v="Female"/>
    <n v="5"/>
    <n v="5"/>
    <n v="1"/>
    <n v="3.9"/>
    <n v="1"/>
  </r>
  <r>
    <s v="2023-10"/>
    <d v="2023-10-01T00:00:00"/>
    <s v="October"/>
    <s v="Kaduna"/>
    <x v="5"/>
    <s v="Emergency"/>
    <s v="Consultation"/>
    <s v="Male"/>
    <n v="7"/>
    <n v="7"/>
    <n v="0"/>
    <n v="2.8"/>
    <n v="1"/>
  </r>
  <r>
    <s v="2023-06"/>
    <d v="2023-06-01T00:00:00"/>
    <s v="June"/>
    <s v="Edo"/>
    <x v="11"/>
    <s v="Maternity"/>
    <s v="Delivery"/>
    <s v="Female"/>
    <n v="5"/>
    <n v="3"/>
    <n v="0"/>
    <n v="2.5"/>
    <n v="0.6"/>
  </r>
  <r>
    <s v="2023-12"/>
    <d v="2023-12-01T00:00:00"/>
    <s v="December"/>
    <s v="Borno"/>
    <x v="13"/>
    <s v="Maternity"/>
    <s v="Medication"/>
    <s v="Female"/>
    <n v="6"/>
    <n v="5"/>
    <n v="0"/>
    <n v="3.8"/>
    <n v="0.83333333333333337"/>
  </r>
  <r>
    <s v="2023-08"/>
    <d v="2023-08-01T00:00:00"/>
    <s v="August"/>
    <s v="FCT"/>
    <x v="1"/>
    <s v="Surgery"/>
    <s v="Surgery"/>
    <s v="Male"/>
    <n v="8"/>
    <n v="8"/>
    <n v="1"/>
    <n v="3.3"/>
    <n v="1"/>
  </r>
  <r>
    <s v="2023-02"/>
    <d v="2023-02-01T00:00:00"/>
    <s v="February"/>
    <s v="Kaduna"/>
    <x v="6"/>
    <s v="Internal Medicine"/>
    <s v="Medication"/>
    <s v="Female"/>
    <n v="10"/>
    <n v="9"/>
    <n v="0"/>
    <n v="3.3"/>
    <n v="0.9"/>
  </r>
  <r>
    <s v="2023-05"/>
    <d v="2023-05-01T00:00:00"/>
    <s v="May"/>
    <s v="Oyo"/>
    <x v="14"/>
    <s v="Emergency"/>
    <s v="Consultation"/>
    <s v="Female"/>
    <n v="4"/>
    <n v="4"/>
    <n v="1"/>
    <n v="2.1"/>
    <n v="1"/>
  </r>
  <r>
    <s v="2023-02"/>
    <d v="2023-02-01T00:00:00"/>
    <s v="February"/>
    <s v="FCT"/>
    <x v="1"/>
    <s v="Maternity"/>
    <s v="Medication"/>
    <s v="Female"/>
    <n v="4"/>
    <n v="4"/>
    <n v="0"/>
    <n v="2.7"/>
    <n v="1"/>
  </r>
  <r>
    <s v="2023-10"/>
    <d v="2023-10-01T00:00:00"/>
    <s v="October"/>
    <s v="Edo"/>
    <x v="4"/>
    <s v="Surgery"/>
    <s v="Delivery"/>
    <s v="Female"/>
    <n v="8"/>
    <n v="8"/>
    <n v="0"/>
    <n v="2.2000000000000002"/>
    <n v="1"/>
  </r>
  <r>
    <s v="2023-01"/>
    <d v="2023-01-01T00:00:00"/>
    <s v="January"/>
    <s v="Kaduna"/>
    <x v="6"/>
    <s v="Pediatrics"/>
    <s v="Surgery"/>
    <s v="Male"/>
    <n v="3"/>
    <n v="3"/>
    <n v="0"/>
    <n v="4.7"/>
    <n v="1"/>
  </r>
  <r>
    <s v="2023-07"/>
    <d v="2023-07-01T00:00:00"/>
    <s v="July"/>
    <s v="Lagos"/>
    <x v="15"/>
    <s v="Maternity"/>
    <s v="Surgery"/>
    <s v="Female"/>
    <n v="7"/>
    <n v="6"/>
    <n v="0"/>
    <n v="2.8"/>
    <n v="0.8571428571428571"/>
  </r>
  <r>
    <s v="2023-09"/>
    <d v="2023-09-01T00:00:00"/>
    <s v="September"/>
    <s v="Edo"/>
    <x v="11"/>
    <s v="Outpatient"/>
    <s v="Lab Test"/>
    <s v="Female"/>
    <n v="3"/>
    <n v="3"/>
    <n v="0"/>
    <n v="4.9000000000000004"/>
    <n v="1"/>
  </r>
  <r>
    <s v="2023-07"/>
    <d v="2023-07-01T00:00:00"/>
    <s v="July"/>
    <s v="Borno"/>
    <x v="13"/>
    <s v="Pediatrics"/>
    <s v="Admission"/>
    <s v="Female"/>
    <n v="3"/>
    <n v="3"/>
    <n v="0"/>
    <n v="3.4"/>
    <n v="1"/>
  </r>
  <r>
    <s v="2023-08"/>
    <d v="2023-08-01T00:00:00"/>
    <s v="August"/>
    <s v="Kaduna"/>
    <x v="6"/>
    <s v="Maternity"/>
    <s v="Surgery"/>
    <s v="Male"/>
    <n v="3"/>
    <n v="3"/>
    <n v="1"/>
    <n v="3.9"/>
    <n v="1"/>
  </r>
  <r>
    <s v="2023-10"/>
    <d v="2023-10-01T00:00:00"/>
    <s v="October"/>
    <s v="FCT"/>
    <x v="16"/>
    <s v="Maternity"/>
    <s v="Surgery"/>
    <s v="Female"/>
    <n v="9"/>
    <n v="9"/>
    <n v="0"/>
    <n v="2.5"/>
    <n v="1"/>
  </r>
  <r>
    <s v="2023-03"/>
    <d v="2023-03-01T00:00:00"/>
    <s v="March"/>
    <s v="Edo"/>
    <x v="4"/>
    <s v="Maternity"/>
    <s v="Medication"/>
    <s v="Male"/>
    <n v="2"/>
    <n v="1"/>
    <n v="0"/>
    <n v="3.2"/>
    <n v="0.5"/>
  </r>
  <r>
    <s v="2023-04"/>
    <d v="2023-04-01T00:00:00"/>
    <s v="April"/>
    <s v="Kaduna"/>
    <x v="5"/>
    <s v="Surgery"/>
    <s v="Consultation"/>
    <s v="Male"/>
    <n v="7"/>
    <n v="6"/>
    <n v="1"/>
    <n v="3"/>
    <n v="0.8571428571428571"/>
  </r>
  <r>
    <s v="2023-09"/>
    <d v="2023-09-01T00:00:00"/>
    <s v="September"/>
    <s v="Kano"/>
    <x v="8"/>
    <s v="Emergency"/>
    <s v="Delivery"/>
    <s v="Female"/>
    <n v="8"/>
    <n v="6"/>
    <n v="0"/>
    <n v="3.1"/>
    <n v="0.75"/>
  </r>
  <r>
    <s v="2023-04"/>
    <d v="2023-04-01T00:00:00"/>
    <s v="April"/>
    <s v="Rivers"/>
    <x v="10"/>
    <s v="Outpatient"/>
    <s v="Delivery"/>
    <s v="Female"/>
    <n v="4"/>
    <n v="3"/>
    <n v="0"/>
    <n v="3.3"/>
    <n v="0.75"/>
  </r>
  <r>
    <s v="2023-11"/>
    <d v="2023-11-01T00:00:00"/>
    <s v="November"/>
    <s v="Oyo"/>
    <x v="14"/>
    <s v="Surgery"/>
    <s v="Consultation"/>
    <s v="Female"/>
    <n v="8"/>
    <n v="7"/>
    <n v="0"/>
    <n v="2.9"/>
    <n v="0.875"/>
  </r>
  <r>
    <s v="2023-04"/>
    <d v="2023-04-01T00:00:00"/>
    <s v="April"/>
    <s v="FCT"/>
    <x v="16"/>
    <s v="Internal Medicine"/>
    <s v="Admission"/>
    <s v="Female"/>
    <n v="4"/>
    <n v="4"/>
    <n v="0"/>
    <n v="3.4"/>
    <n v="1"/>
  </r>
  <r>
    <s v="2023-07"/>
    <d v="2023-07-01T00:00:00"/>
    <s v="July"/>
    <s v="Delta"/>
    <x v="0"/>
    <s v="Maternity"/>
    <s v="Lab Test"/>
    <s v="Male"/>
    <n v="2"/>
    <n v="2"/>
    <n v="0"/>
    <n v="2.4"/>
    <n v="1"/>
  </r>
  <r>
    <s v="2023-12"/>
    <d v="2023-12-01T00:00:00"/>
    <s v="December"/>
    <s v="Delta"/>
    <x v="12"/>
    <s v="Emergency"/>
    <s v="Surgery"/>
    <s v="Female"/>
    <n v="3"/>
    <n v="1"/>
    <n v="0"/>
    <n v="4.2"/>
    <n v="0.33333333333333331"/>
  </r>
  <r>
    <s v="2023-12"/>
    <d v="2023-12-01T00:00:00"/>
    <s v="December"/>
    <s v="Anambra"/>
    <x v="2"/>
    <s v="Internal Medicine"/>
    <s v="Admission"/>
    <s v="Female"/>
    <n v="7"/>
    <n v="5"/>
    <n v="0"/>
    <n v="2.5"/>
    <n v="0.7142857142857143"/>
  </r>
  <r>
    <s v="2023-04"/>
    <d v="2023-04-01T00:00:00"/>
    <s v="April"/>
    <s v="Borno"/>
    <x v="9"/>
    <s v="Pediatrics"/>
    <s v="Lab Test"/>
    <s v="Female"/>
    <n v="1"/>
    <n v="1"/>
    <n v="0"/>
    <n v="4.3"/>
    <n v="1"/>
  </r>
  <r>
    <s v="2023-11"/>
    <d v="2023-11-01T00:00:00"/>
    <s v="November"/>
    <s v="Kano"/>
    <x v="8"/>
    <s v="Pediatrics"/>
    <s v="Consultation"/>
    <s v="Female"/>
    <n v="7"/>
    <n v="5"/>
    <n v="0"/>
    <n v="3.8"/>
    <n v="0.7142857142857143"/>
  </r>
  <r>
    <s v="2023-02"/>
    <d v="2023-02-01T00:00:00"/>
    <s v="February"/>
    <s v="Kaduna"/>
    <x v="6"/>
    <s v="Maternity"/>
    <s v="Admission"/>
    <s v="Female"/>
    <n v="7"/>
    <n v="6"/>
    <n v="0"/>
    <n v="4.2"/>
    <n v="0.8571428571428571"/>
  </r>
  <r>
    <s v="2023-05"/>
    <d v="2023-05-01T00:00:00"/>
    <s v="May"/>
    <s v="Borno"/>
    <x v="13"/>
    <s v="Outpatient"/>
    <s v="Consultation"/>
    <s v="Female"/>
    <n v="5"/>
    <n v="4"/>
    <n v="0"/>
    <n v="4.8"/>
    <n v="0.8"/>
  </r>
  <r>
    <s v="2023-02"/>
    <d v="2023-02-01T00:00:00"/>
    <s v="February"/>
    <s v="Borno"/>
    <x v="9"/>
    <s v="Pediatrics"/>
    <s v="Consultation"/>
    <s v="Male"/>
    <n v="4"/>
    <n v="2"/>
    <n v="2"/>
    <n v="3.3"/>
    <n v="0.5"/>
  </r>
  <r>
    <s v="2023-12"/>
    <d v="2023-12-01T00:00:00"/>
    <s v="December"/>
    <s v="Lagos"/>
    <x v="3"/>
    <s v="Maternity"/>
    <s v="Admission"/>
    <s v="Female"/>
    <n v="9"/>
    <n v="7"/>
    <n v="1"/>
    <n v="4.9000000000000004"/>
    <n v="0.77777777777777779"/>
  </r>
  <r>
    <s v="2023-05"/>
    <d v="2023-05-01T00:00:00"/>
    <s v="May"/>
    <s v="Anambra"/>
    <x v="2"/>
    <s v="Outpatient"/>
    <s v="Lab Test"/>
    <s v="Male"/>
    <n v="1"/>
    <n v="1"/>
    <n v="0"/>
    <n v="1.3"/>
    <n v="1"/>
  </r>
  <r>
    <s v="2023-06"/>
    <d v="2023-06-01T00:00:00"/>
    <s v="June"/>
    <s v="Edo"/>
    <x v="4"/>
    <s v="Maternity"/>
    <s v="Medication"/>
    <s v="Female"/>
    <n v="6"/>
    <n v="5"/>
    <n v="1"/>
    <n v="4.4000000000000004"/>
    <n v="0.83333333333333337"/>
  </r>
  <r>
    <s v="2023-07"/>
    <d v="2023-07-01T00:00:00"/>
    <s v="July"/>
    <s v="FCT"/>
    <x v="16"/>
    <s v="Outpatient"/>
    <s v="Delivery"/>
    <s v="Male"/>
    <n v="8"/>
    <n v="6"/>
    <n v="0"/>
    <n v="3.7"/>
    <n v="0.75"/>
  </r>
  <r>
    <s v="2023-12"/>
    <d v="2023-12-01T00:00:00"/>
    <s v="December"/>
    <s v="Kaduna"/>
    <x v="5"/>
    <s v="Internal Medicine"/>
    <s v="Lab Test"/>
    <s v="Male"/>
    <n v="6"/>
    <n v="5"/>
    <n v="0"/>
    <n v="1.9"/>
    <n v="0.83333333333333337"/>
  </r>
  <r>
    <s v="2023-08"/>
    <d v="2023-08-01T00:00:00"/>
    <s v="August"/>
    <s v="Oyo"/>
    <x v="14"/>
    <s v="Surgery"/>
    <s v="Medication"/>
    <s v="Female"/>
    <n v="4"/>
    <n v="3"/>
    <n v="0"/>
    <n v="2"/>
    <n v="0.75"/>
  </r>
  <r>
    <s v="2023-03"/>
    <d v="2023-03-01T00:00:00"/>
    <s v="March"/>
    <s v="Kano"/>
    <x v="7"/>
    <s v="Internal Medicine"/>
    <s v="Lab Test"/>
    <s v="Female"/>
    <n v="1"/>
    <n v="1"/>
    <n v="0"/>
    <n v="3.7"/>
    <n v="1"/>
  </r>
  <r>
    <s v="2023-05"/>
    <d v="2023-05-01T00:00:00"/>
    <s v="May"/>
    <s v="Kaduna"/>
    <x v="5"/>
    <s v="Pediatrics"/>
    <s v="Surgery"/>
    <s v="Male"/>
    <n v="7"/>
    <n v="5"/>
    <n v="1"/>
    <n v="1.3"/>
    <n v="0.7142857142857143"/>
  </r>
  <r>
    <s v="2023-09"/>
    <d v="2023-09-01T00:00:00"/>
    <s v="September"/>
    <s v="Kano"/>
    <x v="8"/>
    <s v="Surgery"/>
    <s v="Admission"/>
    <s v="Female"/>
    <n v="6"/>
    <n v="6"/>
    <n v="0"/>
    <n v="2.9"/>
    <n v="1"/>
  </r>
  <r>
    <s v="2023-05"/>
    <d v="2023-05-01T00:00:00"/>
    <s v="May"/>
    <s v="Lagos"/>
    <x v="3"/>
    <s v="Emergency"/>
    <s v="Consultation"/>
    <s v="Male"/>
    <n v="3"/>
    <n v="3"/>
    <n v="1"/>
    <n v="5.0999999999999996"/>
    <n v="1"/>
  </r>
  <r>
    <s v="2023-02"/>
    <d v="2023-02-01T00:00:00"/>
    <s v="February"/>
    <s v="Edo"/>
    <x v="11"/>
    <s v="Pediatrics"/>
    <s v="Consultation"/>
    <s v="Female"/>
    <n v="2"/>
    <n v="2"/>
    <n v="0"/>
    <n v="2.7"/>
    <n v="1"/>
  </r>
  <r>
    <s v="2023-10"/>
    <d v="2023-10-01T00:00:00"/>
    <s v="October"/>
    <s v="Borno"/>
    <x v="13"/>
    <s v="Emergency"/>
    <s v="Consultation"/>
    <s v="Female"/>
    <n v="2"/>
    <n v="2"/>
    <n v="0"/>
    <n v="3.1"/>
    <n v="1"/>
  </r>
  <r>
    <s v="2023-06"/>
    <d v="2023-06-01T00:00:00"/>
    <s v="June"/>
    <s v="Edo"/>
    <x v="11"/>
    <s v="Emergency"/>
    <s v="Delivery"/>
    <s v="Male"/>
    <n v="4"/>
    <n v="3"/>
    <n v="1"/>
    <n v="0.7"/>
    <n v="0.75"/>
  </r>
  <r>
    <s v="2023-11"/>
    <d v="2023-11-01T00:00:00"/>
    <s v="November"/>
    <s v="Borno"/>
    <x v="13"/>
    <s v="Pediatrics"/>
    <s v="Delivery"/>
    <s v="Female"/>
    <n v="4"/>
    <n v="4"/>
    <n v="0"/>
    <n v="5.4"/>
    <n v="1"/>
  </r>
  <r>
    <s v="2023-04"/>
    <d v="2023-04-01T00:00:00"/>
    <s v="April"/>
    <s v="FCT"/>
    <x v="1"/>
    <s v="Maternity"/>
    <s v="Consultation"/>
    <s v="Female"/>
    <n v="3"/>
    <n v="3"/>
    <n v="0"/>
    <n v="2.7"/>
    <n v="1"/>
  </r>
  <r>
    <s v="2023-09"/>
    <d v="2023-09-01T00:00:00"/>
    <s v="September"/>
    <s v="Lagos"/>
    <x v="3"/>
    <s v="Surgery"/>
    <s v="Delivery"/>
    <s v="Male"/>
    <n v="5"/>
    <n v="5"/>
    <n v="0"/>
    <n v="2.8"/>
    <n v="1"/>
  </r>
  <r>
    <s v="2023-01"/>
    <d v="2023-01-01T00:00:00"/>
    <s v="January"/>
    <s v="Borno"/>
    <x v="13"/>
    <s v="Internal Medicine"/>
    <s v="Surgery"/>
    <s v="Male"/>
    <n v="3"/>
    <n v="2"/>
    <n v="0"/>
    <n v="3"/>
    <n v="0.66666666666666663"/>
  </r>
  <r>
    <s v="2023-01"/>
    <d v="2023-01-01T00:00:00"/>
    <s v="January"/>
    <s v="Anambra"/>
    <x v="2"/>
    <s v="Outpatient"/>
    <s v="Lab Test"/>
    <s v="Female"/>
    <n v="6"/>
    <n v="6"/>
    <n v="0"/>
    <n v="2.1"/>
    <n v="1"/>
  </r>
  <r>
    <s v="2023-04"/>
    <d v="2023-04-01T00:00:00"/>
    <s v="April"/>
    <s v="Lagos"/>
    <x v="15"/>
    <s v="Emergency"/>
    <s v="Consultation"/>
    <s v="Female"/>
    <n v="6"/>
    <n v="6"/>
    <n v="0"/>
    <n v="1.6"/>
    <n v="1"/>
  </r>
  <r>
    <s v="2023-11"/>
    <d v="2023-11-01T00:00:00"/>
    <s v="November"/>
    <s v="FCT"/>
    <x v="1"/>
    <s v="Surgery"/>
    <s v="Lab Test"/>
    <s v="Female"/>
    <n v="3"/>
    <n v="2"/>
    <n v="0"/>
    <n v="0.5"/>
    <n v="0.66666666666666663"/>
  </r>
  <r>
    <s v="2023-05"/>
    <d v="2023-05-01T00:00:00"/>
    <s v="May"/>
    <s v="Rivers"/>
    <x v="10"/>
    <s v="Maternity"/>
    <s v="Delivery"/>
    <s v="Female"/>
    <n v="7"/>
    <n v="6"/>
    <n v="1"/>
    <n v="3.7"/>
    <n v="0.8571428571428571"/>
  </r>
  <r>
    <s v="2023-10"/>
    <d v="2023-10-01T00:00:00"/>
    <s v="October"/>
    <s v="Lagos"/>
    <x v="3"/>
    <s v="Internal Medicine"/>
    <s v="Surgery"/>
    <s v="Male"/>
    <n v="5"/>
    <n v="5"/>
    <n v="0"/>
    <n v="2.5"/>
    <n v="1"/>
  </r>
  <r>
    <s v="2023-05"/>
    <d v="2023-05-01T00:00:00"/>
    <s v="May"/>
    <s v="Lagos"/>
    <x v="15"/>
    <s v="Emergency"/>
    <s v="Surgery"/>
    <s v="Male"/>
    <n v="5"/>
    <n v="5"/>
    <n v="0"/>
    <n v="2.7"/>
    <n v="1"/>
  </r>
  <r>
    <s v="2023-05"/>
    <d v="2023-05-01T00:00:00"/>
    <s v="May"/>
    <s v="Oyo"/>
    <x v="17"/>
    <s v="Pediatrics"/>
    <s v="Admission"/>
    <s v="Female"/>
    <n v="3"/>
    <n v="2"/>
    <n v="0"/>
    <n v="4.0999999999999996"/>
    <n v="0.66666666666666663"/>
  </r>
  <r>
    <s v="2023-06"/>
    <d v="2023-06-01T00:00:00"/>
    <s v="June"/>
    <s v="Oyo"/>
    <x v="14"/>
    <s v="Internal Medicine"/>
    <s v="Surgery"/>
    <s v="Female"/>
    <n v="7"/>
    <n v="6"/>
    <n v="1"/>
    <n v="3.8"/>
    <n v="0.8571428571428571"/>
  </r>
  <r>
    <s v="2023-09"/>
    <d v="2023-09-01T00:00:00"/>
    <s v="September"/>
    <s v="Rivers"/>
    <x v="18"/>
    <s v="Emergency"/>
    <s v="Consultation"/>
    <s v="Male"/>
    <n v="3"/>
    <n v="2"/>
    <n v="0"/>
    <n v="2.4"/>
    <n v="0.66666666666666663"/>
  </r>
  <r>
    <s v="2023-06"/>
    <d v="2023-06-01T00:00:00"/>
    <s v="June"/>
    <s v="Oyo"/>
    <x v="14"/>
    <s v="Internal Medicine"/>
    <s v="Surgery"/>
    <s v="Male"/>
    <n v="5"/>
    <n v="4"/>
    <n v="0"/>
    <n v="3.6"/>
    <n v="0.8"/>
  </r>
  <r>
    <s v="2023-04"/>
    <d v="2023-04-01T00:00:00"/>
    <s v="April"/>
    <s v="Oyo"/>
    <x v="17"/>
    <s v="Surgery"/>
    <s v="Admission"/>
    <s v="Male"/>
    <n v="7"/>
    <n v="5"/>
    <n v="0"/>
    <n v="3.9"/>
    <n v="0.7142857142857143"/>
  </r>
  <r>
    <s v="2023-12"/>
    <d v="2023-12-01T00:00:00"/>
    <s v="December"/>
    <s v="Kaduna"/>
    <x v="6"/>
    <s v="Emergency"/>
    <s v="Delivery"/>
    <s v="Female"/>
    <n v="5"/>
    <n v="4"/>
    <n v="0"/>
    <n v="3.1"/>
    <n v="0.8"/>
  </r>
  <r>
    <s v="2023-05"/>
    <d v="2023-05-01T00:00:00"/>
    <s v="May"/>
    <s v="Kano"/>
    <x v="8"/>
    <s v="Emergency"/>
    <s v="Medication"/>
    <s v="Female"/>
    <n v="5"/>
    <n v="4"/>
    <n v="0"/>
    <n v="4.5"/>
    <n v="0.8"/>
  </r>
  <r>
    <s v="2023-05"/>
    <d v="2023-05-01T00:00:00"/>
    <s v="May"/>
    <s v="Lagos"/>
    <x v="3"/>
    <s v="Pediatrics"/>
    <s v="Delivery"/>
    <s v="Male"/>
    <n v="5"/>
    <n v="5"/>
    <n v="1"/>
    <n v="3.4"/>
    <n v="1"/>
  </r>
  <r>
    <s v="2023-10"/>
    <d v="2023-10-01T00:00:00"/>
    <s v="October"/>
    <s v="Kaduna"/>
    <x v="6"/>
    <s v="Internal Medicine"/>
    <s v="Surgery"/>
    <s v="Male"/>
    <n v="6"/>
    <n v="6"/>
    <n v="0"/>
    <n v="1.2"/>
    <n v="1"/>
  </r>
  <r>
    <s v="2023-05"/>
    <d v="2023-05-01T00:00:00"/>
    <s v="May"/>
    <s v="FCT"/>
    <x v="1"/>
    <s v="Internal Medicine"/>
    <s v="Surgery"/>
    <s v="Male"/>
    <n v="6"/>
    <n v="5"/>
    <n v="1"/>
    <n v="4.5"/>
    <n v="0.83333333333333337"/>
  </r>
  <r>
    <s v="2023-09"/>
    <d v="2023-09-01T00:00:00"/>
    <s v="September"/>
    <s v="Lagos"/>
    <x v="3"/>
    <s v="Pediatrics"/>
    <s v="Lab Test"/>
    <s v="Female"/>
    <n v="7"/>
    <n v="6"/>
    <n v="1"/>
    <n v="2.9"/>
    <n v="0.8571428571428571"/>
  </r>
  <r>
    <s v="2023-04"/>
    <d v="2023-04-01T00:00:00"/>
    <s v="April"/>
    <s v="Kano"/>
    <x v="8"/>
    <s v="Surgery"/>
    <s v="Delivery"/>
    <s v="Male"/>
    <n v="6"/>
    <n v="5"/>
    <n v="0"/>
    <n v="3.8"/>
    <n v="0.83333333333333337"/>
  </r>
  <r>
    <s v="2023-10"/>
    <d v="2023-10-01T00:00:00"/>
    <s v="October"/>
    <s v="Edo"/>
    <x v="11"/>
    <s v="Outpatient"/>
    <s v="Consultation"/>
    <s v="Female"/>
    <n v="3"/>
    <n v="3"/>
    <n v="0"/>
    <n v="3.8"/>
    <n v="1"/>
  </r>
  <r>
    <s v="2023-01"/>
    <d v="2023-01-01T00:00:00"/>
    <s v="January"/>
    <s v="Delta"/>
    <x v="0"/>
    <s v="Surgery"/>
    <s v="Delivery"/>
    <s v="Female"/>
    <n v="5"/>
    <n v="5"/>
    <n v="0"/>
    <n v="3.1"/>
    <n v="1"/>
  </r>
  <r>
    <s v="2023-10"/>
    <d v="2023-10-01T00:00:00"/>
    <s v="October"/>
    <s v="Delta"/>
    <x v="12"/>
    <s v="Pediatrics"/>
    <s v="Medication"/>
    <s v="Female"/>
    <n v="6"/>
    <n v="5"/>
    <n v="0"/>
    <n v="2.2000000000000002"/>
    <n v="0.83333333333333337"/>
  </r>
  <r>
    <s v="2023-12"/>
    <d v="2023-12-01T00:00:00"/>
    <s v="December"/>
    <s v="FCT"/>
    <x v="16"/>
    <s v="Surgery"/>
    <s v="Admission"/>
    <s v="Female"/>
    <n v="5"/>
    <n v="4"/>
    <n v="0"/>
    <n v="2.8"/>
    <n v="0.8"/>
  </r>
  <r>
    <s v="2023-08"/>
    <d v="2023-08-01T00:00:00"/>
    <s v="August"/>
    <s v="Delta"/>
    <x v="12"/>
    <s v="Pediatrics"/>
    <s v="Admission"/>
    <s v="Male"/>
    <n v="2"/>
    <n v="2"/>
    <n v="0"/>
    <n v="2.7"/>
    <n v="1"/>
  </r>
  <r>
    <s v="2023-03"/>
    <d v="2023-03-01T00:00:00"/>
    <s v="March"/>
    <s v="Edo"/>
    <x v="11"/>
    <s v="Pediatrics"/>
    <s v="Lab Test"/>
    <s v="Female"/>
    <n v="5"/>
    <n v="4"/>
    <n v="1"/>
    <n v="4.5"/>
    <n v="0.8"/>
  </r>
  <r>
    <s v="2023-09"/>
    <d v="2023-09-01T00:00:00"/>
    <s v="September"/>
    <s v="Rivers"/>
    <x v="10"/>
    <s v="Pediatrics"/>
    <s v="Delivery"/>
    <s v="Male"/>
    <n v="4"/>
    <n v="4"/>
    <n v="0"/>
    <n v="2.9"/>
    <n v="1"/>
  </r>
  <r>
    <s v="2023-11"/>
    <d v="2023-11-01T00:00:00"/>
    <s v="November"/>
    <s v="Kano"/>
    <x v="7"/>
    <s v="Pediatrics"/>
    <s v="Medication"/>
    <s v="Female"/>
    <n v="3"/>
    <n v="3"/>
    <n v="0"/>
    <n v="3"/>
    <n v="1"/>
  </r>
  <r>
    <s v="2023-12"/>
    <d v="2023-12-01T00:00:00"/>
    <s v="December"/>
    <s v="Kaduna"/>
    <x v="6"/>
    <s v="Pediatrics"/>
    <s v="Lab Test"/>
    <s v="Female"/>
    <n v="3"/>
    <n v="3"/>
    <n v="0"/>
    <n v="3.2"/>
    <n v="1"/>
  </r>
  <r>
    <s v="2023-08"/>
    <d v="2023-08-01T00:00:00"/>
    <s v="August"/>
    <s v="FCT"/>
    <x v="1"/>
    <s v="Outpatient"/>
    <s v="Delivery"/>
    <s v="Male"/>
    <n v="5"/>
    <n v="5"/>
    <n v="0"/>
    <n v="3.3"/>
    <n v="1"/>
  </r>
  <r>
    <s v="2023-07"/>
    <d v="2023-07-01T00:00:00"/>
    <s v="July"/>
    <s v="Edo"/>
    <x v="11"/>
    <s v="Surgery"/>
    <s v="Medication"/>
    <s v="Female"/>
    <n v="1"/>
    <n v="1"/>
    <n v="0"/>
    <n v="1.8"/>
    <n v="1"/>
  </r>
  <r>
    <s v="2023-09"/>
    <d v="2023-09-01T00:00:00"/>
    <s v="September"/>
    <s v="Borno"/>
    <x v="13"/>
    <s v="Outpatient"/>
    <s v="Admission"/>
    <s v="Male"/>
    <n v="6"/>
    <n v="6"/>
    <n v="1"/>
    <n v="2.2000000000000002"/>
    <n v="1"/>
  </r>
  <r>
    <s v="2023-02"/>
    <d v="2023-02-01T00:00:00"/>
    <s v="February"/>
    <s v="Kaduna"/>
    <x v="5"/>
    <s v="Internal Medicine"/>
    <s v="Delivery"/>
    <s v="Male"/>
    <n v="7"/>
    <n v="7"/>
    <n v="0"/>
    <n v="1.7"/>
    <n v="1"/>
  </r>
  <r>
    <s v="2023-11"/>
    <d v="2023-11-01T00:00:00"/>
    <s v="November"/>
    <s v="Oyo"/>
    <x v="14"/>
    <s v="Outpatient"/>
    <s v="Consultation"/>
    <s v="Male"/>
    <n v="5"/>
    <n v="5"/>
    <n v="1"/>
    <n v="3.7"/>
    <n v="1"/>
  </r>
  <r>
    <s v="2023-10"/>
    <d v="2023-10-01T00:00:00"/>
    <s v="October"/>
    <s v="Anambra"/>
    <x v="2"/>
    <s v="Maternity"/>
    <s v="Delivery"/>
    <s v="Female"/>
    <n v="4"/>
    <n v="3"/>
    <n v="0"/>
    <n v="4.5999999999999996"/>
    <n v="0.75"/>
  </r>
  <r>
    <s v="2023-03"/>
    <d v="2023-03-01T00:00:00"/>
    <s v="March"/>
    <s v="Kaduna"/>
    <x v="6"/>
    <s v="Internal Medicine"/>
    <s v="Medication"/>
    <s v="Male"/>
    <n v="6"/>
    <n v="6"/>
    <n v="1"/>
    <n v="4.5999999999999996"/>
    <n v="1"/>
  </r>
  <r>
    <s v="2023-06"/>
    <d v="2023-06-01T00:00:00"/>
    <s v="June"/>
    <s v="Kaduna"/>
    <x v="5"/>
    <s v="Maternity"/>
    <s v="Admission"/>
    <s v="Male"/>
    <n v="3"/>
    <n v="3"/>
    <n v="0"/>
    <n v="2"/>
    <n v="1"/>
  </r>
  <r>
    <s v="2023-10"/>
    <d v="2023-10-01T00:00:00"/>
    <s v="October"/>
    <s v="Oyo"/>
    <x v="17"/>
    <s v="Outpatient"/>
    <s v="Consultation"/>
    <s v="Female"/>
    <n v="6"/>
    <n v="6"/>
    <n v="0"/>
    <n v="4.0999999999999996"/>
    <n v="1"/>
  </r>
  <r>
    <s v="2023-11"/>
    <d v="2023-11-01T00:00:00"/>
    <s v="November"/>
    <s v="Oyo"/>
    <x v="14"/>
    <s v="Pediatrics"/>
    <s v="Consultation"/>
    <s v="Female"/>
    <n v="3"/>
    <n v="2"/>
    <n v="0"/>
    <n v="3.2"/>
    <n v="0.66666666666666663"/>
  </r>
  <r>
    <s v="2023-04"/>
    <d v="2023-04-01T00:00:00"/>
    <s v="April"/>
    <s v="Lagos"/>
    <x v="15"/>
    <s v="Pediatrics"/>
    <s v="Surgery"/>
    <s v="Male"/>
    <n v="7"/>
    <n v="6"/>
    <n v="0"/>
    <n v="2.7"/>
    <n v="0.8571428571428571"/>
  </r>
  <r>
    <s v="2023-11"/>
    <d v="2023-11-01T00:00:00"/>
    <s v="November"/>
    <s v="Lagos"/>
    <x v="3"/>
    <s v="Pediatrics"/>
    <s v="Admission"/>
    <s v="Female"/>
    <n v="4"/>
    <n v="4"/>
    <n v="0"/>
    <n v="3.4"/>
    <n v="1"/>
  </r>
  <r>
    <s v="2023-12"/>
    <d v="2023-12-01T00:00:00"/>
    <s v="December"/>
    <s v="Kaduna"/>
    <x v="6"/>
    <s v="Surgery"/>
    <s v="Admission"/>
    <s v="Female"/>
    <n v="9"/>
    <n v="8"/>
    <n v="1"/>
    <n v="3.6"/>
    <n v="0.88888888888888884"/>
  </r>
  <r>
    <s v="2023-02"/>
    <d v="2023-02-01T00:00:00"/>
    <s v="February"/>
    <s v="Kaduna"/>
    <x v="5"/>
    <s v="Surgery"/>
    <s v="Delivery"/>
    <s v="Female"/>
    <n v="3"/>
    <n v="3"/>
    <n v="0"/>
    <n v="3"/>
    <n v="1"/>
  </r>
  <r>
    <s v="2023-07"/>
    <d v="2023-07-01T00:00:00"/>
    <s v="July"/>
    <s v="Kaduna"/>
    <x v="5"/>
    <s v="Maternity"/>
    <s v="Surgery"/>
    <s v="Female"/>
    <n v="5"/>
    <n v="5"/>
    <n v="0"/>
    <n v="3.7"/>
    <n v="1"/>
  </r>
  <r>
    <s v="2023-03"/>
    <d v="2023-03-01T00:00:00"/>
    <s v="March"/>
    <s v="Oyo"/>
    <x v="14"/>
    <s v="Maternity"/>
    <s v="Admission"/>
    <s v="Female"/>
    <n v="4"/>
    <n v="4"/>
    <n v="0"/>
    <n v="2.2999999999999998"/>
    <n v="1"/>
  </r>
  <r>
    <s v="2023-04"/>
    <d v="2023-04-01T00:00:00"/>
    <s v="April"/>
    <s v="Oyo"/>
    <x v="17"/>
    <s v="Surgery"/>
    <s v="Medication"/>
    <s v="Male"/>
    <n v="4"/>
    <n v="3"/>
    <n v="0"/>
    <n v="4"/>
    <n v="0.75"/>
  </r>
  <r>
    <s v="2023-12"/>
    <d v="2023-12-01T00:00:00"/>
    <s v="December"/>
    <s v="Delta"/>
    <x v="12"/>
    <s v="Emergency"/>
    <s v="Admission"/>
    <s v="Female"/>
    <n v="13"/>
    <n v="12"/>
    <n v="1"/>
    <n v="2.6"/>
    <n v="0.92307692307692313"/>
  </r>
  <r>
    <s v="2023-07"/>
    <d v="2023-07-01T00:00:00"/>
    <s v="July"/>
    <s v="Oyo"/>
    <x v="14"/>
    <s v="Emergency"/>
    <s v="Surgery"/>
    <s v="Male"/>
    <n v="4"/>
    <n v="4"/>
    <n v="2"/>
    <n v="2.7"/>
    <n v="1"/>
  </r>
  <r>
    <s v="2023-06"/>
    <d v="2023-06-01T00:00:00"/>
    <s v="June"/>
    <s v="Rivers"/>
    <x v="10"/>
    <s v="Internal Medicine"/>
    <s v="Admission"/>
    <s v="Female"/>
    <n v="6"/>
    <n v="6"/>
    <n v="1"/>
    <n v="3"/>
    <n v="1"/>
  </r>
  <r>
    <s v="2023-10"/>
    <d v="2023-10-01T00:00:00"/>
    <s v="October"/>
    <s v="Delta"/>
    <x v="0"/>
    <s v="Internal Medicine"/>
    <s v="Medication"/>
    <s v="Male"/>
    <n v="7"/>
    <n v="7"/>
    <n v="0"/>
    <n v="3.7"/>
    <n v="1"/>
  </r>
  <r>
    <s v="2023-04"/>
    <d v="2023-04-01T00:00:00"/>
    <s v="April"/>
    <s v="Kaduna"/>
    <x v="5"/>
    <s v="Maternity"/>
    <s v="Delivery"/>
    <s v="Female"/>
    <n v="4"/>
    <n v="2"/>
    <n v="1"/>
    <n v="2.6"/>
    <n v="0.5"/>
  </r>
  <r>
    <s v="2023-12"/>
    <d v="2023-12-01T00:00:00"/>
    <s v="December"/>
    <s v="Rivers"/>
    <x v="10"/>
    <s v="Emergency"/>
    <s v="Lab Test"/>
    <s v="Female"/>
    <n v="5"/>
    <n v="5"/>
    <n v="0"/>
    <n v="1.8"/>
    <n v="1"/>
  </r>
  <r>
    <s v="2023-07"/>
    <d v="2023-07-01T00:00:00"/>
    <s v="July"/>
    <s v="Rivers"/>
    <x v="10"/>
    <s v="Maternity"/>
    <s v="Consultation"/>
    <s v="Male"/>
    <n v="4"/>
    <n v="3"/>
    <n v="1"/>
    <n v="3.3"/>
    <n v="0.75"/>
  </r>
  <r>
    <s v="2023-11"/>
    <d v="2023-11-01T00:00:00"/>
    <s v="November"/>
    <s v="Kano"/>
    <x v="8"/>
    <s v="Outpatient"/>
    <s v="Lab Test"/>
    <s v="Male"/>
    <n v="4"/>
    <n v="4"/>
    <n v="0"/>
    <n v="3.3"/>
    <n v="1"/>
  </r>
  <r>
    <s v="2023-05"/>
    <d v="2023-05-01T00:00:00"/>
    <s v="May"/>
    <s v="Kano"/>
    <x v="7"/>
    <s v="Internal Medicine"/>
    <s v="Surgery"/>
    <s v="Female"/>
    <n v="3"/>
    <n v="3"/>
    <n v="0"/>
    <n v="-0.5"/>
    <n v="1"/>
  </r>
  <r>
    <s v="2023-12"/>
    <d v="2023-12-01T00:00:00"/>
    <s v="December"/>
    <s v="Lagos"/>
    <x v="15"/>
    <s v="Pediatrics"/>
    <s v="Surgery"/>
    <s v="Male"/>
    <n v="10"/>
    <n v="9"/>
    <n v="1"/>
    <n v="2.1"/>
    <n v="0.9"/>
  </r>
  <r>
    <s v="2023-11"/>
    <d v="2023-11-01T00:00:00"/>
    <s v="November"/>
    <s v="Edo"/>
    <x v="4"/>
    <s v="Emergency"/>
    <s v="Delivery"/>
    <s v="Female"/>
    <n v="7"/>
    <n v="6"/>
    <n v="0"/>
    <n v="4.2"/>
    <n v="0.8571428571428571"/>
  </r>
  <r>
    <s v="2023-03"/>
    <d v="2023-03-01T00:00:00"/>
    <s v="March"/>
    <s v="Borno"/>
    <x v="9"/>
    <s v="Surgery"/>
    <s v="Admission"/>
    <s v="Male"/>
    <n v="4"/>
    <n v="4"/>
    <n v="0"/>
    <n v="2.2000000000000002"/>
    <n v="1"/>
  </r>
  <r>
    <s v="2023-01"/>
    <d v="2023-01-01T00:00:00"/>
    <s v="January"/>
    <s v="Borno"/>
    <x v="9"/>
    <s v="Maternity"/>
    <s v="Medication"/>
    <s v="Female"/>
    <n v="6"/>
    <n v="5"/>
    <n v="0"/>
    <n v="2.9"/>
    <n v="0.83333333333333337"/>
  </r>
  <r>
    <s v="2023-10"/>
    <d v="2023-10-01T00:00:00"/>
    <s v="October"/>
    <s v="FCT"/>
    <x v="16"/>
    <s v="Emergency"/>
    <s v="Medication"/>
    <s v="Male"/>
    <n v="5"/>
    <n v="5"/>
    <n v="0"/>
    <n v="3.3"/>
    <n v="1"/>
  </r>
  <r>
    <s v="2023-02"/>
    <d v="2023-02-01T00:00:00"/>
    <s v="February"/>
    <s v="Lagos"/>
    <x v="3"/>
    <s v="Emergency"/>
    <s v="Surgery"/>
    <s v="Female"/>
    <n v="4"/>
    <n v="3"/>
    <n v="1"/>
    <n v="3.4"/>
    <n v="0.75"/>
  </r>
  <r>
    <s v="2023-04"/>
    <d v="2023-04-01T00:00:00"/>
    <s v="April"/>
    <s v="Delta"/>
    <x v="0"/>
    <s v="Maternity"/>
    <s v="Lab Test"/>
    <s v="Male"/>
    <n v="1"/>
    <n v="1"/>
    <n v="0"/>
    <n v="2.5"/>
    <n v="1"/>
  </r>
  <r>
    <s v="2023-05"/>
    <d v="2023-05-01T00:00:00"/>
    <s v="May"/>
    <s v="Lagos"/>
    <x v="15"/>
    <s v="Outpatient"/>
    <s v="Admission"/>
    <s v="Female"/>
    <n v="7"/>
    <n v="6"/>
    <n v="0"/>
    <n v="4.0999999999999996"/>
    <n v="0.8571428571428571"/>
  </r>
  <r>
    <s v="2023-10"/>
    <d v="2023-10-01T00:00:00"/>
    <s v="October"/>
    <s v="Kaduna"/>
    <x v="5"/>
    <s v="Pediatrics"/>
    <s v="Lab Test"/>
    <s v="Male"/>
    <n v="5"/>
    <n v="4"/>
    <n v="0"/>
    <n v="4.3"/>
    <n v="0.8"/>
  </r>
  <r>
    <s v="2023-11"/>
    <d v="2023-11-01T00:00:00"/>
    <s v="November"/>
    <s v="Edo"/>
    <x v="11"/>
    <s v="Pediatrics"/>
    <s v="Consultation"/>
    <s v="Male"/>
    <n v="5"/>
    <n v="5"/>
    <n v="0"/>
    <n v="4"/>
    <n v="1"/>
  </r>
  <r>
    <s v="2023-09"/>
    <d v="2023-09-01T00:00:00"/>
    <s v="September"/>
    <s v="Edo"/>
    <x v="4"/>
    <s v="Internal Medicine"/>
    <s v="Consultation"/>
    <s v="Male"/>
    <n v="9"/>
    <n v="9"/>
    <n v="1"/>
    <n v="2.7"/>
    <n v="1"/>
  </r>
  <r>
    <s v="2023-12"/>
    <d v="2023-12-01T00:00:00"/>
    <s v="December"/>
    <s v="Kaduna"/>
    <x v="5"/>
    <s v="Maternity"/>
    <s v="Delivery"/>
    <s v="Male"/>
    <n v="4"/>
    <n v="3"/>
    <n v="0"/>
    <n v="3"/>
    <n v="0.75"/>
  </r>
  <r>
    <s v="2023-12"/>
    <d v="2023-12-01T00:00:00"/>
    <s v="December"/>
    <s v="Anambra"/>
    <x v="2"/>
    <s v="Maternity"/>
    <s v="Medication"/>
    <s v="Male"/>
    <n v="4"/>
    <n v="4"/>
    <n v="0"/>
    <n v="1.6"/>
    <n v="1"/>
  </r>
  <r>
    <s v="2023-10"/>
    <d v="2023-10-01T00:00:00"/>
    <s v="October"/>
    <s v="Lagos"/>
    <x v="3"/>
    <s v="Surgery"/>
    <s v="Medication"/>
    <s v="Female"/>
    <n v="4"/>
    <n v="3"/>
    <n v="1"/>
    <n v="2"/>
    <n v="0.75"/>
  </r>
  <r>
    <s v="2023-01"/>
    <d v="2023-01-01T00:00:00"/>
    <s v="January"/>
    <s v="Lagos"/>
    <x v="15"/>
    <s v="Emergency"/>
    <s v="Consultation"/>
    <s v="Male"/>
    <n v="6"/>
    <n v="6"/>
    <n v="0"/>
    <n v="3"/>
    <n v="1"/>
  </r>
  <r>
    <s v="2023-05"/>
    <d v="2023-05-01T00:00:00"/>
    <s v="May"/>
    <s v="Lagos"/>
    <x v="15"/>
    <s v="Maternity"/>
    <s v="Admission"/>
    <s v="Male"/>
    <n v="3"/>
    <n v="3"/>
    <n v="0"/>
    <n v="3.2"/>
    <n v="1"/>
  </r>
  <r>
    <s v="2023-12"/>
    <d v="2023-12-01T00:00:00"/>
    <s v="December"/>
    <s v="Lagos"/>
    <x v="15"/>
    <s v="Outpatient"/>
    <s v="Delivery"/>
    <s v="Female"/>
    <n v="4"/>
    <n v="4"/>
    <n v="0"/>
    <n v="1.9"/>
    <n v="1"/>
  </r>
  <r>
    <s v="2023-11"/>
    <d v="2023-11-01T00:00:00"/>
    <s v="November"/>
    <s v="Kaduna"/>
    <x v="6"/>
    <s v="Pediatrics"/>
    <s v="Admission"/>
    <s v="Female"/>
    <n v="2"/>
    <n v="2"/>
    <n v="0"/>
    <n v="3.4"/>
    <n v="1"/>
  </r>
  <r>
    <s v="2023-07"/>
    <d v="2023-07-01T00:00:00"/>
    <s v="July"/>
    <s v="Rivers"/>
    <x v="18"/>
    <s v="Surgery"/>
    <s v="Medication"/>
    <s v="Male"/>
    <n v="7"/>
    <n v="6"/>
    <n v="0"/>
    <n v="3.7"/>
    <n v="0.8571428571428571"/>
  </r>
  <r>
    <s v="2023-03"/>
    <d v="2023-03-01T00:00:00"/>
    <s v="March"/>
    <s v="Anambra"/>
    <x v="19"/>
    <s v="Outpatient"/>
    <s v="Delivery"/>
    <s v="Male"/>
    <n v="2"/>
    <n v="2"/>
    <n v="0"/>
    <n v="2.7"/>
    <n v="1"/>
  </r>
  <r>
    <s v="2023-10"/>
    <d v="2023-10-01T00:00:00"/>
    <s v="October"/>
    <s v="Borno"/>
    <x v="9"/>
    <s v="Outpatient"/>
    <s v="Lab Test"/>
    <s v="Male"/>
    <n v="7"/>
    <n v="7"/>
    <n v="3"/>
    <n v="3.4"/>
    <n v="1"/>
  </r>
  <r>
    <s v="2023-08"/>
    <d v="2023-08-01T00:00:00"/>
    <s v="August"/>
    <s v="Anambra"/>
    <x v="2"/>
    <s v="Emergency"/>
    <s v="Admission"/>
    <s v="Female"/>
    <n v="4"/>
    <n v="4"/>
    <n v="0"/>
    <n v="4.0999999999999996"/>
    <n v="1"/>
  </r>
  <r>
    <s v="2023-01"/>
    <d v="2023-01-01T00:00:00"/>
    <s v="January"/>
    <s v="Kaduna"/>
    <x v="5"/>
    <s v="Emergency"/>
    <s v="Surgery"/>
    <s v="Female"/>
    <n v="6"/>
    <n v="5"/>
    <n v="0"/>
    <n v="2.9"/>
    <n v="0.83333333333333337"/>
  </r>
  <r>
    <s v="2023-05"/>
    <d v="2023-05-01T00:00:00"/>
    <s v="May"/>
    <s v="Kano"/>
    <x v="7"/>
    <s v="Pediatrics"/>
    <s v="Lab Test"/>
    <s v="Female"/>
    <n v="9"/>
    <n v="8"/>
    <n v="1"/>
    <n v="2.4"/>
    <n v="0.88888888888888884"/>
  </r>
  <r>
    <s v="2023-11"/>
    <d v="2023-11-01T00:00:00"/>
    <s v="November"/>
    <s v="Oyo"/>
    <x v="14"/>
    <s v="Pediatrics"/>
    <s v="Admission"/>
    <s v="Female"/>
    <n v="5"/>
    <n v="4"/>
    <n v="0"/>
    <n v="3.4"/>
    <n v="0.8"/>
  </r>
  <r>
    <s v="2023-10"/>
    <d v="2023-10-01T00:00:00"/>
    <s v="October"/>
    <s v="Kaduna"/>
    <x v="6"/>
    <s v="Pediatrics"/>
    <s v="Delivery"/>
    <s v="Male"/>
    <n v="6"/>
    <n v="6"/>
    <n v="2"/>
    <n v="3.8"/>
    <n v="1"/>
  </r>
  <r>
    <s v="2023-11"/>
    <d v="2023-11-01T00:00:00"/>
    <s v="November"/>
    <s v="Oyo"/>
    <x v="14"/>
    <s v="Pediatrics"/>
    <s v="Medication"/>
    <s v="Male"/>
    <n v="5"/>
    <n v="5"/>
    <n v="0"/>
    <n v="1.8"/>
    <n v="1"/>
  </r>
  <r>
    <s v="2023-01"/>
    <d v="2023-01-01T00:00:00"/>
    <s v="January"/>
    <s v="FCT"/>
    <x v="16"/>
    <s v="Internal Medicine"/>
    <s v="Admission"/>
    <s v="Male"/>
    <n v="7"/>
    <n v="7"/>
    <n v="0"/>
    <n v="3.8"/>
    <n v="1"/>
  </r>
  <r>
    <s v="2023-05"/>
    <d v="2023-05-01T00:00:00"/>
    <s v="May"/>
    <s v="Rivers"/>
    <x v="18"/>
    <s v="Internal Medicine"/>
    <s v="Lab Test"/>
    <s v="Male"/>
    <n v="6"/>
    <n v="6"/>
    <n v="0"/>
    <n v="4.2"/>
    <n v="1"/>
  </r>
  <r>
    <s v="2023-08"/>
    <d v="2023-08-01T00:00:00"/>
    <s v="August"/>
    <s v="Delta"/>
    <x v="0"/>
    <s v="Emergency"/>
    <s v="Delivery"/>
    <s v="Female"/>
    <n v="3"/>
    <n v="3"/>
    <n v="1"/>
    <n v="3.1"/>
    <n v="1"/>
  </r>
  <r>
    <s v="2023-03"/>
    <d v="2023-03-01T00:00:00"/>
    <s v="March"/>
    <s v="Borno"/>
    <x v="13"/>
    <s v="Surgery"/>
    <s v="Consultation"/>
    <s v="Male"/>
    <n v="1"/>
    <n v="0"/>
    <n v="1"/>
    <n v="1"/>
    <n v="0"/>
  </r>
  <r>
    <s v="2023-05"/>
    <d v="2023-05-01T00:00:00"/>
    <s v="May"/>
    <s v="Lagos"/>
    <x v="15"/>
    <s v="Internal Medicine"/>
    <s v="Medication"/>
    <s v="Male"/>
    <n v="0"/>
    <n v="0"/>
    <n v="0"/>
    <n v="2.9"/>
    <n v="0"/>
  </r>
  <r>
    <s v="2023-01"/>
    <d v="2023-01-01T00:00:00"/>
    <s v="January"/>
    <s v="Delta"/>
    <x v="12"/>
    <s v="Emergency"/>
    <s v="Surgery"/>
    <s v="Male"/>
    <n v="4"/>
    <n v="4"/>
    <n v="0"/>
    <n v="4.0999999999999996"/>
    <n v="1"/>
  </r>
  <r>
    <s v="2023-04"/>
    <d v="2023-04-01T00:00:00"/>
    <s v="April"/>
    <s v="Borno"/>
    <x v="9"/>
    <s v="Surgery"/>
    <s v="Lab Test"/>
    <s v="Male"/>
    <n v="5"/>
    <n v="4"/>
    <n v="0"/>
    <n v="3.9"/>
    <n v="0.8"/>
  </r>
  <r>
    <s v="2023-08"/>
    <d v="2023-08-01T00:00:00"/>
    <s v="August"/>
    <s v="Lagos"/>
    <x v="3"/>
    <s v="Surgery"/>
    <s v="Consultation"/>
    <s v="Male"/>
    <n v="6"/>
    <n v="4"/>
    <n v="0"/>
    <n v="3.5"/>
    <n v="0.66666666666666663"/>
  </r>
  <r>
    <s v="2023-10"/>
    <d v="2023-10-01T00:00:00"/>
    <s v="October"/>
    <s v="Kano"/>
    <x v="8"/>
    <s v="Outpatient"/>
    <s v="Delivery"/>
    <s v="Male"/>
    <n v="5"/>
    <n v="4"/>
    <n v="3"/>
    <n v="4"/>
    <n v="0.8"/>
  </r>
  <r>
    <s v="2023-09"/>
    <d v="2023-09-01T00:00:00"/>
    <s v="September"/>
    <s v="Borno"/>
    <x v="9"/>
    <s v="Surgery"/>
    <s v="Consultation"/>
    <s v="Female"/>
    <n v="10"/>
    <n v="8"/>
    <n v="0"/>
    <n v="2.7"/>
    <n v="0.8"/>
  </r>
  <r>
    <s v="2023-10"/>
    <d v="2023-10-01T00:00:00"/>
    <s v="October"/>
    <s v="Edo"/>
    <x v="4"/>
    <s v="Surgery"/>
    <s v="Consultation"/>
    <s v="Male"/>
    <n v="1"/>
    <n v="1"/>
    <n v="0"/>
    <n v="4.5999999999999996"/>
    <n v="1"/>
  </r>
  <r>
    <s v="2023-06"/>
    <d v="2023-06-01T00:00:00"/>
    <s v="June"/>
    <s v="FCT"/>
    <x v="1"/>
    <s v="Internal Medicine"/>
    <s v="Surgery"/>
    <s v="Male"/>
    <n v="4"/>
    <n v="4"/>
    <n v="0"/>
    <n v="2.2000000000000002"/>
    <n v="1"/>
  </r>
  <r>
    <s v="2023-08"/>
    <d v="2023-08-01T00:00:00"/>
    <s v="August"/>
    <s v="Oyo"/>
    <x v="14"/>
    <s v="Maternity"/>
    <s v="Admission"/>
    <s v="Male"/>
    <n v="7"/>
    <n v="7"/>
    <n v="0"/>
    <n v="4.4000000000000004"/>
    <n v="1"/>
  </r>
  <r>
    <s v="2023-07"/>
    <d v="2023-07-01T00:00:00"/>
    <s v="July"/>
    <s v="Lagos"/>
    <x v="3"/>
    <s v="Maternity"/>
    <s v="Lab Test"/>
    <s v="Male"/>
    <n v="6"/>
    <n v="6"/>
    <n v="0"/>
    <n v="1.2"/>
    <n v="1"/>
  </r>
  <r>
    <s v="2023-02"/>
    <d v="2023-02-01T00:00:00"/>
    <s v="February"/>
    <s v="Kaduna"/>
    <x v="5"/>
    <s v="Maternity"/>
    <s v="Admission"/>
    <s v="Male"/>
    <n v="6"/>
    <n v="6"/>
    <n v="0"/>
    <n v="2.1"/>
    <n v="1"/>
  </r>
  <r>
    <s v="2023-12"/>
    <d v="2023-12-01T00:00:00"/>
    <s v="December"/>
    <s v="Kano"/>
    <x v="7"/>
    <s v="Surgery"/>
    <s v="Admission"/>
    <s v="Male"/>
    <n v="6"/>
    <n v="6"/>
    <n v="0"/>
    <n v="2"/>
    <n v="1"/>
  </r>
  <r>
    <s v="2023-07"/>
    <d v="2023-07-01T00:00:00"/>
    <s v="July"/>
    <s v="Lagos"/>
    <x v="3"/>
    <s v="Emergency"/>
    <s v="Delivery"/>
    <s v="Female"/>
    <n v="5"/>
    <n v="5"/>
    <n v="0"/>
    <n v="3"/>
    <n v="1"/>
  </r>
  <r>
    <s v="2023-03"/>
    <d v="2023-03-01T00:00:00"/>
    <s v="March"/>
    <s v="Lagos"/>
    <x v="15"/>
    <s v="Emergency"/>
    <s v="Medication"/>
    <s v="Female"/>
    <n v="6"/>
    <n v="5"/>
    <n v="0"/>
    <n v="3.6"/>
    <n v="0.83333333333333337"/>
  </r>
  <r>
    <s v="2023-01"/>
    <d v="2023-01-01T00:00:00"/>
    <s v="January"/>
    <s v="Kano"/>
    <x v="7"/>
    <s v="Emergency"/>
    <s v="Surgery"/>
    <s v="Female"/>
    <n v="6"/>
    <n v="5"/>
    <n v="0"/>
    <n v="2.7"/>
    <n v="0.83333333333333337"/>
  </r>
  <r>
    <s v="2023-04"/>
    <d v="2023-04-01T00:00:00"/>
    <s v="April"/>
    <s v="Rivers"/>
    <x v="18"/>
    <s v="Pediatrics"/>
    <s v="Surgery"/>
    <s v="Male"/>
    <n v="5"/>
    <n v="4"/>
    <n v="1"/>
    <n v="4.2"/>
    <n v="0.8"/>
  </r>
  <r>
    <s v="2023-04"/>
    <d v="2023-04-01T00:00:00"/>
    <s v="April"/>
    <s v="Kaduna"/>
    <x v="6"/>
    <s v="Maternity"/>
    <s v="Admission"/>
    <s v="Female"/>
    <n v="2"/>
    <n v="2"/>
    <n v="0"/>
    <n v="1.5"/>
    <n v="1"/>
  </r>
  <r>
    <s v="2023-04"/>
    <d v="2023-04-01T00:00:00"/>
    <s v="April"/>
    <s v="Edo"/>
    <x v="11"/>
    <s v="Outpatient"/>
    <s v="Admission"/>
    <s v="Female"/>
    <n v="6"/>
    <n v="6"/>
    <n v="0"/>
    <n v="3.3"/>
    <n v="1"/>
  </r>
  <r>
    <s v="2023-01"/>
    <d v="2023-01-01T00:00:00"/>
    <s v="January"/>
    <s v="Edo"/>
    <x v="11"/>
    <s v="Surgery"/>
    <s v="Delivery"/>
    <s v="Female"/>
    <n v="4"/>
    <n v="4"/>
    <n v="0"/>
    <n v="1.9"/>
    <n v="1"/>
  </r>
  <r>
    <s v="2023-10"/>
    <d v="2023-10-01T00:00:00"/>
    <s v="October"/>
    <s v="Delta"/>
    <x v="12"/>
    <s v="Internal Medicine"/>
    <s v="Medication"/>
    <s v="Male"/>
    <n v="3"/>
    <n v="2"/>
    <n v="0"/>
    <n v="2.2999999999999998"/>
    <n v="0.66666666666666663"/>
  </r>
  <r>
    <s v="2023-01"/>
    <d v="2023-01-01T00:00:00"/>
    <s v="January"/>
    <s v="Kano"/>
    <x v="8"/>
    <s v="Emergency"/>
    <s v="Lab Test"/>
    <s v="Female"/>
    <n v="9"/>
    <n v="8"/>
    <n v="0"/>
    <n v="3.1"/>
    <n v="0.88888888888888884"/>
  </r>
  <r>
    <s v="2023-01"/>
    <d v="2023-01-01T00:00:00"/>
    <s v="January"/>
    <s v="Kano"/>
    <x v="7"/>
    <s v="Outpatient"/>
    <s v="Delivery"/>
    <s v="Male"/>
    <n v="5"/>
    <n v="5"/>
    <n v="0"/>
    <n v="2.2999999999999998"/>
    <n v="1"/>
  </r>
  <r>
    <s v="2023-04"/>
    <d v="2023-04-01T00:00:00"/>
    <s v="April"/>
    <s v="Borno"/>
    <x v="13"/>
    <s v="Pediatrics"/>
    <s v="Surgery"/>
    <s v="Male"/>
    <n v="6"/>
    <n v="3"/>
    <n v="1"/>
    <n v="4.2"/>
    <n v="0.5"/>
  </r>
  <r>
    <s v="2023-10"/>
    <d v="2023-10-01T00:00:00"/>
    <s v="October"/>
    <s v="Rivers"/>
    <x v="18"/>
    <s v="Pediatrics"/>
    <s v="Medication"/>
    <s v="Male"/>
    <n v="4"/>
    <n v="3"/>
    <n v="0"/>
    <n v="3.1"/>
    <n v="0.75"/>
  </r>
  <r>
    <s v="2023-06"/>
    <d v="2023-06-01T00:00:00"/>
    <s v="June"/>
    <s v="Kano"/>
    <x v="7"/>
    <s v="Pediatrics"/>
    <s v="Lab Test"/>
    <s v="Female"/>
    <n v="3"/>
    <n v="3"/>
    <n v="0"/>
    <n v="3.1"/>
    <n v="1"/>
  </r>
  <r>
    <s v="2023-01"/>
    <d v="2023-01-01T00:00:00"/>
    <s v="January"/>
    <s v="Anambra"/>
    <x v="2"/>
    <s v="Surgery"/>
    <s v="Lab Test"/>
    <s v="Female"/>
    <n v="8"/>
    <n v="8"/>
    <n v="1"/>
    <n v="3.7"/>
    <n v="1"/>
  </r>
  <r>
    <s v="2023-03"/>
    <d v="2023-03-01T00:00:00"/>
    <s v="March"/>
    <s v="Borno"/>
    <x v="9"/>
    <s v="Emergency"/>
    <s v="Surgery"/>
    <s v="Female"/>
    <n v="7"/>
    <n v="7"/>
    <n v="0"/>
    <n v="3.5"/>
    <n v="1"/>
  </r>
  <r>
    <s v="2023-02"/>
    <d v="2023-02-01T00:00:00"/>
    <s v="February"/>
    <s v="Kaduna"/>
    <x v="5"/>
    <s v="Internal Medicine"/>
    <s v="Lab Test"/>
    <s v="Female"/>
    <n v="8"/>
    <n v="7"/>
    <n v="0"/>
    <n v="2.1"/>
    <n v="0.875"/>
  </r>
  <r>
    <s v="2023-11"/>
    <d v="2023-11-01T00:00:00"/>
    <s v="November"/>
    <s v="Kano"/>
    <x v="7"/>
    <s v="Internal Medicine"/>
    <s v="Medication"/>
    <s v="Female"/>
    <n v="4"/>
    <n v="4"/>
    <n v="0"/>
    <n v="3.1"/>
    <n v="1"/>
  </r>
  <r>
    <s v="2023-01"/>
    <d v="2023-01-01T00:00:00"/>
    <s v="January"/>
    <s v="Rivers"/>
    <x v="10"/>
    <s v="Emergency"/>
    <s v="Consultation"/>
    <s v="Female"/>
    <n v="5"/>
    <n v="4"/>
    <n v="0"/>
    <n v="3.5"/>
    <n v="0.8"/>
  </r>
  <r>
    <s v="2023-04"/>
    <d v="2023-04-01T00:00:00"/>
    <s v="April"/>
    <s v="Edo"/>
    <x v="4"/>
    <s v="Emergency"/>
    <s v="Lab Test"/>
    <s v="Female"/>
    <n v="3"/>
    <n v="2"/>
    <n v="0"/>
    <n v="3.1"/>
    <n v="0.66666666666666663"/>
  </r>
  <r>
    <s v="2023-07"/>
    <d v="2023-07-01T00:00:00"/>
    <s v="July"/>
    <s v="FCT"/>
    <x v="16"/>
    <s v="Outpatient"/>
    <s v="Admission"/>
    <s v="Female"/>
    <n v="3"/>
    <n v="3"/>
    <n v="0"/>
    <n v="2.7"/>
    <n v="1"/>
  </r>
  <r>
    <s v="2023-08"/>
    <d v="2023-08-01T00:00:00"/>
    <s v="August"/>
    <s v="Delta"/>
    <x v="0"/>
    <s v="Pediatrics"/>
    <s v="Surgery"/>
    <s v="Female"/>
    <n v="6"/>
    <n v="5"/>
    <n v="0"/>
    <n v="2"/>
    <n v="0.83333333333333337"/>
  </r>
  <r>
    <s v="2023-12"/>
    <d v="2023-12-01T00:00:00"/>
    <s v="December"/>
    <s v="Kano"/>
    <x v="8"/>
    <s v="Maternity"/>
    <s v="Admission"/>
    <s v="Male"/>
    <n v="7"/>
    <n v="7"/>
    <n v="0"/>
    <n v="2.8"/>
    <n v="1"/>
  </r>
  <r>
    <s v="2023-04"/>
    <d v="2023-04-01T00:00:00"/>
    <s v="April"/>
    <s v="Oyo"/>
    <x v="14"/>
    <s v="Outpatient"/>
    <s v="Admission"/>
    <s v="Female"/>
    <n v="2"/>
    <n v="2"/>
    <n v="0"/>
    <n v="1.5"/>
    <n v="1"/>
  </r>
  <r>
    <s v="2023-09"/>
    <d v="2023-09-01T00:00:00"/>
    <s v="September"/>
    <s v="Delta"/>
    <x v="0"/>
    <s v="Surgery"/>
    <s v="Consultation"/>
    <s v="Female"/>
    <n v="1"/>
    <n v="0"/>
    <n v="0"/>
    <n v="3.2"/>
    <n v="0"/>
  </r>
  <r>
    <s v="2023-01"/>
    <d v="2023-01-01T00:00:00"/>
    <s v="January"/>
    <s v="Rivers"/>
    <x v="18"/>
    <s v="Outpatient"/>
    <s v="Medication"/>
    <s v="Male"/>
    <n v="6"/>
    <n v="6"/>
    <n v="0"/>
    <n v="4.2"/>
    <n v="1"/>
  </r>
  <r>
    <s v="2023-02"/>
    <d v="2023-02-01T00:00:00"/>
    <s v="February"/>
    <s v="Edo"/>
    <x v="4"/>
    <s v="Surgery"/>
    <s v="Delivery"/>
    <s v="Female"/>
    <n v="8"/>
    <n v="7"/>
    <n v="0"/>
    <n v="2.1"/>
    <n v="0.875"/>
  </r>
  <r>
    <s v="2023-09"/>
    <d v="2023-09-01T00:00:00"/>
    <s v="September"/>
    <s v="Kano"/>
    <x v="7"/>
    <s v="Pediatrics"/>
    <s v="Admission"/>
    <s v="Male"/>
    <n v="4"/>
    <n v="4"/>
    <n v="0"/>
    <n v="3.3"/>
    <n v="1"/>
  </r>
  <r>
    <s v="2023-11"/>
    <d v="2023-11-01T00:00:00"/>
    <s v="November"/>
    <s v="Anambra"/>
    <x v="2"/>
    <s v="Pediatrics"/>
    <s v="Consultation"/>
    <s v="Female"/>
    <n v="3"/>
    <n v="2"/>
    <n v="0"/>
    <n v="3.8"/>
    <n v="0.66666666666666663"/>
  </r>
  <r>
    <s v="2023-02"/>
    <d v="2023-02-01T00:00:00"/>
    <s v="February"/>
    <s v="Kano"/>
    <x v="7"/>
    <s v="Internal Medicine"/>
    <s v="Surgery"/>
    <s v="Female"/>
    <n v="2"/>
    <n v="2"/>
    <n v="0"/>
    <n v="1.7"/>
    <n v="1"/>
  </r>
  <r>
    <s v="2023-05"/>
    <d v="2023-05-01T00:00:00"/>
    <s v="May"/>
    <s v="Borno"/>
    <x v="9"/>
    <s v="Emergency"/>
    <s v="Consultation"/>
    <s v="Female"/>
    <n v="4"/>
    <n v="4"/>
    <n v="0"/>
    <n v="2"/>
    <n v="1"/>
  </r>
  <r>
    <s v="2023-02"/>
    <d v="2023-02-01T00:00:00"/>
    <s v="February"/>
    <s v="Edo"/>
    <x v="11"/>
    <s v="Maternity"/>
    <s v="Surgery"/>
    <s v="Female"/>
    <n v="2"/>
    <n v="2"/>
    <n v="1"/>
    <n v="4"/>
    <n v="1"/>
  </r>
  <r>
    <s v="2023-04"/>
    <d v="2023-04-01T00:00:00"/>
    <s v="April"/>
    <s v="Oyo"/>
    <x v="17"/>
    <s v="Surgery"/>
    <s v="Delivery"/>
    <s v="Female"/>
    <n v="3"/>
    <n v="3"/>
    <n v="0"/>
    <n v="2.2000000000000002"/>
    <n v="1"/>
  </r>
  <r>
    <s v="2023-10"/>
    <d v="2023-10-01T00:00:00"/>
    <s v="October"/>
    <s v="Anambra"/>
    <x v="19"/>
    <s v="Pediatrics"/>
    <s v="Delivery"/>
    <s v="Male"/>
    <n v="5"/>
    <n v="3"/>
    <n v="0"/>
    <n v="4.5"/>
    <n v="0.6"/>
  </r>
  <r>
    <s v="2023-02"/>
    <d v="2023-02-01T00:00:00"/>
    <s v="February"/>
    <s v="Kano"/>
    <x v="7"/>
    <s v="Emergency"/>
    <s v="Admission"/>
    <s v="Female"/>
    <n v="5"/>
    <n v="5"/>
    <n v="0"/>
    <n v="3.5"/>
    <n v="1"/>
  </r>
  <r>
    <s v="2023-07"/>
    <d v="2023-07-01T00:00:00"/>
    <s v="July"/>
    <s v="Borno"/>
    <x v="13"/>
    <s v="Internal Medicine"/>
    <s v="Lab Test"/>
    <s v="Female"/>
    <n v="5"/>
    <n v="4"/>
    <n v="0"/>
    <n v="3.9"/>
    <n v="0.8"/>
  </r>
  <r>
    <s v="2023-11"/>
    <d v="2023-11-01T00:00:00"/>
    <s v="November"/>
    <s v="Kano"/>
    <x v="7"/>
    <s v="Emergency"/>
    <s v="Medication"/>
    <s v="Female"/>
    <n v="10"/>
    <n v="9"/>
    <n v="2"/>
    <n v="2.4"/>
    <n v="0.9"/>
  </r>
  <r>
    <s v="2023-08"/>
    <d v="2023-08-01T00:00:00"/>
    <s v="August"/>
    <s v="Rivers"/>
    <x v="10"/>
    <s v="Emergency"/>
    <s v="Surgery"/>
    <s v="Male"/>
    <n v="2"/>
    <n v="2"/>
    <n v="0"/>
    <n v="2.5"/>
    <n v="1"/>
  </r>
  <r>
    <s v="2023-10"/>
    <d v="2023-10-01T00:00:00"/>
    <s v="October"/>
    <s v="Kaduna"/>
    <x v="5"/>
    <s v="Surgery"/>
    <s v="Medication"/>
    <s v="Female"/>
    <n v="8"/>
    <n v="6"/>
    <n v="0"/>
    <n v="3.6"/>
    <n v="0.75"/>
  </r>
  <r>
    <s v="2023-11"/>
    <d v="2023-11-01T00:00:00"/>
    <s v="November"/>
    <s v="Oyo"/>
    <x v="14"/>
    <s v="Emergency"/>
    <s v="Delivery"/>
    <s v="Male"/>
    <n v="3"/>
    <n v="3"/>
    <n v="0"/>
    <n v="4.3"/>
    <n v="1"/>
  </r>
  <r>
    <s v="2023-10"/>
    <d v="2023-10-01T00:00:00"/>
    <s v="October"/>
    <s v="Kano"/>
    <x v="8"/>
    <s v="Emergency"/>
    <s v="Admission"/>
    <s v="Male"/>
    <n v="5"/>
    <n v="4"/>
    <n v="0"/>
    <n v="2.6"/>
    <n v="0.8"/>
  </r>
  <r>
    <s v="2023-05"/>
    <d v="2023-05-01T00:00:00"/>
    <s v="May"/>
    <s v="Kano"/>
    <x v="7"/>
    <s v="Maternity"/>
    <s v="Consultation"/>
    <s v="Male"/>
    <n v="0"/>
    <n v="0"/>
    <n v="0"/>
    <n v="2.2000000000000002"/>
    <n v="0"/>
  </r>
  <r>
    <s v="2023-09"/>
    <d v="2023-09-01T00:00:00"/>
    <s v="September"/>
    <s v="Borno"/>
    <x v="9"/>
    <s v="Maternity"/>
    <s v="Surgery"/>
    <s v="Female"/>
    <n v="4"/>
    <n v="3"/>
    <n v="2"/>
    <n v="3.6"/>
    <n v="0.75"/>
  </r>
  <r>
    <s v="2023-08"/>
    <d v="2023-08-01T00:00:00"/>
    <s v="August"/>
    <s v="Edo"/>
    <x v="4"/>
    <s v="Internal Medicine"/>
    <s v="Admission"/>
    <s v="Male"/>
    <n v="8"/>
    <n v="7"/>
    <n v="0"/>
    <n v="2.4"/>
    <n v="0.875"/>
  </r>
  <r>
    <s v="2023-09"/>
    <d v="2023-09-01T00:00:00"/>
    <s v="September"/>
    <s v="Delta"/>
    <x v="0"/>
    <s v="Outpatient"/>
    <s v="Consultation"/>
    <s v="Male"/>
    <n v="5"/>
    <n v="4"/>
    <n v="1"/>
    <n v="5.6"/>
    <n v="0.8"/>
  </r>
  <r>
    <s v="2023-10"/>
    <d v="2023-10-01T00:00:00"/>
    <s v="October"/>
    <s v="FCT"/>
    <x v="1"/>
    <s v="Maternity"/>
    <s v="Medication"/>
    <s v="Male"/>
    <n v="4"/>
    <n v="4"/>
    <n v="0"/>
    <n v="3.9"/>
    <n v="1"/>
  </r>
  <r>
    <s v="2023-02"/>
    <d v="2023-02-01T00:00:00"/>
    <s v="February"/>
    <s v="Borno"/>
    <x v="9"/>
    <s v="Surgery"/>
    <s v="Delivery"/>
    <s v="Male"/>
    <n v="4"/>
    <n v="4"/>
    <n v="0"/>
    <n v="3.7"/>
    <n v="1"/>
  </r>
  <r>
    <s v="2023-08"/>
    <d v="2023-08-01T00:00:00"/>
    <s v="August"/>
    <s v="FCT"/>
    <x v="1"/>
    <s v="Surgery"/>
    <s v="Surgery"/>
    <s v="Female"/>
    <n v="8"/>
    <n v="8"/>
    <n v="1"/>
    <n v="4.2"/>
    <n v="1"/>
  </r>
  <r>
    <s v="2023-03"/>
    <d v="2023-03-01T00:00:00"/>
    <s v="March"/>
    <s v="Kaduna"/>
    <x v="5"/>
    <s v="Outpatient"/>
    <s v="Surgery"/>
    <s v="Male"/>
    <n v="4"/>
    <n v="4"/>
    <n v="1"/>
    <n v="1.1000000000000001"/>
    <n v="1"/>
  </r>
  <r>
    <s v="2023-12"/>
    <d v="2023-12-01T00:00:00"/>
    <s v="December"/>
    <s v="Delta"/>
    <x v="0"/>
    <s v="Surgery"/>
    <s v="Surgery"/>
    <s v="Female"/>
    <n v="5"/>
    <n v="4"/>
    <n v="1"/>
    <n v="3.5"/>
    <n v="0.8"/>
  </r>
  <r>
    <s v="2023-12"/>
    <d v="2023-12-01T00:00:00"/>
    <s v="December"/>
    <s v="FCT"/>
    <x v="16"/>
    <s v="Pediatrics"/>
    <s v="Medication"/>
    <s v="Male"/>
    <n v="3"/>
    <n v="3"/>
    <n v="0"/>
    <n v="2.5"/>
    <n v="1"/>
  </r>
  <r>
    <s v="2023-01"/>
    <d v="2023-01-01T00:00:00"/>
    <s v="January"/>
    <s v="Anambra"/>
    <x v="19"/>
    <s v="Pediatrics"/>
    <s v="Delivery"/>
    <s v="Male"/>
    <n v="5"/>
    <n v="4"/>
    <n v="0"/>
    <n v="2.9"/>
    <n v="0.8"/>
  </r>
  <r>
    <s v="2023-11"/>
    <d v="2023-11-01T00:00:00"/>
    <s v="November"/>
    <s v="Kano"/>
    <x v="7"/>
    <s v="Maternity"/>
    <s v="Admission"/>
    <s v="Female"/>
    <n v="4"/>
    <n v="3"/>
    <n v="0"/>
    <n v="2.8"/>
    <n v="0.75"/>
  </r>
  <r>
    <s v="2023-04"/>
    <d v="2023-04-01T00:00:00"/>
    <s v="April"/>
    <s v="Borno"/>
    <x v="13"/>
    <s v="Pediatrics"/>
    <s v="Delivery"/>
    <s v="Male"/>
    <n v="3"/>
    <n v="3"/>
    <n v="1"/>
    <n v="3.1"/>
    <n v="1"/>
  </r>
  <r>
    <s v="2023-05"/>
    <d v="2023-05-01T00:00:00"/>
    <s v="May"/>
    <s v="Kaduna"/>
    <x v="5"/>
    <s v="Internal Medicine"/>
    <s v="Surgery"/>
    <s v="Male"/>
    <n v="3"/>
    <n v="3"/>
    <n v="1"/>
    <n v="1.9"/>
    <n v="1"/>
  </r>
  <r>
    <s v="2023-11"/>
    <d v="2023-11-01T00:00:00"/>
    <s v="November"/>
    <s v="Rivers"/>
    <x v="18"/>
    <s v="Maternity"/>
    <s v="Consultation"/>
    <s v="Female"/>
    <n v="4"/>
    <n v="3"/>
    <n v="1"/>
    <n v="3.8"/>
    <n v="0.75"/>
  </r>
  <r>
    <s v="2023-11"/>
    <d v="2023-11-01T00:00:00"/>
    <s v="November"/>
    <s v="FCT"/>
    <x v="16"/>
    <s v="Emergency"/>
    <s v="Lab Test"/>
    <s v="Female"/>
    <n v="6"/>
    <n v="6"/>
    <n v="0"/>
    <n v="1.7"/>
    <n v="1"/>
  </r>
  <r>
    <s v="2023-10"/>
    <d v="2023-10-01T00:00:00"/>
    <s v="October"/>
    <s v="Lagos"/>
    <x v="3"/>
    <s v="Outpatient"/>
    <s v="Consultation"/>
    <s v="Male"/>
    <n v="5"/>
    <n v="4"/>
    <n v="0"/>
    <n v="3.4"/>
    <n v="0.8"/>
  </r>
  <r>
    <s v="2023-01"/>
    <d v="2023-01-01T00:00:00"/>
    <s v="January"/>
    <s v="Borno"/>
    <x v="13"/>
    <s v="Emergency"/>
    <s v="Lab Test"/>
    <s v="Female"/>
    <n v="3"/>
    <n v="2"/>
    <n v="0"/>
    <n v="4.8"/>
    <n v="0.66666666666666663"/>
  </r>
  <r>
    <s v="2023-11"/>
    <d v="2023-11-01T00:00:00"/>
    <s v="November"/>
    <s v="Anambra"/>
    <x v="2"/>
    <s v="Pediatrics"/>
    <s v="Delivery"/>
    <s v="Female"/>
    <n v="5"/>
    <n v="5"/>
    <n v="1"/>
    <n v="2.4"/>
    <n v="1"/>
  </r>
  <r>
    <s v="2023-06"/>
    <d v="2023-06-01T00:00:00"/>
    <s v="June"/>
    <s v="Borno"/>
    <x v="9"/>
    <s v="Internal Medicine"/>
    <s v="Surgery"/>
    <s v="Female"/>
    <n v="4"/>
    <n v="3"/>
    <n v="0"/>
    <n v="2.9"/>
    <n v="0.75"/>
  </r>
  <r>
    <s v="2023-12"/>
    <d v="2023-12-01T00:00:00"/>
    <s v="December"/>
    <s v="Lagos"/>
    <x v="3"/>
    <s v="Emergency"/>
    <s v="Lab Test"/>
    <s v="Female"/>
    <n v="8"/>
    <n v="8"/>
    <n v="0"/>
    <n v="3.1"/>
    <n v="1"/>
  </r>
  <r>
    <s v="2023-06"/>
    <d v="2023-06-01T00:00:00"/>
    <s v="June"/>
    <s v="Rivers"/>
    <x v="10"/>
    <s v="Outpatient"/>
    <s v="Lab Test"/>
    <s v="Female"/>
    <n v="7"/>
    <n v="6"/>
    <n v="0"/>
    <n v="3.9"/>
    <n v="0.8571428571428571"/>
  </r>
  <r>
    <s v="2023-10"/>
    <d v="2023-10-01T00:00:00"/>
    <s v="October"/>
    <s v="Oyo"/>
    <x v="14"/>
    <s v="Surgery"/>
    <s v="Surgery"/>
    <s v="Male"/>
    <n v="8"/>
    <n v="7"/>
    <n v="0"/>
    <n v="2.7"/>
    <n v="0.875"/>
  </r>
  <r>
    <s v="2023-06"/>
    <d v="2023-06-01T00:00:00"/>
    <s v="June"/>
    <s v="Kano"/>
    <x v="7"/>
    <s v="Pediatrics"/>
    <s v="Delivery"/>
    <s v="Female"/>
    <n v="5"/>
    <n v="5"/>
    <n v="1"/>
    <n v="2.6"/>
    <n v="1"/>
  </r>
  <r>
    <s v="2023-12"/>
    <d v="2023-12-01T00:00:00"/>
    <s v="December"/>
    <s v="Rivers"/>
    <x v="10"/>
    <s v="Maternity"/>
    <s v="Lab Test"/>
    <s v="Male"/>
    <n v="9"/>
    <n v="9"/>
    <n v="0"/>
    <n v="4.2"/>
    <n v="1"/>
  </r>
  <r>
    <s v="2023-10"/>
    <d v="2023-10-01T00:00:00"/>
    <s v="October"/>
    <s v="Edo"/>
    <x v="11"/>
    <s v="Surgery"/>
    <s v="Lab Test"/>
    <s v="Female"/>
    <n v="5"/>
    <n v="4"/>
    <n v="0"/>
    <n v="5.6"/>
    <n v="0.8"/>
  </r>
  <r>
    <s v="2023-07"/>
    <d v="2023-07-01T00:00:00"/>
    <s v="July"/>
    <s v="Oyo"/>
    <x v="14"/>
    <s v="Pediatrics"/>
    <s v="Delivery"/>
    <s v="Female"/>
    <n v="7"/>
    <n v="7"/>
    <n v="0"/>
    <n v="3.8"/>
    <n v="1"/>
  </r>
  <r>
    <s v="2023-12"/>
    <d v="2023-12-01T00:00:00"/>
    <s v="December"/>
    <s v="Kaduna"/>
    <x v="5"/>
    <s v="Emergency"/>
    <s v="Medication"/>
    <s v="Female"/>
    <n v="2"/>
    <n v="2"/>
    <n v="0"/>
    <n v="3.5"/>
    <n v="1"/>
  </r>
  <r>
    <s v="2023-03"/>
    <d v="2023-03-01T00:00:00"/>
    <s v="March"/>
    <s v="Kano"/>
    <x v="7"/>
    <s v="Pediatrics"/>
    <s v="Consultation"/>
    <s v="Female"/>
    <n v="8"/>
    <n v="7"/>
    <n v="0"/>
    <n v="2.5"/>
    <n v="0.875"/>
  </r>
  <r>
    <s v="2023-12"/>
    <d v="2023-12-01T00:00:00"/>
    <s v="December"/>
    <s v="Kaduna"/>
    <x v="5"/>
    <s v="Emergency"/>
    <s v="Surgery"/>
    <s v="Female"/>
    <n v="5"/>
    <n v="4"/>
    <n v="0"/>
    <n v="3.2"/>
    <n v="0.8"/>
  </r>
  <r>
    <s v="2023-05"/>
    <d v="2023-05-01T00:00:00"/>
    <s v="May"/>
    <s v="Lagos"/>
    <x v="15"/>
    <s v="Emergency"/>
    <s v="Surgery"/>
    <s v="Male"/>
    <n v="2"/>
    <n v="2"/>
    <n v="0"/>
    <n v="3.7"/>
    <n v="1"/>
  </r>
  <r>
    <s v="2023-03"/>
    <d v="2023-03-01T00:00:00"/>
    <s v="March"/>
    <s v="Lagos"/>
    <x v="3"/>
    <s v="Maternity"/>
    <s v="Surgery"/>
    <s v="Female"/>
    <n v="5"/>
    <n v="5"/>
    <n v="0"/>
    <n v="3.7"/>
    <n v="1"/>
  </r>
  <r>
    <s v="2023-04"/>
    <d v="2023-04-01T00:00:00"/>
    <s v="April"/>
    <s v="Borno"/>
    <x v="13"/>
    <s v="Emergency"/>
    <s v="Lab Test"/>
    <s v="Female"/>
    <n v="6"/>
    <n v="5"/>
    <n v="1"/>
    <n v="3.7"/>
    <n v="0.83333333333333337"/>
  </r>
  <r>
    <s v="2023-10"/>
    <d v="2023-10-01T00:00:00"/>
    <s v="October"/>
    <s v="Rivers"/>
    <x v="18"/>
    <s v="Outpatient"/>
    <s v="Surgery"/>
    <s v="Female"/>
    <n v="4"/>
    <n v="2"/>
    <n v="0"/>
    <n v="2.6"/>
    <n v="0.5"/>
  </r>
  <r>
    <s v="2023-02"/>
    <d v="2023-02-01T00:00:00"/>
    <s v="February"/>
    <s v="Borno"/>
    <x v="13"/>
    <s v="Emergency"/>
    <s v="Medication"/>
    <s v="Female"/>
    <n v="5"/>
    <n v="5"/>
    <n v="0"/>
    <n v="1.1000000000000001"/>
    <n v="1"/>
  </r>
  <r>
    <s v="2023-04"/>
    <d v="2023-04-01T00:00:00"/>
    <s v="April"/>
    <s v="FCT"/>
    <x v="1"/>
    <s v="Pediatrics"/>
    <s v="Medication"/>
    <s v="Male"/>
    <n v="4"/>
    <n v="3"/>
    <n v="1"/>
    <n v="2.7"/>
    <n v="0.75"/>
  </r>
  <r>
    <s v="2023-03"/>
    <d v="2023-03-01T00:00:00"/>
    <s v="March"/>
    <s v="Kano"/>
    <x v="8"/>
    <s v="Surgery"/>
    <s v="Lab Test"/>
    <s v="Male"/>
    <n v="4"/>
    <n v="4"/>
    <n v="0"/>
    <n v="3.1"/>
    <n v="1"/>
  </r>
  <r>
    <s v="2023-03"/>
    <d v="2023-03-01T00:00:00"/>
    <s v="March"/>
    <s v="Oyo"/>
    <x v="17"/>
    <s v="Outpatient"/>
    <s v="Lab Test"/>
    <s v="Male"/>
    <n v="6"/>
    <n v="6"/>
    <n v="1"/>
    <n v="2.5"/>
    <n v="1"/>
  </r>
  <r>
    <s v="2023-12"/>
    <d v="2023-12-01T00:00:00"/>
    <s v="December"/>
    <s v="Borno"/>
    <x v="9"/>
    <s v="Pediatrics"/>
    <s v="Lab Test"/>
    <s v="Female"/>
    <n v="8"/>
    <n v="7"/>
    <n v="1"/>
    <n v="5.0999999999999996"/>
    <n v="0.875"/>
  </r>
  <r>
    <s v="2023-07"/>
    <d v="2023-07-01T00:00:00"/>
    <s v="July"/>
    <s v="Lagos"/>
    <x v="15"/>
    <s v="Surgery"/>
    <s v="Medication"/>
    <s v="Female"/>
    <n v="5"/>
    <n v="5"/>
    <n v="0"/>
    <n v="1.9"/>
    <n v="1"/>
  </r>
  <r>
    <s v="2023-06"/>
    <d v="2023-06-01T00:00:00"/>
    <s v="June"/>
    <s v="Anambra"/>
    <x v="19"/>
    <s v="Maternity"/>
    <s v="Consultation"/>
    <s v="Female"/>
    <n v="6"/>
    <n v="6"/>
    <n v="0"/>
    <n v="2.4"/>
    <n v="1"/>
  </r>
  <r>
    <s v="2023-06"/>
    <d v="2023-06-01T00:00:00"/>
    <s v="June"/>
    <s v="Kaduna"/>
    <x v="6"/>
    <s v="Maternity"/>
    <s v="Medication"/>
    <s v="Female"/>
    <n v="4"/>
    <n v="4"/>
    <n v="0"/>
    <n v="3"/>
    <n v="1"/>
  </r>
  <r>
    <s v="2023-06"/>
    <d v="2023-06-01T00:00:00"/>
    <s v="June"/>
    <s v="Delta"/>
    <x v="0"/>
    <s v="Outpatient"/>
    <s v="Consultation"/>
    <s v="Male"/>
    <n v="3"/>
    <n v="3"/>
    <n v="0"/>
    <n v="4.0999999999999996"/>
    <n v="1"/>
  </r>
  <r>
    <s v="2023-09"/>
    <d v="2023-09-01T00:00:00"/>
    <s v="September"/>
    <s v="Kaduna"/>
    <x v="6"/>
    <s v="Emergency"/>
    <s v="Lab Test"/>
    <s v="Male"/>
    <n v="5"/>
    <n v="4"/>
    <n v="0"/>
    <n v="2.4"/>
    <n v="0.8"/>
  </r>
  <r>
    <s v="2023-03"/>
    <d v="2023-03-01T00:00:00"/>
    <s v="March"/>
    <s v="Lagos"/>
    <x v="15"/>
    <s v="Maternity"/>
    <s v="Lab Test"/>
    <s v="Female"/>
    <n v="7"/>
    <n v="7"/>
    <n v="0"/>
    <n v="3.8"/>
    <n v="1"/>
  </r>
  <r>
    <s v="2023-12"/>
    <d v="2023-12-01T00:00:00"/>
    <s v="December"/>
    <s v="Kaduna"/>
    <x v="6"/>
    <s v="Outpatient"/>
    <s v="Admission"/>
    <s v="Male"/>
    <n v="6"/>
    <n v="5"/>
    <n v="0"/>
    <n v="2.8"/>
    <n v="0.83333333333333337"/>
  </r>
  <r>
    <s v="2023-03"/>
    <d v="2023-03-01T00:00:00"/>
    <s v="March"/>
    <s v="Anambra"/>
    <x v="2"/>
    <s v="Pediatrics"/>
    <s v="Consultation"/>
    <s v="Male"/>
    <n v="3"/>
    <n v="3"/>
    <n v="0"/>
    <n v="0.8"/>
    <n v="1"/>
  </r>
  <r>
    <s v="2023-02"/>
    <d v="2023-02-01T00:00:00"/>
    <s v="February"/>
    <s v="Kano"/>
    <x v="8"/>
    <s v="Maternity"/>
    <s v="Delivery"/>
    <s v="Female"/>
    <n v="3"/>
    <n v="3"/>
    <n v="0"/>
    <n v="2.2999999999999998"/>
    <n v="1"/>
  </r>
  <r>
    <s v="2023-02"/>
    <d v="2023-02-01T00:00:00"/>
    <s v="February"/>
    <s v="Oyo"/>
    <x v="17"/>
    <s v="Maternity"/>
    <s v="Consultation"/>
    <s v="Male"/>
    <n v="5"/>
    <n v="4"/>
    <n v="1"/>
    <n v="4"/>
    <n v="0.8"/>
  </r>
  <r>
    <s v="2023-12"/>
    <d v="2023-12-01T00:00:00"/>
    <s v="December"/>
    <s v="Kaduna"/>
    <x v="6"/>
    <s v="Internal Medicine"/>
    <s v="Surgery"/>
    <s v="Male"/>
    <n v="3"/>
    <n v="3"/>
    <n v="0"/>
    <n v="3.3"/>
    <n v="1"/>
  </r>
  <r>
    <s v="2023-05"/>
    <d v="2023-05-01T00:00:00"/>
    <s v="May"/>
    <s v="Edo"/>
    <x v="11"/>
    <s v="Emergency"/>
    <s v="Lab Test"/>
    <s v="Male"/>
    <n v="1"/>
    <n v="1"/>
    <n v="0"/>
    <n v="2.5"/>
    <n v="1"/>
  </r>
  <r>
    <s v="2023-07"/>
    <d v="2023-07-01T00:00:00"/>
    <s v="July"/>
    <s v="Kaduna"/>
    <x v="6"/>
    <s v="Internal Medicine"/>
    <s v="Admission"/>
    <s v="Male"/>
    <n v="6"/>
    <n v="6"/>
    <n v="0"/>
    <n v="3.1"/>
    <n v="1"/>
  </r>
  <r>
    <s v="2023-09"/>
    <d v="2023-09-01T00:00:00"/>
    <s v="September"/>
    <s v="Kaduna"/>
    <x v="6"/>
    <s v="Maternity"/>
    <s v="Surgery"/>
    <s v="Female"/>
    <n v="8"/>
    <n v="8"/>
    <n v="0"/>
    <n v="4.3"/>
    <n v="1"/>
  </r>
  <r>
    <s v="2023-06"/>
    <d v="2023-06-01T00:00:00"/>
    <s v="June"/>
    <s v="Oyo"/>
    <x v="17"/>
    <s v="Maternity"/>
    <s v="Consultation"/>
    <s v="Female"/>
    <n v="5"/>
    <n v="4"/>
    <n v="0"/>
    <n v="1.3"/>
    <n v="0.8"/>
  </r>
  <r>
    <s v="2023-11"/>
    <d v="2023-11-01T00:00:00"/>
    <s v="November"/>
    <s v="Kaduna"/>
    <x v="6"/>
    <s v="Pediatrics"/>
    <s v="Surgery"/>
    <s v="Female"/>
    <n v="1"/>
    <n v="1"/>
    <n v="0"/>
    <n v="2.4"/>
    <n v="1"/>
  </r>
  <r>
    <s v="2023-01"/>
    <d v="2023-01-01T00:00:00"/>
    <s v="January"/>
    <s v="Kano"/>
    <x v="7"/>
    <s v="Emergency"/>
    <s v="Surgery"/>
    <s v="Male"/>
    <n v="5"/>
    <n v="3"/>
    <n v="0"/>
    <n v="2.8"/>
    <n v="0.6"/>
  </r>
  <r>
    <s v="2023-08"/>
    <d v="2023-08-01T00:00:00"/>
    <s v="August"/>
    <s v="Kano"/>
    <x v="8"/>
    <s v="Internal Medicine"/>
    <s v="Lab Test"/>
    <s v="Male"/>
    <n v="3"/>
    <n v="3"/>
    <n v="1"/>
    <n v="2.6"/>
    <n v="1"/>
  </r>
  <r>
    <s v="2023-02"/>
    <d v="2023-02-01T00:00:00"/>
    <s v="February"/>
    <s v="Kano"/>
    <x v="8"/>
    <s v="Surgery"/>
    <s v="Delivery"/>
    <s v="Female"/>
    <n v="2"/>
    <n v="2"/>
    <n v="0"/>
    <n v="2.9"/>
    <n v="1"/>
  </r>
  <r>
    <s v="2023-09"/>
    <d v="2023-09-01T00:00:00"/>
    <s v="September"/>
    <s v="Borno"/>
    <x v="13"/>
    <s v="Maternity"/>
    <s v="Lab Test"/>
    <s v="Female"/>
    <n v="5"/>
    <n v="4"/>
    <n v="0"/>
    <n v="1.5"/>
    <n v="0.8"/>
  </r>
  <r>
    <s v="2023-12"/>
    <d v="2023-12-01T00:00:00"/>
    <s v="December"/>
    <s v="Anambra"/>
    <x v="2"/>
    <s v="Maternity"/>
    <s v="Delivery"/>
    <s v="Male"/>
    <n v="5"/>
    <n v="4"/>
    <n v="0"/>
    <n v="1.5"/>
    <n v="0.8"/>
  </r>
  <r>
    <s v="2023-08"/>
    <d v="2023-08-01T00:00:00"/>
    <s v="August"/>
    <s v="Anambra"/>
    <x v="2"/>
    <s v="Emergency"/>
    <s v="Admission"/>
    <s v="Male"/>
    <n v="3"/>
    <n v="3"/>
    <n v="0"/>
    <n v="3.1"/>
    <n v="1"/>
  </r>
  <r>
    <s v="2023-03"/>
    <d v="2023-03-01T00:00:00"/>
    <s v="March"/>
    <s v="FCT"/>
    <x v="16"/>
    <s v="Pediatrics"/>
    <s v="Consultation"/>
    <s v="Female"/>
    <n v="5"/>
    <n v="5"/>
    <n v="2"/>
    <n v="3.5"/>
    <n v="1"/>
  </r>
  <r>
    <s v="2023-06"/>
    <d v="2023-06-01T00:00:00"/>
    <s v="June"/>
    <s v="Kaduna"/>
    <x v="5"/>
    <s v="Emergency"/>
    <s v="Medication"/>
    <s v="Male"/>
    <n v="6"/>
    <n v="6"/>
    <n v="0"/>
    <n v="3.3"/>
    <n v="1"/>
  </r>
  <r>
    <s v="2023-04"/>
    <d v="2023-04-01T00:00:00"/>
    <s v="April"/>
    <s v="Oyo"/>
    <x v="14"/>
    <s v="Pediatrics"/>
    <s v="Surgery"/>
    <s v="Female"/>
    <n v="4"/>
    <n v="3"/>
    <n v="0"/>
    <n v="3.5"/>
    <n v="0.75"/>
  </r>
  <r>
    <s v="2023-11"/>
    <d v="2023-11-01T00:00:00"/>
    <s v="November"/>
    <s v="Borno"/>
    <x v="13"/>
    <s v="Pediatrics"/>
    <s v="Surgery"/>
    <s v="Male"/>
    <n v="8"/>
    <n v="8"/>
    <n v="0"/>
    <n v="2.4"/>
    <n v="1"/>
  </r>
  <r>
    <s v="2023-04"/>
    <d v="2023-04-01T00:00:00"/>
    <s v="April"/>
    <s v="Edo"/>
    <x v="11"/>
    <s v="Emergency"/>
    <s v="Medication"/>
    <s v="Female"/>
    <n v="10"/>
    <n v="10"/>
    <n v="1"/>
    <n v="4.4000000000000004"/>
    <n v="1"/>
  </r>
  <r>
    <s v="2023-04"/>
    <d v="2023-04-01T00:00:00"/>
    <s v="April"/>
    <s v="Edo"/>
    <x v="4"/>
    <s v="Outpatient"/>
    <s v="Consultation"/>
    <s v="Male"/>
    <n v="6"/>
    <n v="5"/>
    <n v="1"/>
    <n v="3"/>
    <n v="0.83333333333333337"/>
  </r>
  <r>
    <s v="2023-03"/>
    <d v="2023-03-01T00:00:00"/>
    <s v="March"/>
    <s v="Lagos"/>
    <x v="3"/>
    <s v="Maternity"/>
    <s v="Medication"/>
    <s v="Male"/>
    <n v="5"/>
    <n v="4"/>
    <n v="0"/>
    <n v="2.6"/>
    <n v="0.8"/>
  </r>
  <r>
    <s v="2023-04"/>
    <d v="2023-04-01T00:00:00"/>
    <s v="April"/>
    <s v="Delta"/>
    <x v="12"/>
    <s v="Outpatient"/>
    <s v="Delivery"/>
    <s v="Female"/>
    <n v="2"/>
    <n v="0"/>
    <n v="0"/>
    <n v="2.5"/>
    <n v="0"/>
  </r>
  <r>
    <s v="2023-01"/>
    <d v="2023-01-01T00:00:00"/>
    <s v="January"/>
    <s v="Delta"/>
    <x v="12"/>
    <s v="Emergency"/>
    <s v="Consultation"/>
    <s v="Female"/>
    <n v="3"/>
    <n v="3"/>
    <n v="0"/>
    <n v="3.9"/>
    <n v="1"/>
  </r>
  <r>
    <s v="2023-02"/>
    <d v="2023-02-01T00:00:00"/>
    <s v="February"/>
    <s v="Anambra"/>
    <x v="19"/>
    <s v="Pediatrics"/>
    <s v="Medication"/>
    <s v="Female"/>
    <n v="7"/>
    <n v="7"/>
    <n v="0"/>
    <n v="2.8"/>
    <n v="1"/>
  </r>
  <r>
    <s v="2023-06"/>
    <d v="2023-06-01T00:00:00"/>
    <s v="June"/>
    <s v="Rivers"/>
    <x v="10"/>
    <s v="Surgery"/>
    <s v="Lab Test"/>
    <s v="Female"/>
    <n v="3"/>
    <n v="2"/>
    <n v="0"/>
    <n v="2.5"/>
    <n v="0.66666666666666663"/>
  </r>
  <r>
    <s v="2023-04"/>
    <d v="2023-04-01T00:00:00"/>
    <s v="April"/>
    <s v="Delta"/>
    <x v="0"/>
    <s v="Outpatient"/>
    <s v="Medication"/>
    <s v="Female"/>
    <n v="4"/>
    <n v="4"/>
    <n v="0"/>
    <n v="1.4"/>
    <n v="1"/>
  </r>
  <r>
    <s v="2023-12"/>
    <d v="2023-12-01T00:00:00"/>
    <s v="December"/>
    <s v="Edo"/>
    <x v="11"/>
    <s v="Surgery"/>
    <s v="Surgery"/>
    <s v="Female"/>
    <n v="6"/>
    <n v="6"/>
    <n v="0"/>
    <n v="2.2000000000000002"/>
    <n v="1"/>
  </r>
  <r>
    <s v="2023-04"/>
    <d v="2023-04-01T00:00:00"/>
    <s v="April"/>
    <s v="Lagos"/>
    <x v="15"/>
    <s v="Maternity"/>
    <s v="Lab Test"/>
    <s v="Male"/>
    <n v="7"/>
    <n v="7"/>
    <n v="0"/>
    <n v="2.4"/>
    <n v="1"/>
  </r>
  <r>
    <s v="2023-01"/>
    <d v="2023-01-01T00:00:00"/>
    <s v="January"/>
    <s v="Kano"/>
    <x v="8"/>
    <s v="Surgery"/>
    <s v="Admission"/>
    <s v="Female"/>
    <n v="7"/>
    <n v="6"/>
    <n v="0"/>
    <n v="3.2"/>
    <n v="0.8571428571428571"/>
  </r>
  <r>
    <s v="2023-05"/>
    <d v="2023-05-01T00:00:00"/>
    <s v="May"/>
    <s v="Borno"/>
    <x v="9"/>
    <s v="Maternity"/>
    <s v="Delivery"/>
    <s v="Female"/>
    <n v="4"/>
    <n v="3"/>
    <n v="0"/>
    <n v="3"/>
    <n v="0.75"/>
  </r>
  <r>
    <s v="2023-06"/>
    <d v="2023-06-01T00:00:00"/>
    <s v="June"/>
    <s v="Rivers"/>
    <x v="18"/>
    <s v="Pediatrics"/>
    <s v="Surgery"/>
    <s v="Female"/>
    <n v="3"/>
    <n v="2"/>
    <n v="0"/>
    <n v="3"/>
    <n v="0.66666666666666663"/>
  </r>
  <r>
    <s v="2023-08"/>
    <d v="2023-08-01T00:00:00"/>
    <s v="August"/>
    <s v="Kaduna"/>
    <x v="5"/>
    <s v="Pediatrics"/>
    <s v="Medication"/>
    <s v="Male"/>
    <n v="3"/>
    <n v="3"/>
    <n v="0"/>
    <n v="2.5"/>
    <n v="1"/>
  </r>
  <r>
    <s v="2023-12"/>
    <d v="2023-12-01T00:00:00"/>
    <s v="December"/>
    <s v="Kaduna"/>
    <x v="5"/>
    <s v="Outpatient"/>
    <s v="Surgery"/>
    <s v="Male"/>
    <n v="7"/>
    <n v="6"/>
    <n v="0"/>
    <n v="3.9"/>
    <n v="0.8571428571428571"/>
  </r>
  <r>
    <s v="2023-09"/>
    <d v="2023-09-01T00:00:00"/>
    <s v="September"/>
    <s v="Anambra"/>
    <x v="2"/>
    <s v="Outpatient"/>
    <s v="Delivery"/>
    <s v="Female"/>
    <n v="2"/>
    <n v="2"/>
    <n v="0"/>
    <n v="3.2"/>
    <n v="1"/>
  </r>
  <r>
    <s v="2023-11"/>
    <d v="2023-11-01T00:00:00"/>
    <s v="November"/>
    <s v="Anambra"/>
    <x v="19"/>
    <s v="Emergency"/>
    <s v="Medication"/>
    <s v="Male"/>
    <n v="7"/>
    <n v="7"/>
    <n v="2"/>
    <n v="3.1"/>
    <n v="1"/>
  </r>
  <r>
    <s v="2023-02"/>
    <d v="2023-02-01T00:00:00"/>
    <s v="February"/>
    <s v="FCT"/>
    <x v="1"/>
    <s v="Maternity"/>
    <s v="Consultation"/>
    <s v="Female"/>
    <n v="5"/>
    <n v="5"/>
    <n v="0"/>
    <n v="4.2"/>
    <n v="1"/>
  </r>
  <r>
    <s v="2023-06"/>
    <d v="2023-06-01T00:00:00"/>
    <s v="June"/>
    <s v="Rivers"/>
    <x v="18"/>
    <s v="Pediatrics"/>
    <s v="Admission"/>
    <s v="Male"/>
    <n v="7"/>
    <n v="7"/>
    <n v="0"/>
    <n v="2.7"/>
    <n v="1"/>
  </r>
  <r>
    <s v="2023-06"/>
    <d v="2023-06-01T00:00:00"/>
    <s v="June"/>
    <s v="Kano"/>
    <x v="8"/>
    <s v="Maternity"/>
    <s v="Admission"/>
    <s v="Male"/>
    <n v="6"/>
    <n v="4"/>
    <n v="0"/>
    <n v="2.5"/>
    <n v="0.66666666666666663"/>
  </r>
  <r>
    <s v="2023-04"/>
    <d v="2023-04-01T00:00:00"/>
    <s v="April"/>
    <s v="Rivers"/>
    <x v="10"/>
    <s v="Emergency"/>
    <s v="Surgery"/>
    <s v="Male"/>
    <n v="4"/>
    <n v="4"/>
    <n v="0"/>
    <n v="2.8"/>
    <n v="1"/>
  </r>
  <r>
    <s v="2023-07"/>
    <d v="2023-07-01T00:00:00"/>
    <s v="July"/>
    <s v="Oyo"/>
    <x v="17"/>
    <s v="Outpatient"/>
    <s v="Delivery"/>
    <s v="Female"/>
    <n v="1"/>
    <n v="1"/>
    <n v="0"/>
    <n v="3.8"/>
    <n v="1"/>
  </r>
  <r>
    <s v="2023-07"/>
    <d v="2023-07-01T00:00:00"/>
    <s v="July"/>
    <s v="Kaduna"/>
    <x v="5"/>
    <s v="Emergency"/>
    <s v="Surgery"/>
    <s v="Female"/>
    <n v="1"/>
    <n v="1"/>
    <n v="1"/>
    <n v="0.6"/>
    <n v="1"/>
  </r>
  <r>
    <s v="2023-07"/>
    <d v="2023-07-01T00:00:00"/>
    <s v="July"/>
    <s v="Borno"/>
    <x v="13"/>
    <s v="Surgery"/>
    <s v="Admission"/>
    <s v="Male"/>
    <n v="7"/>
    <n v="7"/>
    <n v="1"/>
    <n v="2.8"/>
    <n v="1"/>
  </r>
  <r>
    <s v="2023-01"/>
    <d v="2023-01-01T00:00:00"/>
    <s v="January"/>
    <s v="Anambra"/>
    <x v="2"/>
    <s v="Pediatrics"/>
    <s v="Medication"/>
    <s v="Female"/>
    <n v="1"/>
    <n v="1"/>
    <n v="0"/>
    <n v="3.2"/>
    <n v="1"/>
  </r>
  <r>
    <s v="2023-01"/>
    <d v="2023-01-01T00:00:00"/>
    <s v="January"/>
    <s v="FCT"/>
    <x v="1"/>
    <s v="Pediatrics"/>
    <s v="Delivery"/>
    <s v="Male"/>
    <n v="3"/>
    <n v="3"/>
    <n v="0"/>
    <n v="3.7"/>
    <n v="1"/>
  </r>
  <r>
    <s v="2023-12"/>
    <d v="2023-12-01T00:00:00"/>
    <s v="December"/>
    <s v="Borno"/>
    <x v="9"/>
    <s v="Surgery"/>
    <s v="Surgery"/>
    <s v="Male"/>
    <n v="3"/>
    <n v="3"/>
    <n v="0"/>
    <n v="3.7"/>
    <n v="1"/>
  </r>
  <r>
    <s v="2023-05"/>
    <d v="2023-05-01T00:00:00"/>
    <s v="May"/>
    <s v="Kaduna"/>
    <x v="6"/>
    <s v="Outpatient"/>
    <s v="Consultation"/>
    <s v="Male"/>
    <n v="8"/>
    <n v="5"/>
    <n v="0"/>
    <n v="1.7"/>
    <n v="0.625"/>
  </r>
  <r>
    <s v="2023-11"/>
    <d v="2023-11-01T00:00:00"/>
    <s v="November"/>
    <s v="Anambra"/>
    <x v="19"/>
    <s v="Pediatrics"/>
    <s v="Admission"/>
    <s v="Female"/>
    <n v="5"/>
    <n v="4"/>
    <n v="0"/>
    <n v="2.4"/>
    <n v="0.8"/>
  </r>
  <r>
    <s v="2023-05"/>
    <d v="2023-05-01T00:00:00"/>
    <s v="May"/>
    <s v="Rivers"/>
    <x v="10"/>
    <s v="Surgery"/>
    <s v="Delivery"/>
    <s v="Male"/>
    <n v="5"/>
    <n v="5"/>
    <n v="1"/>
    <n v="2.7"/>
    <n v="1"/>
  </r>
  <r>
    <s v="2023-02"/>
    <d v="2023-02-01T00:00:00"/>
    <s v="February"/>
    <s v="Rivers"/>
    <x v="18"/>
    <s v="Surgery"/>
    <s v="Admission"/>
    <s v="Female"/>
    <n v="1"/>
    <n v="1"/>
    <n v="0"/>
    <n v="3.2"/>
    <n v="1"/>
  </r>
  <r>
    <s v="2023-04"/>
    <d v="2023-04-01T00:00:00"/>
    <s v="April"/>
    <s v="Borno"/>
    <x v="13"/>
    <s v="Surgery"/>
    <s v="Consultation"/>
    <s v="Female"/>
    <n v="5"/>
    <n v="5"/>
    <n v="0"/>
    <n v="2.8"/>
    <n v="1"/>
  </r>
  <r>
    <s v="2023-12"/>
    <d v="2023-12-01T00:00:00"/>
    <s v="December"/>
    <s v="Kaduna"/>
    <x v="6"/>
    <s v="Emergency"/>
    <s v="Surgery"/>
    <s v="Female"/>
    <n v="3"/>
    <n v="3"/>
    <n v="0"/>
    <n v="4.4000000000000004"/>
    <n v="1"/>
  </r>
  <r>
    <s v="2023-10"/>
    <d v="2023-10-01T00:00:00"/>
    <s v="October"/>
    <s v="FCT"/>
    <x v="16"/>
    <s v="Outpatient"/>
    <s v="Surgery"/>
    <s v="Female"/>
    <n v="6"/>
    <n v="6"/>
    <n v="1"/>
    <n v="3"/>
    <n v="1"/>
  </r>
  <r>
    <s v="2023-07"/>
    <d v="2023-07-01T00:00:00"/>
    <s v="July"/>
    <s v="FCT"/>
    <x v="1"/>
    <s v="Outpatient"/>
    <s v="Lab Test"/>
    <s v="Female"/>
    <n v="3"/>
    <n v="3"/>
    <n v="1"/>
    <n v="3.3"/>
    <n v="1"/>
  </r>
  <r>
    <s v="2023-06"/>
    <d v="2023-06-01T00:00:00"/>
    <s v="June"/>
    <s v="Delta"/>
    <x v="0"/>
    <s v="Outpatient"/>
    <s v="Delivery"/>
    <s v="Male"/>
    <n v="9"/>
    <n v="8"/>
    <n v="0"/>
    <n v="4.4000000000000004"/>
    <n v="0.88888888888888884"/>
  </r>
  <r>
    <s v="2023-05"/>
    <d v="2023-05-01T00:00:00"/>
    <s v="May"/>
    <s v="Rivers"/>
    <x v="10"/>
    <s v="Internal Medicine"/>
    <s v="Delivery"/>
    <s v="Male"/>
    <n v="4"/>
    <n v="4"/>
    <n v="0"/>
    <n v="4.2"/>
    <n v="1"/>
  </r>
  <r>
    <s v="2023-08"/>
    <d v="2023-08-01T00:00:00"/>
    <s v="August"/>
    <s v="Lagos"/>
    <x v="15"/>
    <s v="Internal Medicine"/>
    <s v="Delivery"/>
    <s v="Female"/>
    <n v="6"/>
    <n v="6"/>
    <n v="0"/>
    <n v="3"/>
    <n v="1"/>
  </r>
  <r>
    <s v="2023-09"/>
    <d v="2023-09-01T00:00:00"/>
    <s v="September"/>
    <s v="Edo"/>
    <x v="4"/>
    <s v="Pediatrics"/>
    <s v="Admission"/>
    <s v="Male"/>
    <n v="6"/>
    <n v="5"/>
    <n v="0"/>
    <n v="2.5"/>
    <n v="0.83333333333333337"/>
  </r>
  <r>
    <s v="2023-09"/>
    <d v="2023-09-01T00:00:00"/>
    <s v="September"/>
    <s v="Edo"/>
    <x v="4"/>
    <s v="Maternity"/>
    <s v="Lab Test"/>
    <s v="Female"/>
    <n v="8"/>
    <n v="8"/>
    <n v="0"/>
    <n v="2.2999999999999998"/>
    <n v="1"/>
  </r>
  <r>
    <s v="2023-10"/>
    <d v="2023-10-01T00:00:00"/>
    <s v="October"/>
    <s v="Delta"/>
    <x v="12"/>
    <s v="Pediatrics"/>
    <s v="Delivery"/>
    <s v="Female"/>
    <n v="4"/>
    <n v="4"/>
    <n v="0"/>
    <n v="2.4"/>
    <n v="1"/>
  </r>
  <r>
    <s v="2023-03"/>
    <d v="2023-03-01T00:00:00"/>
    <s v="March"/>
    <s v="Rivers"/>
    <x v="10"/>
    <s v="Emergency"/>
    <s v="Consultation"/>
    <s v="Female"/>
    <n v="8"/>
    <n v="8"/>
    <n v="1"/>
    <n v="4.4000000000000004"/>
    <n v="1"/>
  </r>
  <r>
    <s v="2023-12"/>
    <d v="2023-12-01T00:00:00"/>
    <s v="December"/>
    <s v="Edo"/>
    <x v="11"/>
    <s v="Internal Medicine"/>
    <s v="Delivery"/>
    <s v="Female"/>
    <n v="4"/>
    <n v="4"/>
    <n v="1"/>
    <n v="2.6"/>
    <n v="1"/>
  </r>
  <r>
    <s v="2023-07"/>
    <d v="2023-07-01T00:00:00"/>
    <s v="July"/>
    <s v="Oyo"/>
    <x v="17"/>
    <s v="Pediatrics"/>
    <s v="Lab Test"/>
    <s v="Female"/>
    <n v="2"/>
    <n v="1"/>
    <n v="0"/>
    <n v="4.3"/>
    <n v="0.5"/>
  </r>
  <r>
    <s v="2023-06"/>
    <d v="2023-06-01T00:00:00"/>
    <s v="June"/>
    <s v="Lagos"/>
    <x v="15"/>
    <s v="Pediatrics"/>
    <s v="Medication"/>
    <s v="Female"/>
    <n v="8"/>
    <n v="8"/>
    <n v="0"/>
    <n v="2.6"/>
    <n v="1"/>
  </r>
  <r>
    <s v="2023-10"/>
    <d v="2023-10-01T00:00:00"/>
    <s v="October"/>
    <s v="Anambra"/>
    <x v="2"/>
    <s v="Surgery"/>
    <s v="Medication"/>
    <s v="Female"/>
    <n v="2"/>
    <n v="2"/>
    <n v="0"/>
    <n v="2.2999999999999998"/>
    <n v="1"/>
  </r>
  <r>
    <s v="2023-11"/>
    <d v="2023-11-01T00:00:00"/>
    <s v="November"/>
    <s v="Lagos"/>
    <x v="15"/>
    <s v="Outpatient"/>
    <s v="Medication"/>
    <s v="Male"/>
    <n v="2"/>
    <n v="2"/>
    <n v="1"/>
    <n v="2"/>
    <n v="1"/>
  </r>
  <r>
    <s v="2023-06"/>
    <d v="2023-06-01T00:00:00"/>
    <s v="June"/>
    <s v="Oyo"/>
    <x v="14"/>
    <s v="Maternity"/>
    <s v="Admission"/>
    <s v="Female"/>
    <n v="6"/>
    <n v="5"/>
    <n v="1"/>
    <n v="2.5"/>
    <n v="0.83333333333333337"/>
  </r>
  <r>
    <s v="2023-04"/>
    <d v="2023-04-01T00:00:00"/>
    <s v="April"/>
    <s v="Kaduna"/>
    <x v="6"/>
    <s v="Emergency"/>
    <s v="Consultation"/>
    <s v="Female"/>
    <n v="7"/>
    <n v="6"/>
    <n v="1"/>
    <n v="1.9"/>
    <n v="0.8571428571428571"/>
  </r>
  <r>
    <s v="2023-02"/>
    <d v="2023-02-01T00:00:00"/>
    <s v="February"/>
    <s v="Delta"/>
    <x v="0"/>
    <s v="Outpatient"/>
    <s v="Delivery"/>
    <s v="Female"/>
    <n v="4"/>
    <n v="4"/>
    <n v="0"/>
    <n v="4.0999999999999996"/>
    <n v="1"/>
  </r>
  <r>
    <s v="2023-01"/>
    <d v="2023-01-01T00:00:00"/>
    <s v="January"/>
    <s v="Oyo"/>
    <x v="14"/>
    <s v="Emergency"/>
    <s v="Surgery"/>
    <s v="Female"/>
    <n v="6"/>
    <n v="5"/>
    <n v="0"/>
    <n v="2"/>
    <n v="0.83333333333333337"/>
  </r>
  <r>
    <s v="2023-12"/>
    <d v="2023-12-01T00:00:00"/>
    <s v="December"/>
    <s v="Anambra"/>
    <x v="2"/>
    <s v="Internal Medicine"/>
    <s v="Consultation"/>
    <s v="Male"/>
    <n v="8"/>
    <n v="8"/>
    <n v="2"/>
    <n v="3.4"/>
    <n v="1"/>
  </r>
  <r>
    <s v="2023-09"/>
    <d v="2023-09-01T00:00:00"/>
    <s v="September"/>
    <s v="Anambra"/>
    <x v="19"/>
    <s v="Surgery"/>
    <s v="Medication"/>
    <s v="Male"/>
    <n v="8"/>
    <n v="8"/>
    <n v="1"/>
    <n v="3.8"/>
    <n v="1"/>
  </r>
  <r>
    <s v="2023-11"/>
    <d v="2023-11-01T00:00:00"/>
    <s v="November"/>
    <s v="Borno"/>
    <x v="9"/>
    <s v="Maternity"/>
    <s v="Delivery"/>
    <s v="Female"/>
    <n v="3"/>
    <n v="3"/>
    <n v="0"/>
    <n v="3.2"/>
    <n v="1"/>
  </r>
  <r>
    <s v="2023-07"/>
    <d v="2023-07-01T00:00:00"/>
    <s v="July"/>
    <s v="Borno"/>
    <x v="9"/>
    <s v="Maternity"/>
    <s v="Medication"/>
    <s v="Female"/>
    <n v="5"/>
    <n v="4"/>
    <n v="0"/>
    <n v="4.3"/>
    <n v="0.8"/>
  </r>
  <r>
    <s v="2023-09"/>
    <d v="2023-09-01T00:00:00"/>
    <s v="September"/>
    <s v="Anambra"/>
    <x v="2"/>
    <s v="Surgery"/>
    <s v="Medication"/>
    <s v="Female"/>
    <n v="4"/>
    <n v="4"/>
    <n v="1"/>
    <n v="4.0999999999999996"/>
    <n v="1"/>
  </r>
  <r>
    <s v="2023-04"/>
    <d v="2023-04-01T00:00:00"/>
    <s v="April"/>
    <s v="FCT"/>
    <x v="1"/>
    <s v="Surgery"/>
    <s v="Medication"/>
    <s v="Female"/>
    <n v="5"/>
    <n v="4"/>
    <n v="0"/>
    <n v="3.6"/>
    <n v="0.8"/>
  </r>
  <r>
    <s v="2023-08"/>
    <d v="2023-08-01T00:00:00"/>
    <s v="August"/>
    <s v="Rivers"/>
    <x v="18"/>
    <s v="Outpatient"/>
    <s v="Delivery"/>
    <s v="Female"/>
    <n v="5"/>
    <n v="4"/>
    <n v="0"/>
    <n v="2.5"/>
    <n v="0.8"/>
  </r>
  <r>
    <s v="2023-05"/>
    <d v="2023-05-01T00:00:00"/>
    <s v="May"/>
    <s v="Edo"/>
    <x v="4"/>
    <s v="Pediatrics"/>
    <s v="Consultation"/>
    <s v="Male"/>
    <n v="3"/>
    <n v="2"/>
    <n v="0"/>
    <n v="1.3"/>
    <n v="0.66666666666666663"/>
  </r>
  <r>
    <s v="2023-09"/>
    <d v="2023-09-01T00:00:00"/>
    <s v="September"/>
    <s v="Rivers"/>
    <x v="10"/>
    <s v="Outpatient"/>
    <s v="Consultation"/>
    <s v="Female"/>
    <n v="5"/>
    <n v="5"/>
    <n v="0"/>
    <n v="3.3"/>
    <n v="1"/>
  </r>
  <r>
    <s v="2023-09"/>
    <d v="2023-09-01T00:00:00"/>
    <s v="September"/>
    <s v="Oyo"/>
    <x v="17"/>
    <s v="Pediatrics"/>
    <s v="Medication"/>
    <s v="Male"/>
    <n v="2"/>
    <n v="1"/>
    <n v="0"/>
    <n v="3"/>
    <n v="0.5"/>
  </r>
  <r>
    <s v="2023-10"/>
    <d v="2023-10-01T00:00:00"/>
    <s v="October"/>
    <s v="FCT"/>
    <x v="16"/>
    <s v="Outpatient"/>
    <s v="Consultation"/>
    <s v="Female"/>
    <n v="6"/>
    <n v="6"/>
    <n v="0"/>
    <n v="2.1"/>
    <n v="1"/>
  </r>
  <r>
    <s v="2023-06"/>
    <d v="2023-06-01T00:00:00"/>
    <s v="June"/>
    <s v="Borno"/>
    <x v="9"/>
    <s v="Emergency"/>
    <s v="Surgery"/>
    <s v="Female"/>
    <n v="4"/>
    <n v="2"/>
    <n v="0"/>
    <n v="2"/>
    <n v="0.5"/>
  </r>
  <r>
    <s v="2023-02"/>
    <d v="2023-02-01T00:00:00"/>
    <s v="February"/>
    <s v="Borno"/>
    <x v="13"/>
    <s v="Internal Medicine"/>
    <s v="Delivery"/>
    <s v="Female"/>
    <n v="4"/>
    <n v="4"/>
    <n v="1"/>
    <n v="3.8"/>
    <n v="1"/>
  </r>
  <r>
    <s v="2023-06"/>
    <d v="2023-06-01T00:00:00"/>
    <s v="June"/>
    <s v="Kano"/>
    <x v="8"/>
    <s v="Maternity"/>
    <s v="Admission"/>
    <s v="Male"/>
    <n v="7"/>
    <n v="7"/>
    <n v="1"/>
    <n v="1.9"/>
    <n v="1"/>
  </r>
  <r>
    <s v="2023-05"/>
    <d v="2023-05-01T00:00:00"/>
    <s v="May"/>
    <s v="Oyo"/>
    <x v="17"/>
    <s v="Outpatient"/>
    <s v="Surgery"/>
    <s v="Male"/>
    <n v="7"/>
    <n v="6"/>
    <n v="0"/>
    <n v="3.6"/>
    <n v="0.8571428571428571"/>
  </r>
  <r>
    <s v="2023-04"/>
    <d v="2023-04-01T00:00:00"/>
    <s v="April"/>
    <s v="Edo"/>
    <x v="11"/>
    <s v="Emergency"/>
    <s v="Medication"/>
    <s v="Male"/>
    <n v="5"/>
    <n v="5"/>
    <n v="0"/>
    <n v="2.9"/>
    <n v="1"/>
  </r>
  <r>
    <s v="2023-12"/>
    <d v="2023-12-01T00:00:00"/>
    <s v="December"/>
    <s v="Anambra"/>
    <x v="2"/>
    <s v="Emergency"/>
    <s v="Surgery"/>
    <s v="Female"/>
    <n v="5"/>
    <n v="4"/>
    <n v="0"/>
    <n v="4.7"/>
    <n v="0.8"/>
  </r>
  <r>
    <s v="2023-09"/>
    <d v="2023-09-01T00:00:00"/>
    <s v="September"/>
    <s v="FCT"/>
    <x v="1"/>
    <s v="Pediatrics"/>
    <s v="Medication"/>
    <s v="Female"/>
    <n v="4"/>
    <n v="3"/>
    <n v="0"/>
    <n v="4.4000000000000004"/>
    <n v="0.75"/>
  </r>
  <r>
    <s v="2023-01"/>
    <d v="2023-01-01T00:00:00"/>
    <s v="January"/>
    <s v="Anambra"/>
    <x v="19"/>
    <s v="Pediatrics"/>
    <s v="Consultation"/>
    <s v="Female"/>
    <n v="1"/>
    <n v="1"/>
    <n v="0"/>
    <n v="4.7"/>
    <n v="1"/>
  </r>
  <r>
    <s v="2023-07"/>
    <d v="2023-07-01T00:00:00"/>
    <s v="July"/>
    <s v="Kano"/>
    <x v="7"/>
    <s v="Pediatrics"/>
    <s v="Medication"/>
    <s v="Male"/>
    <n v="9"/>
    <n v="8"/>
    <n v="1"/>
    <n v="2.7"/>
    <n v="0.88888888888888884"/>
  </r>
  <r>
    <s v="2023-05"/>
    <d v="2023-05-01T00:00:00"/>
    <s v="May"/>
    <s v="Delta"/>
    <x v="0"/>
    <s v="Emergency"/>
    <s v="Medication"/>
    <s v="Male"/>
    <n v="5"/>
    <n v="5"/>
    <n v="0"/>
    <n v="3.8"/>
    <n v="1"/>
  </r>
  <r>
    <s v="2023-01"/>
    <d v="2023-01-01T00:00:00"/>
    <s v="January"/>
    <s v="Borno"/>
    <x v="9"/>
    <s v="Maternity"/>
    <s v="Consultation"/>
    <s v="Male"/>
    <n v="7"/>
    <n v="6"/>
    <n v="1"/>
    <n v="2.7"/>
    <n v="0.8571428571428571"/>
  </r>
  <r>
    <s v="2023-02"/>
    <d v="2023-02-01T00:00:00"/>
    <s v="February"/>
    <s v="Anambra"/>
    <x v="2"/>
    <s v="Outpatient"/>
    <s v="Lab Test"/>
    <s v="Male"/>
    <n v="4"/>
    <n v="4"/>
    <n v="0"/>
    <n v="3"/>
    <n v="1"/>
  </r>
  <r>
    <s v="2023-01"/>
    <d v="2023-01-01T00:00:00"/>
    <s v="January"/>
    <s v="Anambra"/>
    <x v="2"/>
    <s v="Pediatrics"/>
    <s v="Surgery"/>
    <s v="Female"/>
    <n v="5"/>
    <n v="5"/>
    <n v="0"/>
    <n v="2.2999999999999998"/>
    <n v="1"/>
  </r>
  <r>
    <s v="2023-04"/>
    <d v="2023-04-01T00:00:00"/>
    <s v="April"/>
    <s v="Edo"/>
    <x v="11"/>
    <s v="Emergency"/>
    <s v="Medication"/>
    <s v="Female"/>
    <n v="4"/>
    <n v="3"/>
    <n v="0"/>
    <n v="2"/>
    <n v="0.75"/>
  </r>
  <r>
    <s v="2023-05"/>
    <d v="2023-05-01T00:00:00"/>
    <s v="May"/>
    <s v="Delta"/>
    <x v="0"/>
    <s v="Emergency"/>
    <s v="Consultation"/>
    <s v="Female"/>
    <n v="6"/>
    <n v="6"/>
    <n v="1"/>
    <n v="1.9"/>
    <n v="1"/>
  </r>
  <r>
    <s v="2023-06"/>
    <d v="2023-06-01T00:00:00"/>
    <s v="June"/>
    <s v="Kano"/>
    <x v="7"/>
    <s v="Surgery"/>
    <s v="Medication"/>
    <s v="Male"/>
    <n v="6"/>
    <n v="6"/>
    <n v="0"/>
    <n v="1.6"/>
    <n v="1"/>
  </r>
  <r>
    <s v="2023-07"/>
    <d v="2023-07-01T00:00:00"/>
    <s v="July"/>
    <s v="Borno"/>
    <x v="9"/>
    <s v="Surgery"/>
    <s v="Surgery"/>
    <s v="Female"/>
    <n v="9"/>
    <n v="8"/>
    <n v="0"/>
    <n v="3"/>
    <n v="0.88888888888888884"/>
  </r>
  <r>
    <s v="2023-04"/>
    <d v="2023-04-01T00:00:00"/>
    <s v="April"/>
    <s v="Kaduna"/>
    <x v="5"/>
    <s v="Internal Medicine"/>
    <s v="Surgery"/>
    <s v="Female"/>
    <n v="2"/>
    <n v="2"/>
    <n v="0"/>
    <n v="1.8"/>
    <n v="1"/>
  </r>
  <r>
    <s v="2023-12"/>
    <d v="2023-12-01T00:00:00"/>
    <s v="December"/>
    <s v="Delta"/>
    <x v="12"/>
    <s v="Maternity"/>
    <s v="Lab Test"/>
    <s v="Male"/>
    <n v="1"/>
    <n v="1"/>
    <n v="0"/>
    <n v="3.1"/>
    <n v="1"/>
  </r>
  <r>
    <s v="2023-05"/>
    <d v="2023-05-01T00:00:00"/>
    <s v="May"/>
    <s v="Oyo"/>
    <x v="14"/>
    <s v="Surgery"/>
    <s v="Surgery"/>
    <s v="Female"/>
    <n v="3"/>
    <n v="3"/>
    <n v="0"/>
    <n v="1.6"/>
    <n v="1"/>
  </r>
  <r>
    <s v="2023-12"/>
    <d v="2023-12-01T00:00:00"/>
    <s v="December"/>
    <s v="Kaduna"/>
    <x v="6"/>
    <s v="Emergency"/>
    <s v="Surgery"/>
    <s v="Female"/>
    <n v="7"/>
    <n v="6"/>
    <n v="0"/>
    <n v="2.4"/>
    <n v="0.8571428571428571"/>
  </r>
  <r>
    <s v="2023-12"/>
    <d v="2023-12-01T00:00:00"/>
    <s v="December"/>
    <s v="Borno"/>
    <x v="13"/>
    <s v="Surgery"/>
    <s v="Admission"/>
    <s v="Female"/>
    <n v="6"/>
    <n v="6"/>
    <n v="0"/>
    <n v="3.4"/>
    <n v="1"/>
  </r>
  <r>
    <s v="2023-01"/>
    <d v="2023-01-01T00:00:00"/>
    <s v="January"/>
    <s v="Oyo"/>
    <x v="17"/>
    <s v="Maternity"/>
    <s v="Delivery"/>
    <s v="Female"/>
    <n v="5"/>
    <n v="5"/>
    <n v="1"/>
    <n v="2.2000000000000002"/>
    <n v="1"/>
  </r>
  <r>
    <s v="2023-06"/>
    <d v="2023-06-01T00:00:00"/>
    <s v="June"/>
    <s v="Rivers"/>
    <x v="10"/>
    <s v="Emergency"/>
    <s v="Medication"/>
    <s v="Male"/>
    <n v="5"/>
    <n v="5"/>
    <n v="0"/>
    <n v="4.2"/>
    <n v="1"/>
  </r>
  <r>
    <s v="2023-03"/>
    <d v="2023-03-01T00:00:00"/>
    <s v="March"/>
    <s v="Oyo"/>
    <x v="17"/>
    <s v="Pediatrics"/>
    <s v="Lab Test"/>
    <s v="Female"/>
    <n v="7"/>
    <n v="5"/>
    <n v="0"/>
    <n v="3.1"/>
    <n v="0.7142857142857143"/>
  </r>
  <r>
    <s v="2023-09"/>
    <d v="2023-09-01T00:00:00"/>
    <s v="September"/>
    <s v="Lagos"/>
    <x v="15"/>
    <s v="Pediatrics"/>
    <s v="Admission"/>
    <s v="Male"/>
    <n v="4"/>
    <n v="4"/>
    <n v="1"/>
    <n v="3.8"/>
    <n v="1"/>
  </r>
  <r>
    <s v="2023-05"/>
    <d v="2023-05-01T00:00:00"/>
    <s v="May"/>
    <s v="Oyo"/>
    <x v="17"/>
    <s v="Surgery"/>
    <s v="Surgery"/>
    <s v="Male"/>
    <n v="3"/>
    <n v="3"/>
    <n v="0"/>
    <n v="0.8"/>
    <n v="1"/>
  </r>
  <r>
    <s v="2023-03"/>
    <d v="2023-03-01T00:00:00"/>
    <s v="March"/>
    <s v="Lagos"/>
    <x v="15"/>
    <s v="Outpatient"/>
    <s v="Admission"/>
    <s v="Male"/>
    <n v="5"/>
    <n v="5"/>
    <n v="0"/>
    <n v="2.4"/>
    <n v="1"/>
  </r>
  <r>
    <s v="2023-11"/>
    <d v="2023-11-01T00:00:00"/>
    <s v="November"/>
    <s v="Borno"/>
    <x v="13"/>
    <s v="Pediatrics"/>
    <s v="Delivery"/>
    <s v="Female"/>
    <n v="3"/>
    <n v="3"/>
    <n v="0"/>
    <n v="0.8"/>
    <n v="1"/>
  </r>
  <r>
    <s v="2023-02"/>
    <d v="2023-02-01T00:00:00"/>
    <s v="February"/>
    <s v="Kaduna"/>
    <x v="5"/>
    <s v="Emergency"/>
    <s v="Medication"/>
    <s v="Male"/>
    <n v="1"/>
    <n v="1"/>
    <n v="0"/>
    <n v="2.2999999999999998"/>
    <n v="1"/>
  </r>
  <r>
    <s v="2023-03"/>
    <d v="2023-03-01T00:00:00"/>
    <s v="March"/>
    <s v="Delta"/>
    <x v="12"/>
    <s v="Maternity"/>
    <s v="Surgery"/>
    <s v="Male"/>
    <n v="8"/>
    <n v="7"/>
    <n v="0"/>
    <n v="3.1"/>
    <n v="0.875"/>
  </r>
  <r>
    <s v="2023-07"/>
    <d v="2023-07-01T00:00:00"/>
    <s v="July"/>
    <s v="Oyo"/>
    <x v="17"/>
    <s v="Internal Medicine"/>
    <s v="Admission"/>
    <s v="Male"/>
    <n v="10"/>
    <n v="9"/>
    <n v="1"/>
    <n v="2.2000000000000002"/>
    <n v="0.9"/>
  </r>
  <r>
    <s v="2023-01"/>
    <d v="2023-01-01T00:00:00"/>
    <s v="January"/>
    <s v="Kaduna"/>
    <x v="5"/>
    <s v="Emergency"/>
    <s v="Surgery"/>
    <s v="Male"/>
    <n v="4"/>
    <n v="4"/>
    <n v="0"/>
    <n v="2.2999999999999998"/>
    <n v="1"/>
  </r>
  <r>
    <s v="2023-02"/>
    <d v="2023-02-01T00:00:00"/>
    <s v="February"/>
    <s v="FCT"/>
    <x v="16"/>
    <s v="Outpatient"/>
    <s v="Admission"/>
    <s v="Female"/>
    <n v="6"/>
    <n v="5"/>
    <n v="0"/>
    <n v="3.2"/>
    <n v="0.83333333333333337"/>
  </r>
  <r>
    <s v="2023-04"/>
    <d v="2023-04-01T00:00:00"/>
    <s v="April"/>
    <s v="Rivers"/>
    <x v="10"/>
    <s v="Outpatient"/>
    <s v="Delivery"/>
    <s v="Female"/>
    <n v="4"/>
    <n v="4"/>
    <n v="0"/>
    <n v="3.6"/>
    <n v="1"/>
  </r>
  <r>
    <s v="2023-01"/>
    <d v="2023-01-01T00:00:00"/>
    <s v="January"/>
    <s v="Anambra"/>
    <x v="19"/>
    <s v="Emergency"/>
    <s v="Delivery"/>
    <s v="Male"/>
    <n v="5"/>
    <n v="4"/>
    <n v="0"/>
    <n v="2.5"/>
    <n v="0.8"/>
  </r>
  <r>
    <s v="2023-10"/>
    <d v="2023-10-01T00:00:00"/>
    <s v="October"/>
    <s v="Rivers"/>
    <x v="18"/>
    <s v="Emergency"/>
    <s v="Admission"/>
    <s v="Female"/>
    <n v="3"/>
    <n v="3"/>
    <n v="0"/>
    <n v="2.9"/>
    <n v="1"/>
  </r>
  <r>
    <s v="2023-12"/>
    <d v="2023-12-01T00:00:00"/>
    <s v="December"/>
    <s v="Borno"/>
    <x v="9"/>
    <s v="Surgery"/>
    <s v="Medication"/>
    <s v="Male"/>
    <n v="10"/>
    <n v="10"/>
    <n v="0"/>
    <n v="3.8"/>
    <n v="1"/>
  </r>
  <r>
    <s v="2023-11"/>
    <d v="2023-11-01T00:00:00"/>
    <s v="November"/>
    <s v="Edo"/>
    <x v="11"/>
    <s v="Internal Medicine"/>
    <s v="Lab Test"/>
    <s v="Female"/>
    <n v="4"/>
    <n v="4"/>
    <n v="0"/>
    <n v="3.6"/>
    <n v="1"/>
  </r>
  <r>
    <s v="2023-04"/>
    <d v="2023-04-01T00:00:00"/>
    <s v="April"/>
    <s v="FCT"/>
    <x v="1"/>
    <s v="Internal Medicine"/>
    <s v="Admission"/>
    <s v="Male"/>
    <n v="6"/>
    <n v="5"/>
    <n v="0"/>
    <n v="3.4"/>
    <n v="0.83333333333333337"/>
  </r>
  <r>
    <s v="2023-10"/>
    <d v="2023-10-01T00:00:00"/>
    <s v="October"/>
    <s v="Lagos"/>
    <x v="3"/>
    <s v="Pediatrics"/>
    <s v="Lab Test"/>
    <s v="Female"/>
    <n v="10"/>
    <n v="9"/>
    <n v="2"/>
    <n v="4.0999999999999996"/>
    <n v="0.9"/>
  </r>
  <r>
    <s v="2023-09"/>
    <d v="2023-09-01T00:00:00"/>
    <s v="September"/>
    <s v="Anambra"/>
    <x v="19"/>
    <s v="Surgery"/>
    <s v="Consultation"/>
    <s v="Female"/>
    <n v="10"/>
    <n v="9"/>
    <n v="1"/>
    <n v="1.9"/>
    <n v="0.9"/>
  </r>
  <r>
    <s v="2023-06"/>
    <d v="2023-06-01T00:00:00"/>
    <s v="June"/>
    <s v="Edo"/>
    <x v="4"/>
    <s v="Surgery"/>
    <s v="Delivery"/>
    <s v="Male"/>
    <n v="7"/>
    <n v="6"/>
    <n v="0"/>
    <n v="4.5"/>
    <n v="0.8571428571428571"/>
  </r>
  <r>
    <s v="2023-03"/>
    <d v="2023-03-01T00:00:00"/>
    <s v="March"/>
    <s v="Kaduna"/>
    <x v="5"/>
    <s v="Surgery"/>
    <s v="Surgery"/>
    <s v="Male"/>
    <n v="5"/>
    <n v="5"/>
    <n v="1"/>
    <n v="4.5999999999999996"/>
    <n v="1"/>
  </r>
  <r>
    <s v="2023-09"/>
    <d v="2023-09-01T00:00:00"/>
    <s v="September"/>
    <s v="Delta"/>
    <x v="12"/>
    <s v="Outpatient"/>
    <s v="Lab Test"/>
    <s v="Male"/>
    <n v="7"/>
    <n v="7"/>
    <n v="1"/>
    <n v="3.9"/>
    <n v="1"/>
  </r>
  <r>
    <s v="2023-10"/>
    <d v="2023-10-01T00:00:00"/>
    <s v="October"/>
    <s v="Delta"/>
    <x v="12"/>
    <s v="Surgery"/>
    <s v="Medication"/>
    <s v="Female"/>
    <n v="3"/>
    <n v="3"/>
    <n v="0"/>
    <n v="3.2"/>
    <n v="1"/>
  </r>
  <r>
    <s v="2023-06"/>
    <d v="2023-06-01T00:00:00"/>
    <s v="June"/>
    <s v="Rivers"/>
    <x v="18"/>
    <s v="Maternity"/>
    <s v="Delivery"/>
    <s v="Female"/>
    <n v="8"/>
    <n v="7"/>
    <n v="3"/>
    <n v="2.2000000000000002"/>
    <n v="0.875"/>
  </r>
  <r>
    <s v="2023-10"/>
    <d v="2023-10-01T00:00:00"/>
    <s v="October"/>
    <s v="Edo"/>
    <x v="4"/>
    <s v="Internal Medicine"/>
    <s v="Delivery"/>
    <s v="Female"/>
    <n v="5"/>
    <n v="5"/>
    <n v="0"/>
    <n v="3.3"/>
    <n v="1"/>
  </r>
  <r>
    <s v="2023-09"/>
    <d v="2023-09-01T00:00:00"/>
    <s v="September"/>
    <s v="FCT"/>
    <x v="1"/>
    <s v="Pediatrics"/>
    <s v="Delivery"/>
    <s v="Female"/>
    <n v="3"/>
    <n v="3"/>
    <n v="0"/>
    <n v="3.3"/>
    <n v="1"/>
  </r>
  <r>
    <s v="2023-04"/>
    <d v="2023-04-01T00:00:00"/>
    <s v="April"/>
    <s v="Delta"/>
    <x v="12"/>
    <s v="Internal Medicine"/>
    <s v="Medication"/>
    <s v="Female"/>
    <n v="3"/>
    <n v="3"/>
    <n v="1"/>
    <n v="1.3"/>
    <n v="1"/>
  </r>
  <r>
    <s v="2023-03"/>
    <d v="2023-03-01T00:00:00"/>
    <s v="March"/>
    <s v="Rivers"/>
    <x v="10"/>
    <s v="Emergency"/>
    <s v="Delivery"/>
    <s v="Male"/>
    <n v="4"/>
    <n v="4"/>
    <n v="0"/>
    <n v="2.5"/>
    <n v="1"/>
  </r>
  <r>
    <s v="2023-03"/>
    <d v="2023-03-01T00:00:00"/>
    <s v="March"/>
    <s v="Rivers"/>
    <x v="18"/>
    <s v="Maternity"/>
    <s v="Surgery"/>
    <s v="Female"/>
    <n v="4"/>
    <n v="4"/>
    <n v="1"/>
    <n v="1.1000000000000001"/>
    <n v="1"/>
  </r>
  <r>
    <s v="2023-02"/>
    <d v="2023-02-01T00:00:00"/>
    <s v="February"/>
    <s v="Edo"/>
    <x v="4"/>
    <s v="Maternity"/>
    <s v="Lab Test"/>
    <s v="Male"/>
    <n v="5"/>
    <n v="4"/>
    <n v="0"/>
    <n v="2.8"/>
    <n v="0.8"/>
  </r>
  <r>
    <s v="2023-03"/>
    <d v="2023-03-01T00:00:00"/>
    <s v="March"/>
    <s v="Delta"/>
    <x v="12"/>
    <s v="Surgery"/>
    <s v="Medication"/>
    <s v="Female"/>
    <n v="3"/>
    <n v="2"/>
    <n v="0"/>
    <n v="1.8"/>
    <n v="0.66666666666666663"/>
  </r>
  <r>
    <s v="2023-09"/>
    <d v="2023-09-01T00:00:00"/>
    <s v="September"/>
    <s v="Kaduna"/>
    <x v="5"/>
    <s v="Surgery"/>
    <s v="Delivery"/>
    <s v="Male"/>
    <n v="11"/>
    <n v="10"/>
    <n v="1"/>
    <n v="0.7"/>
    <n v="0.90909090909090906"/>
  </r>
  <r>
    <s v="2023-01"/>
    <d v="2023-01-01T00:00:00"/>
    <s v="January"/>
    <s v="Rivers"/>
    <x v="10"/>
    <s v="Maternity"/>
    <s v="Admission"/>
    <s v="Male"/>
    <n v="7"/>
    <n v="6"/>
    <n v="0"/>
    <n v="3.3"/>
    <n v="0.8571428571428571"/>
  </r>
  <r>
    <s v="2023-03"/>
    <d v="2023-03-01T00:00:00"/>
    <s v="March"/>
    <s v="Rivers"/>
    <x v="10"/>
    <s v="Pediatrics"/>
    <s v="Delivery"/>
    <s v="Male"/>
    <n v="6"/>
    <n v="6"/>
    <n v="0"/>
    <n v="1.7"/>
    <n v="1"/>
  </r>
  <r>
    <s v="2023-12"/>
    <d v="2023-12-01T00:00:00"/>
    <s v="December"/>
    <s v="Oyo"/>
    <x v="17"/>
    <s v="Internal Medicine"/>
    <s v="Surgery"/>
    <s v="Female"/>
    <n v="3"/>
    <n v="2"/>
    <n v="0"/>
    <n v="1.9"/>
    <n v="0.66666666666666663"/>
  </r>
  <r>
    <s v="2023-03"/>
    <d v="2023-03-01T00:00:00"/>
    <s v="March"/>
    <s v="Kaduna"/>
    <x v="5"/>
    <s v="Surgery"/>
    <s v="Delivery"/>
    <s v="Male"/>
    <n v="4"/>
    <n v="3"/>
    <n v="0"/>
    <n v="3.2"/>
    <n v="0.75"/>
  </r>
  <r>
    <s v="2023-03"/>
    <d v="2023-03-01T00:00:00"/>
    <s v="March"/>
    <s v="Kaduna"/>
    <x v="5"/>
    <s v="Maternity"/>
    <s v="Admission"/>
    <s v="Male"/>
    <n v="3"/>
    <n v="2"/>
    <n v="0"/>
    <n v="3.3"/>
    <n v="0.66666666666666663"/>
  </r>
  <r>
    <s v="2023-12"/>
    <d v="2023-12-01T00:00:00"/>
    <s v="December"/>
    <s v="Lagos"/>
    <x v="15"/>
    <s v="Internal Medicine"/>
    <s v="Lab Test"/>
    <s v="Female"/>
    <n v="5"/>
    <n v="5"/>
    <n v="1"/>
    <n v="3.4"/>
    <n v="1"/>
  </r>
  <r>
    <s v="2023-03"/>
    <d v="2023-03-01T00:00:00"/>
    <s v="March"/>
    <s v="Rivers"/>
    <x v="10"/>
    <s v="Emergency"/>
    <s v="Lab Test"/>
    <s v="Male"/>
    <n v="2"/>
    <n v="2"/>
    <n v="1"/>
    <n v="0.8"/>
    <n v="1"/>
  </r>
  <r>
    <s v="2023-10"/>
    <d v="2023-10-01T00:00:00"/>
    <s v="October"/>
    <s v="FCT"/>
    <x v="1"/>
    <s v="Maternity"/>
    <s v="Lab Test"/>
    <s v="Male"/>
    <n v="7"/>
    <n v="6"/>
    <n v="0"/>
    <n v="0.9"/>
    <n v="0.8571428571428571"/>
  </r>
  <r>
    <s v="2023-08"/>
    <d v="2023-08-01T00:00:00"/>
    <s v="August"/>
    <s v="Borno"/>
    <x v="9"/>
    <s v="Outpatient"/>
    <s v="Lab Test"/>
    <s v="Female"/>
    <n v="1"/>
    <n v="1"/>
    <n v="0"/>
    <n v="3.8"/>
    <n v="1"/>
  </r>
  <r>
    <s v="2023-11"/>
    <d v="2023-11-01T00:00:00"/>
    <s v="November"/>
    <s v="Kano"/>
    <x v="8"/>
    <s v="Surgery"/>
    <s v="Surgery"/>
    <s v="Female"/>
    <n v="3"/>
    <n v="3"/>
    <n v="0"/>
    <n v="3.2"/>
    <n v="1"/>
  </r>
  <r>
    <s v="2023-07"/>
    <d v="2023-07-01T00:00:00"/>
    <s v="July"/>
    <s v="Rivers"/>
    <x v="10"/>
    <s v="Internal Medicine"/>
    <s v="Delivery"/>
    <s v="Female"/>
    <n v="2"/>
    <n v="2"/>
    <n v="0"/>
    <n v="3.2"/>
    <n v="1"/>
  </r>
  <r>
    <s v="2023-05"/>
    <d v="2023-05-01T00:00:00"/>
    <s v="May"/>
    <s v="Oyo"/>
    <x v="17"/>
    <s v="Pediatrics"/>
    <s v="Surgery"/>
    <s v="Female"/>
    <n v="4"/>
    <n v="3"/>
    <n v="0"/>
    <n v="2.1"/>
    <n v="0.75"/>
  </r>
  <r>
    <s v="2023-11"/>
    <d v="2023-11-01T00:00:00"/>
    <s v="November"/>
    <s v="Edo"/>
    <x v="11"/>
    <s v="Emergency"/>
    <s v="Delivery"/>
    <s v="Female"/>
    <n v="6"/>
    <n v="6"/>
    <n v="1"/>
    <n v="4.5"/>
    <n v="1"/>
  </r>
  <r>
    <s v="2023-01"/>
    <d v="2023-01-01T00:00:00"/>
    <s v="January"/>
    <s v="Kaduna"/>
    <x v="6"/>
    <s v="Pediatrics"/>
    <s v="Delivery"/>
    <s v="Female"/>
    <n v="2"/>
    <n v="1"/>
    <n v="0"/>
    <n v="3.1"/>
    <n v="0.5"/>
  </r>
  <r>
    <s v="2023-01"/>
    <d v="2023-01-01T00:00:00"/>
    <s v="January"/>
    <s v="Oyo"/>
    <x v="14"/>
    <s v="Internal Medicine"/>
    <s v="Surgery"/>
    <s v="Male"/>
    <n v="9"/>
    <n v="9"/>
    <n v="2"/>
    <n v="3.9"/>
    <n v="1"/>
  </r>
  <r>
    <s v="2023-09"/>
    <d v="2023-09-01T00:00:00"/>
    <s v="September"/>
    <s v="FCT"/>
    <x v="16"/>
    <s v="Pediatrics"/>
    <s v="Surgery"/>
    <s v="Female"/>
    <n v="4"/>
    <n v="4"/>
    <n v="0"/>
    <n v="4.5"/>
    <n v="1"/>
  </r>
  <r>
    <s v="2023-02"/>
    <d v="2023-02-01T00:00:00"/>
    <s v="February"/>
    <s v="Kaduna"/>
    <x v="5"/>
    <s v="Pediatrics"/>
    <s v="Surgery"/>
    <s v="Male"/>
    <n v="5"/>
    <n v="5"/>
    <n v="0"/>
    <n v="1.9"/>
    <n v="1"/>
  </r>
  <r>
    <s v="2023-12"/>
    <d v="2023-12-01T00:00:00"/>
    <s v="December"/>
    <s v="Kaduna"/>
    <x v="6"/>
    <s v="Emergency"/>
    <s v="Medication"/>
    <s v="Male"/>
    <n v="8"/>
    <n v="6"/>
    <n v="1"/>
    <n v="3.3"/>
    <n v="0.75"/>
  </r>
  <r>
    <s v="2023-04"/>
    <d v="2023-04-01T00:00:00"/>
    <s v="April"/>
    <s v="Borno"/>
    <x v="13"/>
    <s v="Surgery"/>
    <s v="Medication"/>
    <s v="Female"/>
    <n v="2"/>
    <n v="2"/>
    <n v="0"/>
    <n v="1.3"/>
    <n v="1"/>
  </r>
  <r>
    <s v="2023-10"/>
    <d v="2023-10-01T00:00:00"/>
    <s v="October"/>
    <s v="Anambra"/>
    <x v="19"/>
    <s v="Surgery"/>
    <s v="Medication"/>
    <s v="Female"/>
    <n v="7"/>
    <n v="7"/>
    <n v="0"/>
    <n v="1.4"/>
    <n v="1"/>
  </r>
  <r>
    <s v="2023-11"/>
    <d v="2023-11-01T00:00:00"/>
    <s v="November"/>
    <s v="Oyo"/>
    <x v="14"/>
    <s v="Surgery"/>
    <s v="Medication"/>
    <s v="Male"/>
    <n v="5"/>
    <n v="5"/>
    <n v="0"/>
    <n v="1.8"/>
    <n v="1"/>
  </r>
  <r>
    <s v="2023-06"/>
    <d v="2023-06-01T00:00:00"/>
    <s v="June"/>
    <s v="Edo"/>
    <x v="4"/>
    <s v="Pediatrics"/>
    <s v="Consultation"/>
    <s v="Female"/>
    <n v="8"/>
    <n v="7"/>
    <n v="1"/>
    <n v="2.8"/>
    <n v="0.875"/>
  </r>
  <r>
    <s v="2023-11"/>
    <d v="2023-11-01T00:00:00"/>
    <s v="November"/>
    <s v="Kano"/>
    <x v="7"/>
    <s v="Emergency"/>
    <s v="Surgery"/>
    <s v="Female"/>
    <n v="2"/>
    <n v="1"/>
    <n v="0"/>
    <n v="3.2"/>
    <n v="0.5"/>
  </r>
  <r>
    <s v="2023-02"/>
    <d v="2023-02-01T00:00:00"/>
    <s v="February"/>
    <s v="FCT"/>
    <x v="1"/>
    <s v="Pediatrics"/>
    <s v="Surgery"/>
    <s v="Female"/>
    <n v="4"/>
    <n v="4"/>
    <n v="0"/>
    <n v="2.1"/>
    <n v="1"/>
  </r>
  <r>
    <s v="2023-06"/>
    <d v="2023-06-01T00:00:00"/>
    <s v="June"/>
    <s v="Kano"/>
    <x v="8"/>
    <s v="Internal Medicine"/>
    <s v="Lab Test"/>
    <s v="Female"/>
    <n v="3"/>
    <n v="3"/>
    <n v="0"/>
    <n v="3.3"/>
    <n v="1"/>
  </r>
  <r>
    <s v="2023-01"/>
    <d v="2023-01-01T00:00:00"/>
    <s v="January"/>
    <s v="Anambra"/>
    <x v="2"/>
    <s v="Surgery"/>
    <s v="Surgery"/>
    <s v="Male"/>
    <n v="6"/>
    <n v="6"/>
    <n v="0"/>
    <n v="2.8"/>
    <n v="1"/>
  </r>
  <r>
    <s v="2023-11"/>
    <d v="2023-11-01T00:00:00"/>
    <s v="November"/>
    <s v="FCT"/>
    <x v="1"/>
    <s v="Surgery"/>
    <s v="Lab Test"/>
    <s v="Female"/>
    <n v="5"/>
    <n v="4"/>
    <n v="1"/>
    <n v="0.8"/>
    <n v="0.8"/>
  </r>
  <r>
    <s v="2023-04"/>
    <d v="2023-04-01T00:00:00"/>
    <s v="April"/>
    <s v="Oyo"/>
    <x v="14"/>
    <s v="Maternity"/>
    <s v="Lab Test"/>
    <s v="Female"/>
    <n v="4"/>
    <n v="4"/>
    <n v="0"/>
    <n v="2.7"/>
    <n v="1"/>
  </r>
  <r>
    <s v="2023-06"/>
    <d v="2023-06-01T00:00:00"/>
    <s v="June"/>
    <s v="Kaduna"/>
    <x v="5"/>
    <s v="Outpatient"/>
    <s v="Delivery"/>
    <s v="Male"/>
    <n v="7"/>
    <n v="5"/>
    <n v="0"/>
    <n v="3.2"/>
    <n v="0.7142857142857143"/>
  </r>
  <r>
    <s v="2023-06"/>
    <d v="2023-06-01T00:00:00"/>
    <s v="June"/>
    <s v="Borno"/>
    <x v="13"/>
    <s v="Emergency"/>
    <s v="Consultation"/>
    <s v="Female"/>
    <n v="3"/>
    <n v="3"/>
    <n v="0"/>
    <n v="3.4"/>
    <n v="1"/>
  </r>
  <r>
    <s v="2023-03"/>
    <d v="2023-03-01T00:00:00"/>
    <s v="March"/>
    <s v="Kano"/>
    <x v="7"/>
    <s v="Maternity"/>
    <s v="Delivery"/>
    <s v="Female"/>
    <n v="5"/>
    <n v="4"/>
    <n v="1"/>
    <n v="2.4"/>
    <n v="0.8"/>
  </r>
  <r>
    <s v="2023-10"/>
    <d v="2023-10-01T00:00:00"/>
    <s v="October"/>
    <s v="Borno"/>
    <x v="13"/>
    <s v="Pediatrics"/>
    <s v="Admission"/>
    <s v="Male"/>
    <n v="7"/>
    <n v="7"/>
    <n v="0"/>
    <n v="3.2"/>
    <n v="1"/>
  </r>
  <r>
    <s v="2023-12"/>
    <d v="2023-12-01T00:00:00"/>
    <s v="December"/>
    <s v="Rivers"/>
    <x v="18"/>
    <s v="Pediatrics"/>
    <s v="Delivery"/>
    <s v="Female"/>
    <n v="4"/>
    <n v="4"/>
    <n v="0"/>
    <n v="1.8"/>
    <n v="1"/>
  </r>
  <r>
    <s v="2023-05"/>
    <d v="2023-05-01T00:00:00"/>
    <s v="May"/>
    <s v="Oyo"/>
    <x v="14"/>
    <s v="Surgery"/>
    <s v="Surgery"/>
    <s v="Male"/>
    <n v="9"/>
    <n v="8"/>
    <n v="0"/>
    <n v="2.7"/>
    <n v="0.88888888888888884"/>
  </r>
  <r>
    <s v="2023-10"/>
    <d v="2023-10-01T00:00:00"/>
    <s v="October"/>
    <s v="Edo"/>
    <x v="4"/>
    <s v="Surgery"/>
    <s v="Lab Test"/>
    <s v="Male"/>
    <n v="7"/>
    <n v="6"/>
    <n v="0"/>
    <n v="2.8"/>
    <n v="0.8571428571428571"/>
  </r>
  <r>
    <s v="2023-04"/>
    <d v="2023-04-01T00:00:00"/>
    <s v="April"/>
    <s v="Kaduna"/>
    <x v="5"/>
    <s v="Emergency"/>
    <s v="Delivery"/>
    <s v="Male"/>
    <n v="6"/>
    <n v="5"/>
    <n v="0"/>
    <n v="4.2"/>
    <n v="0.83333333333333337"/>
  </r>
  <r>
    <s v="2023-02"/>
    <d v="2023-02-01T00:00:00"/>
    <s v="February"/>
    <s v="Anambra"/>
    <x v="2"/>
    <s v="Pediatrics"/>
    <s v="Medication"/>
    <s v="Female"/>
    <n v="2"/>
    <n v="1"/>
    <n v="1"/>
    <n v="4.5"/>
    <n v="0.5"/>
  </r>
  <r>
    <s v="2023-01"/>
    <d v="2023-01-01T00:00:00"/>
    <s v="January"/>
    <s v="Kano"/>
    <x v="8"/>
    <s v="Internal Medicine"/>
    <s v="Consultation"/>
    <s v="Male"/>
    <n v="8"/>
    <n v="7"/>
    <n v="0"/>
    <n v="2.2999999999999998"/>
    <n v="0.875"/>
  </r>
  <r>
    <s v="2023-02"/>
    <d v="2023-02-01T00:00:00"/>
    <s v="February"/>
    <s v="Borno"/>
    <x v="13"/>
    <s v="Pediatrics"/>
    <s v="Medication"/>
    <s v="Female"/>
    <n v="5"/>
    <n v="5"/>
    <n v="0"/>
    <n v="1.8"/>
    <n v="1"/>
  </r>
  <r>
    <s v="2023-05"/>
    <d v="2023-05-01T00:00:00"/>
    <s v="May"/>
    <s v="Edo"/>
    <x v="11"/>
    <s v="Outpatient"/>
    <s v="Lab Test"/>
    <s v="Male"/>
    <n v="4"/>
    <n v="4"/>
    <n v="0"/>
    <n v="2.7"/>
    <n v="1"/>
  </r>
  <r>
    <s v="2023-07"/>
    <d v="2023-07-01T00:00:00"/>
    <s v="July"/>
    <s v="Anambra"/>
    <x v="2"/>
    <s v="Pediatrics"/>
    <s v="Delivery"/>
    <s v="Male"/>
    <n v="2"/>
    <n v="2"/>
    <n v="0"/>
    <n v="3.5"/>
    <n v="1"/>
  </r>
  <r>
    <s v="2023-03"/>
    <d v="2023-03-01T00:00:00"/>
    <s v="March"/>
    <s v="Oyo"/>
    <x v="17"/>
    <s v="Pediatrics"/>
    <s v="Surgery"/>
    <s v="Male"/>
    <n v="3"/>
    <n v="3"/>
    <n v="0"/>
    <n v="2.6"/>
    <n v="1"/>
  </r>
  <r>
    <s v="2023-02"/>
    <d v="2023-02-01T00:00:00"/>
    <s v="February"/>
    <s v="Borno"/>
    <x v="9"/>
    <s v="Internal Medicine"/>
    <s v="Delivery"/>
    <s v="Female"/>
    <n v="2"/>
    <n v="2"/>
    <n v="0"/>
    <n v="3.1"/>
    <n v="1"/>
  </r>
  <r>
    <s v="2023-09"/>
    <d v="2023-09-01T00:00:00"/>
    <s v="September"/>
    <s v="Kaduna"/>
    <x v="6"/>
    <s v="Outpatient"/>
    <s v="Medication"/>
    <s v="Female"/>
    <n v="7"/>
    <n v="6"/>
    <n v="0"/>
    <n v="2.5"/>
    <n v="0.8571428571428571"/>
  </r>
  <r>
    <s v="2023-02"/>
    <d v="2023-02-01T00:00:00"/>
    <s v="February"/>
    <s v="Oyo"/>
    <x v="17"/>
    <s v="Internal Medicine"/>
    <s v="Consultation"/>
    <s v="Female"/>
    <n v="7"/>
    <n v="7"/>
    <n v="0"/>
    <n v="3.7"/>
    <n v="1"/>
  </r>
  <r>
    <s v="2023-02"/>
    <d v="2023-02-01T00:00:00"/>
    <s v="February"/>
    <s v="Kaduna"/>
    <x v="6"/>
    <s v="Maternity"/>
    <s v="Lab Test"/>
    <s v="Male"/>
    <n v="3"/>
    <n v="3"/>
    <n v="0"/>
    <n v="2.2000000000000002"/>
    <n v="1"/>
  </r>
  <r>
    <s v="2023-03"/>
    <d v="2023-03-01T00:00:00"/>
    <s v="March"/>
    <s v="Lagos"/>
    <x v="15"/>
    <s v="Emergency"/>
    <s v="Surgery"/>
    <s v="Female"/>
    <n v="5"/>
    <n v="5"/>
    <n v="0"/>
    <n v="4.7"/>
    <n v="1"/>
  </r>
  <r>
    <s v="2023-10"/>
    <d v="2023-10-01T00:00:00"/>
    <s v="October"/>
    <s v="FCT"/>
    <x v="1"/>
    <s v="Internal Medicine"/>
    <s v="Lab Test"/>
    <s v="Male"/>
    <n v="1"/>
    <n v="1"/>
    <n v="0"/>
    <n v="2.1"/>
    <n v="1"/>
  </r>
  <r>
    <s v="2023-02"/>
    <d v="2023-02-01T00:00:00"/>
    <s v="February"/>
    <s v="Rivers"/>
    <x v="10"/>
    <s v="Internal Medicine"/>
    <s v="Medication"/>
    <s v="Female"/>
    <n v="6"/>
    <n v="6"/>
    <n v="0"/>
    <n v="4"/>
    <n v="1"/>
  </r>
  <r>
    <s v="2023-04"/>
    <d v="2023-04-01T00:00:00"/>
    <s v="April"/>
    <s v="Kano"/>
    <x v="8"/>
    <s v="Maternity"/>
    <s v="Surgery"/>
    <s v="Male"/>
    <n v="6"/>
    <n v="6"/>
    <n v="0"/>
    <n v="3.5"/>
    <n v="1"/>
  </r>
  <r>
    <s v="2023-10"/>
    <d v="2023-10-01T00:00:00"/>
    <s v="October"/>
    <s v="Oyo"/>
    <x v="17"/>
    <s v="Internal Medicine"/>
    <s v="Delivery"/>
    <s v="Female"/>
    <n v="9"/>
    <n v="8"/>
    <n v="0"/>
    <n v="1.2"/>
    <n v="0.88888888888888884"/>
  </r>
  <r>
    <s v="2023-03"/>
    <d v="2023-03-01T00:00:00"/>
    <s v="March"/>
    <s v="Kano"/>
    <x v="8"/>
    <s v="Maternity"/>
    <s v="Admission"/>
    <s v="Female"/>
    <n v="8"/>
    <n v="6"/>
    <n v="0"/>
    <n v="2.2000000000000002"/>
    <n v="0.75"/>
  </r>
  <r>
    <s v="2023-05"/>
    <d v="2023-05-01T00:00:00"/>
    <s v="May"/>
    <s v="Rivers"/>
    <x v="18"/>
    <s v="Maternity"/>
    <s v="Medication"/>
    <s v="Male"/>
    <n v="7"/>
    <n v="7"/>
    <n v="2"/>
    <n v="3.9"/>
    <n v="1"/>
  </r>
  <r>
    <s v="2023-05"/>
    <d v="2023-05-01T00:00:00"/>
    <s v="May"/>
    <s v="FCT"/>
    <x v="1"/>
    <s v="Emergency"/>
    <s v="Consultation"/>
    <s v="Male"/>
    <n v="7"/>
    <n v="6"/>
    <n v="0"/>
    <n v="3.5"/>
    <n v="0.8571428571428571"/>
  </r>
  <r>
    <s v="2023-03"/>
    <d v="2023-03-01T00:00:00"/>
    <s v="March"/>
    <s v="Rivers"/>
    <x v="18"/>
    <s v="Pediatrics"/>
    <s v="Medication"/>
    <s v="Male"/>
    <n v="5"/>
    <n v="5"/>
    <n v="0"/>
    <n v="2.2000000000000002"/>
    <n v="1"/>
  </r>
  <r>
    <s v="2023-01"/>
    <d v="2023-01-01T00:00:00"/>
    <s v="January"/>
    <s v="Delta"/>
    <x v="12"/>
    <s v="Outpatient"/>
    <s v="Lab Test"/>
    <s v="Female"/>
    <n v="4"/>
    <n v="4"/>
    <n v="0"/>
    <n v="4.2"/>
    <n v="1"/>
  </r>
  <r>
    <s v="2023-06"/>
    <d v="2023-06-01T00:00:00"/>
    <s v="June"/>
    <s v="Rivers"/>
    <x v="10"/>
    <s v="Maternity"/>
    <s v="Surgery"/>
    <s v="Female"/>
    <n v="3"/>
    <n v="3"/>
    <n v="0"/>
    <n v="3.2"/>
    <n v="1"/>
  </r>
  <r>
    <s v="2023-03"/>
    <d v="2023-03-01T00:00:00"/>
    <s v="March"/>
    <s v="Lagos"/>
    <x v="3"/>
    <s v="Maternity"/>
    <s v="Surgery"/>
    <s v="Female"/>
    <n v="5"/>
    <n v="5"/>
    <n v="0"/>
    <n v="3.1"/>
    <n v="1"/>
  </r>
  <r>
    <s v="2023-07"/>
    <d v="2023-07-01T00:00:00"/>
    <s v="July"/>
    <s v="Edo"/>
    <x v="4"/>
    <s v="Maternity"/>
    <s v="Consultation"/>
    <s v="Female"/>
    <n v="5"/>
    <n v="5"/>
    <n v="0"/>
    <n v="3.1"/>
    <n v="1"/>
  </r>
  <r>
    <s v="2023-08"/>
    <d v="2023-08-01T00:00:00"/>
    <s v="August"/>
    <s v="Borno"/>
    <x v="9"/>
    <s v="Outpatient"/>
    <s v="Surgery"/>
    <s v="Male"/>
    <n v="4"/>
    <n v="4"/>
    <n v="0"/>
    <n v="3.2"/>
    <n v="1"/>
  </r>
  <r>
    <s v="2023-01"/>
    <d v="2023-01-01T00:00:00"/>
    <s v="January"/>
    <s v="Lagos"/>
    <x v="3"/>
    <s v="Internal Medicine"/>
    <s v="Surgery"/>
    <s v="Male"/>
    <n v="3"/>
    <n v="3"/>
    <n v="0"/>
    <n v="3.7"/>
    <n v="1"/>
  </r>
  <r>
    <s v="2023-10"/>
    <d v="2023-10-01T00:00:00"/>
    <s v="October"/>
    <s v="Kaduna"/>
    <x v="5"/>
    <s v="Outpatient"/>
    <s v="Surgery"/>
    <s v="Female"/>
    <n v="2"/>
    <n v="1"/>
    <n v="1"/>
    <n v="4.9000000000000004"/>
    <n v="0.5"/>
  </r>
  <r>
    <s v="2023-10"/>
    <d v="2023-10-01T00:00:00"/>
    <s v="October"/>
    <s v="Edo"/>
    <x v="11"/>
    <s v="Maternity"/>
    <s v="Consultation"/>
    <s v="Female"/>
    <n v="5"/>
    <n v="5"/>
    <n v="0"/>
    <n v="1.7"/>
    <n v="1"/>
  </r>
  <r>
    <s v="2023-02"/>
    <d v="2023-02-01T00:00:00"/>
    <s v="February"/>
    <s v="Delta"/>
    <x v="0"/>
    <s v="Maternity"/>
    <s v="Medication"/>
    <s v="Female"/>
    <n v="2"/>
    <n v="1"/>
    <n v="0"/>
    <n v="2.2000000000000002"/>
    <n v="0.5"/>
  </r>
  <r>
    <s v="2023-11"/>
    <d v="2023-11-01T00:00:00"/>
    <s v="November"/>
    <s v="Borno"/>
    <x v="13"/>
    <s v="Pediatrics"/>
    <s v="Consultation"/>
    <s v="Female"/>
    <n v="4"/>
    <n v="4"/>
    <n v="0"/>
    <n v="2.7"/>
    <n v="1"/>
  </r>
  <r>
    <s v="2023-09"/>
    <d v="2023-09-01T00:00:00"/>
    <s v="September"/>
    <s v="Edo"/>
    <x v="11"/>
    <s v="Pediatrics"/>
    <s v="Consultation"/>
    <s v="Male"/>
    <n v="4"/>
    <n v="3"/>
    <n v="2"/>
    <n v="2.4"/>
    <n v="0.75"/>
  </r>
  <r>
    <s v="2023-07"/>
    <d v="2023-07-01T00:00:00"/>
    <s v="July"/>
    <s v="Edo"/>
    <x v="4"/>
    <s v="Pediatrics"/>
    <s v="Admission"/>
    <s v="Female"/>
    <n v="7"/>
    <n v="7"/>
    <n v="0"/>
    <n v="3.2"/>
    <n v="1"/>
  </r>
  <r>
    <s v="2023-09"/>
    <d v="2023-09-01T00:00:00"/>
    <s v="September"/>
    <s v="Delta"/>
    <x v="12"/>
    <s v="Pediatrics"/>
    <s v="Surgery"/>
    <s v="Female"/>
    <n v="8"/>
    <n v="8"/>
    <n v="0"/>
    <n v="2"/>
    <n v="1"/>
  </r>
  <r>
    <s v="2023-08"/>
    <d v="2023-08-01T00:00:00"/>
    <s v="August"/>
    <s v="Edo"/>
    <x v="11"/>
    <s v="Maternity"/>
    <s v="Consultation"/>
    <s v="Male"/>
    <n v="5"/>
    <n v="5"/>
    <n v="0"/>
    <n v="2.1"/>
    <n v="1"/>
  </r>
  <r>
    <s v="2023-01"/>
    <d v="2023-01-01T00:00:00"/>
    <s v="January"/>
    <s v="Kaduna"/>
    <x v="5"/>
    <s v="Outpatient"/>
    <s v="Delivery"/>
    <s v="Male"/>
    <n v="1"/>
    <n v="1"/>
    <n v="0"/>
    <n v="3.1"/>
    <n v="1"/>
  </r>
  <r>
    <s v="2023-07"/>
    <d v="2023-07-01T00:00:00"/>
    <s v="July"/>
    <s v="Delta"/>
    <x v="0"/>
    <s v="Outpatient"/>
    <s v="Delivery"/>
    <s v="Male"/>
    <n v="3"/>
    <n v="3"/>
    <n v="0"/>
    <n v="2.2000000000000002"/>
    <n v="1"/>
  </r>
  <r>
    <s v="2023-04"/>
    <d v="2023-04-01T00:00:00"/>
    <s v="April"/>
    <s v="Edo"/>
    <x v="4"/>
    <s v="Maternity"/>
    <s v="Delivery"/>
    <s v="Male"/>
    <n v="8"/>
    <n v="7"/>
    <n v="0"/>
    <n v="1.9"/>
    <n v="0.875"/>
  </r>
  <r>
    <s v="2023-01"/>
    <d v="2023-01-01T00:00:00"/>
    <s v="January"/>
    <s v="Borno"/>
    <x v="9"/>
    <s v="Emergency"/>
    <s v="Surgery"/>
    <s v="Female"/>
    <n v="3"/>
    <n v="3"/>
    <n v="0"/>
    <n v="2"/>
    <n v="1"/>
  </r>
  <r>
    <s v="2023-07"/>
    <d v="2023-07-01T00:00:00"/>
    <s v="July"/>
    <s v="Oyo"/>
    <x v="17"/>
    <s v="Emergency"/>
    <s v="Consultation"/>
    <s v="Male"/>
    <n v="7"/>
    <n v="6"/>
    <n v="2"/>
    <n v="4.2"/>
    <n v="0.8571428571428571"/>
  </r>
  <r>
    <s v="2023-02"/>
    <d v="2023-02-01T00:00:00"/>
    <s v="February"/>
    <s v="Kano"/>
    <x v="8"/>
    <s v="Internal Medicine"/>
    <s v="Lab Test"/>
    <s v="Female"/>
    <n v="3"/>
    <n v="3"/>
    <n v="0"/>
    <n v="1.8"/>
    <n v="1"/>
  </r>
  <r>
    <s v="2023-07"/>
    <d v="2023-07-01T00:00:00"/>
    <s v="July"/>
    <s v="Borno"/>
    <x v="13"/>
    <s v="Emergency"/>
    <s v="Medication"/>
    <s v="Male"/>
    <n v="5"/>
    <n v="4"/>
    <n v="0"/>
    <n v="1.3"/>
    <n v="0.8"/>
  </r>
  <r>
    <s v="2023-08"/>
    <d v="2023-08-01T00:00:00"/>
    <s v="August"/>
    <s v="Edo"/>
    <x v="11"/>
    <s v="Emergency"/>
    <s v="Delivery"/>
    <s v="Female"/>
    <n v="8"/>
    <n v="8"/>
    <n v="0"/>
    <n v="1.9"/>
    <n v="1"/>
  </r>
  <r>
    <s v="2023-11"/>
    <d v="2023-11-01T00:00:00"/>
    <s v="November"/>
    <s v="Rivers"/>
    <x v="10"/>
    <s v="Outpatient"/>
    <s v="Medication"/>
    <s v="Female"/>
    <n v="3"/>
    <n v="3"/>
    <n v="1"/>
    <n v="2.6"/>
    <n v="1"/>
  </r>
  <r>
    <s v="2023-06"/>
    <d v="2023-06-01T00:00:00"/>
    <s v="June"/>
    <s v="Rivers"/>
    <x v="10"/>
    <s v="Emergency"/>
    <s v="Medication"/>
    <s v="Male"/>
    <n v="5"/>
    <n v="4"/>
    <n v="0"/>
    <n v="2.2000000000000002"/>
    <n v="0.8"/>
  </r>
  <r>
    <s v="2023-09"/>
    <d v="2023-09-01T00:00:00"/>
    <s v="September"/>
    <s v="Rivers"/>
    <x v="18"/>
    <s v="Outpatient"/>
    <s v="Medication"/>
    <s v="Female"/>
    <n v="3"/>
    <n v="2"/>
    <n v="0"/>
    <n v="2.6"/>
    <n v="0.66666666666666663"/>
  </r>
  <r>
    <s v="2023-10"/>
    <d v="2023-10-01T00:00:00"/>
    <s v="October"/>
    <s v="Edo"/>
    <x v="4"/>
    <s v="Emergency"/>
    <s v="Delivery"/>
    <s v="Female"/>
    <n v="7"/>
    <n v="5"/>
    <n v="0"/>
    <n v="3.6"/>
    <n v="0.7142857142857143"/>
  </r>
  <r>
    <s v="2023-01"/>
    <d v="2023-01-01T00:00:00"/>
    <s v="January"/>
    <s v="Oyo"/>
    <x v="14"/>
    <s v="Pediatrics"/>
    <s v="Consultation"/>
    <s v="Male"/>
    <n v="3"/>
    <n v="2"/>
    <n v="0"/>
    <n v="2.2000000000000002"/>
    <n v="0.66666666666666663"/>
  </r>
  <r>
    <s v="2023-10"/>
    <d v="2023-10-01T00:00:00"/>
    <s v="October"/>
    <s v="Borno"/>
    <x v="9"/>
    <s v="Maternity"/>
    <s v="Surgery"/>
    <s v="Male"/>
    <n v="5"/>
    <n v="4"/>
    <n v="0"/>
    <n v="2.8"/>
    <n v="0.8"/>
  </r>
  <r>
    <s v="2023-02"/>
    <d v="2023-02-01T00:00:00"/>
    <s v="February"/>
    <s v="Kaduna"/>
    <x v="5"/>
    <s v="Maternity"/>
    <s v="Surgery"/>
    <s v="Male"/>
    <n v="5"/>
    <n v="5"/>
    <n v="0"/>
    <n v="1.9"/>
    <n v="1"/>
  </r>
  <r>
    <s v="2023-05"/>
    <d v="2023-05-01T00:00:00"/>
    <s v="May"/>
    <s v="Kaduna"/>
    <x v="6"/>
    <s v="Outpatient"/>
    <s v="Lab Test"/>
    <s v="Female"/>
    <n v="5"/>
    <n v="5"/>
    <n v="1"/>
    <n v="4.2"/>
    <n v="1"/>
  </r>
  <r>
    <s v="2023-03"/>
    <d v="2023-03-01T00:00:00"/>
    <s v="March"/>
    <s v="Oyo"/>
    <x v="14"/>
    <s v="Pediatrics"/>
    <s v="Consultation"/>
    <s v="Female"/>
    <n v="7"/>
    <n v="7"/>
    <n v="0"/>
    <n v="3.6"/>
    <n v="1"/>
  </r>
  <r>
    <s v="2023-12"/>
    <d v="2023-12-01T00:00:00"/>
    <s v="December"/>
    <s v="Delta"/>
    <x v="12"/>
    <s v="Outpatient"/>
    <s v="Delivery"/>
    <s v="Female"/>
    <n v="5"/>
    <n v="5"/>
    <n v="0"/>
    <n v="2.5"/>
    <n v="1"/>
  </r>
  <r>
    <s v="2023-05"/>
    <d v="2023-05-01T00:00:00"/>
    <s v="May"/>
    <s v="Kaduna"/>
    <x v="5"/>
    <s v="Emergency"/>
    <s v="Consultation"/>
    <s v="Male"/>
    <n v="3"/>
    <n v="3"/>
    <n v="0"/>
    <n v="2.5"/>
    <n v="1"/>
  </r>
  <r>
    <s v="2023-02"/>
    <d v="2023-02-01T00:00:00"/>
    <s v="February"/>
    <s v="Kaduna"/>
    <x v="5"/>
    <s v="Pediatrics"/>
    <s v="Surgery"/>
    <s v="Female"/>
    <n v="3"/>
    <n v="3"/>
    <n v="0"/>
    <n v="4"/>
    <n v="1"/>
  </r>
  <r>
    <s v="2023-02"/>
    <d v="2023-02-01T00:00:00"/>
    <s v="February"/>
    <s v="Oyo"/>
    <x v="14"/>
    <s v="Internal Medicine"/>
    <s v="Medication"/>
    <s v="Female"/>
    <n v="3"/>
    <n v="3"/>
    <n v="0"/>
    <n v="3.2"/>
    <n v="1"/>
  </r>
  <r>
    <s v="2023-05"/>
    <d v="2023-05-01T00:00:00"/>
    <s v="May"/>
    <s v="FCT"/>
    <x v="1"/>
    <s v="Internal Medicine"/>
    <s v="Medication"/>
    <s v="Female"/>
    <n v="5"/>
    <n v="5"/>
    <n v="0"/>
    <n v="1.4"/>
    <n v="1"/>
  </r>
  <r>
    <s v="2023-08"/>
    <d v="2023-08-01T00:00:00"/>
    <s v="August"/>
    <s v="Rivers"/>
    <x v="10"/>
    <s v="Pediatrics"/>
    <s v="Surgery"/>
    <s v="Male"/>
    <n v="7"/>
    <n v="7"/>
    <n v="0"/>
    <n v="3.1"/>
    <n v="1"/>
  </r>
  <r>
    <s v="2023-08"/>
    <d v="2023-08-01T00:00:00"/>
    <s v="August"/>
    <s v="Rivers"/>
    <x v="10"/>
    <s v="Outpatient"/>
    <s v="Lab Test"/>
    <s v="Female"/>
    <n v="4"/>
    <n v="4"/>
    <n v="0"/>
    <n v="4.5"/>
    <n v="1"/>
  </r>
  <r>
    <s v="2023-11"/>
    <d v="2023-11-01T00:00:00"/>
    <s v="November"/>
    <s v="Kaduna"/>
    <x v="5"/>
    <s v="Outpatient"/>
    <s v="Medication"/>
    <s v="Female"/>
    <n v="3"/>
    <n v="3"/>
    <n v="0"/>
    <n v="3.7"/>
    <n v="1"/>
  </r>
  <r>
    <s v="2023-06"/>
    <d v="2023-06-01T00:00:00"/>
    <s v="June"/>
    <s v="Rivers"/>
    <x v="18"/>
    <s v="Internal Medicine"/>
    <s v="Lab Test"/>
    <s v="Female"/>
    <n v="5"/>
    <n v="5"/>
    <n v="1"/>
    <n v="3"/>
    <n v="1"/>
  </r>
  <r>
    <s v="2023-05"/>
    <d v="2023-05-01T00:00:00"/>
    <s v="May"/>
    <s v="Borno"/>
    <x v="9"/>
    <s v="Internal Medicine"/>
    <s v="Admission"/>
    <s v="Male"/>
    <n v="4"/>
    <n v="3"/>
    <n v="0"/>
    <n v="3.1"/>
    <n v="0.75"/>
  </r>
  <r>
    <s v="2023-09"/>
    <d v="2023-09-01T00:00:00"/>
    <s v="September"/>
    <s v="Anambra"/>
    <x v="19"/>
    <s v="Pediatrics"/>
    <s v="Delivery"/>
    <s v="Female"/>
    <n v="6"/>
    <n v="5"/>
    <n v="0"/>
    <n v="4.3"/>
    <n v="0.83333333333333337"/>
  </r>
  <r>
    <s v="2023-11"/>
    <d v="2023-11-01T00:00:00"/>
    <s v="November"/>
    <s v="Delta"/>
    <x v="12"/>
    <s v="Surgery"/>
    <s v="Admission"/>
    <s v="Female"/>
    <n v="6"/>
    <n v="6"/>
    <n v="1"/>
    <n v="0.8"/>
    <n v="1"/>
  </r>
  <r>
    <s v="2023-03"/>
    <d v="2023-03-01T00:00:00"/>
    <s v="March"/>
    <s v="Rivers"/>
    <x v="10"/>
    <s v="Pediatrics"/>
    <s v="Medication"/>
    <s v="Female"/>
    <n v="8"/>
    <n v="7"/>
    <n v="0"/>
    <n v="2.9"/>
    <n v="0.875"/>
  </r>
  <r>
    <s v="2023-12"/>
    <d v="2023-12-01T00:00:00"/>
    <s v="December"/>
    <s v="Borno"/>
    <x v="9"/>
    <s v="Emergency"/>
    <s v="Surgery"/>
    <s v="Male"/>
    <n v="4"/>
    <n v="4"/>
    <n v="0"/>
    <n v="1.8"/>
    <n v="1"/>
  </r>
  <r>
    <s v="2023-03"/>
    <d v="2023-03-01T00:00:00"/>
    <s v="March"/>
    <s v="Anambra"/>
    <x v="19"/>
    <s v="Surgery"/>
    <s v="Lab Test"/>
    <s v="Female"/>
    <n v="8"/>
    <n v="8"/>
    <n v="0"/>
    <n v="3.3"/>
    <n v="1"/>
  </r>
  <r>
    <s v="2023-11"/>
    <d v="2023-11-01T00:00:00"/>
    <s v="November"/>
    <s v="FCT"/>
    <x v="1"/>
    <s v="Maternity"/>
    <s v="Delivery"/>
    <s v="Male"/>
    <n v="1"/>
    <n v="1"/>
    <n v="0"/>
    <n v="5.5"/>
    <n v="1"/>
  </r>
  <r>
    <s v="2023-08"/>
    <d v="2023-08-01T00:00:00"/>
    <s v="August"/>
    <s v="FCT"/>
    <x v="1"/>
    <s v="Emergency"/>
    <s v="Admission"/>
    <s v="Female"/>
    <n v="4"/>
    <n v="4"/>
    <n v="0"/>
    <n v="3.9"/>
    <n v="1"/>
  </r>
  <r>
    <s v="2023-10"/>
    <d v="2023-10-01T00:00:00"/>
    <s v="October"/>
    <s v="Edo"/>
    <x v="11"/>
    <s v="Surgery"/>
    <s v="Surgery"/>
    <s v="Male"/>
    <n v="4"/>
    <n v="3"/>
    <n v="0"/>
    <n v="5.0999999999999996"/>
    <n v="0.75"/>
  </r>
  <r>
    <s v="2023-07"/>
    <d v="2023-07-01T00:00:00"/>
    <s v="July"/>
    <s v="Oyo"/>
    <x v="14"/>
    <s v="Pediatrics"/>
    <s v="Surgery"/>
    <s v="Female"/>
    <n v="8"/>
    <n v="8"/>
    <n v="0"/>
    <n v="3.5"/>
    <n v="1"/>
  </r>
  <r>
    <s v="2023-02"/>
    <d v="2023-02-01T00:00:00"/>
    <s v="February"/>
    <s v="Delta"/>
    <x v="12"/>
    <s v="Surgery"/>
    <s v="Delivery"/>
    <s v="Male"/>
    <n v="4"/>
    <n v="4"/>
    <n v="0"/>
    <n v="1.2"/>
    <n v="1"/>
  </r>
  <r>
    <s v="2023-01"/>
    <d v="2023-01-01T00:00:00"/>
    <s v="January"/>
    <s v="Kaduna"/>
    <x v="5"/>
    <s v="Emergency"/>
    <s v="Delivery"/>
    <s v="Female"/>
    <n v="4"/>
    <n v="4"/>
    <n v="0"/>
    <n v="2.9"/>
    <n v="1"/>
  </r>
  <r>
    <s v="2023-11"/>
    <d v="2023-11-01T00:00:00"/>
    <s v="November"/>
    <s v="Lagos"/>
    <x v="15"/>
    <s v="Internal Medicine"/>
    <s v="Delivery"/>
    <s v="Male"/>
    <n v="8"/>
    <n v="8"/>
    <n v="1"/>
    <n v="4"/>
    <n v="1"/>
  </r>
  <r>
    <s v="2023-05"/>
    <d v="2023-05-01T00:00:00"/>
    <s v="May"/>
    <s v="Lagos"/>
    <x v="3"/>
    <s v="Outpatient"/>
    <s v="Surgery"/>
    <s v="Male"/>
    <n v="3"/>
    <n v="3"/>
    <n v="0"/>
    <n v="3.8"/>
    <n v="1"/>
  </r>
  <r>
    <s v="2023-04"/>
    <d v="2023-04-01T00:00:00"/>
    <s v="April"/>
    <s v="Edo"/>
    <x v="11"/>
    <s v="Pediatrics"/>
    <s v="Admission"/>
    <s v="Male"/>
    <n v="7"/>
    <n v="6"/>
    <n v="1"/>
    <n v="2.2000000000000002"/>
    <n v="0.8571428571428571"/>
  </r>
  <r>
    <s v="2023-04"/>
    <d v="2023-04-01T00:00:00"/>
    <s v="April"/>
    <s v="Rivers"/>
    <x v="18"/>
    <s v="Surgery"/>
    <s v="Admission"/>
    <s v="Male"/>
    <n v="7"/>
    <n v="6"/>
    <n v="0"/>
    <n v="4.9000000000000004"/>
    <n v="0.8571428571428571"/>
  </r>
  <r>
    <s v="2023-11"/>
    <d v="2023-11-01T00:00:00"/>
    <s v="November"/>
    <s v="FCT"/>
    <x v="16"/>
    <s v="Maternity"/>
    <s v="Lab Test"/>
    <s v="Male"/>
    <n v="4"/>
    <n v="3"/>
    <n v="1"/>
    <n v="2.1"/>
    <n v="0.75"/>
  </r>
  <r>
    <s v="2023-12"/>
    <d v="2023-12-01T00:00:00"/>
    <s v="December"/>
    <s v="Oyo"/>
    <x v="17"/>
    <s v="Emergency"/>
    <s v="Medication"/>
    <s v="Female"/>
    <n v="7"/>
    <n v="7"/>
    <n v="0"/>
    <n v="2.7"/>
    <n v="1"/>
  </r>
  <r>
    <s v="2023-04"/>
    <d v="2023-04-01T00:00:00"/>
    <s v="April"/>
    <s v="Kano"/>
    <x v="7"/>
    <s v="Emergency"/>
    <s v="Delivery"/>
    <s v="Male"/>
    <n v="7"/>
    <n v="6"/>
    <n v="1"/>
    <n v="2.5"/>
    <n v="0.8571428571428571"/>
  </r>
  <r>
    <s v="2023-02"/>
    <d v="2023-02-01T00:00:00"/>
    <s v="February"/>
    <s v="Edo"/>
    <x v="11"/>
    <s v="Outpatient"/>
    <s v="Admission"/>
    <s v="Male"/>
    <n v="5"/>
    <n v="5"/>
    <n v="1"/>
    <n v="2.9"/>
    <n v="1"/>
  </r>
  <r>
    <s v="2023-12"/>
    <d v="2023-12-01T00:00:00"/>
    <s v="December"/>
    <s v="Oyo"/>
    <x v="17"/>
    <s v="Internal Medicine"/>
    <s v="Delivery"/>
    <s v="Male"/>
    <n v="9"/>
    <n v="9"/>
    <n v="1"/>
    <n v="3.3"/>
    <n v="1"/>
  </r>
  <r>
    <s v="2023-04"/>
    <d v="2023-04-01T00:00:00"/>
    <s v="April"/>
    <s v="Oyo"/>
    <x v="17"/>
    <s v="Pediatrics"/>
    <s v="Lab Test"/>
    <s v="Female"/>
    <n v="2"/>
    <n v="2"/>
    <n v="0"/>
    <n v="1.9"/>
    <n v="1"/>
  </r>
  <r>
    <s v="2023-01"/>
    <d v="2023-01-01T00:00:00"/>
    <s v="January"/>
    <s v="Rivers"/>
    <x v="18"/>
    <s v="Internal Medicine"/>
    <s v="Surgery"/>
    <s v="Female"/>
    <n v="8"/>
    <n v="7"/>
    <n v="0"/>
    <n v="2.6"/>
    <n v="0.875"/>
  </r>
  <r>
    <s v="2023-05"/>
    <d v="2023-05-01T00:00:00"/>
    <s v="May"/>
    <s v="Rivers"/>
    <x v="10"/>
    <s v="Surgery"/>
    <s v="Delivery"/>
    <s v="Female"/>
    <n v="7"/>
    <n v="5"/>
    <n v="0"/>
    <n v="3.1"/>
    <n v="0.7142857142857143"/>
  </r>
  <r>
    <s v="2023-03"/>
    <d v="2023-03-01T00:00:00"/>
    <s v="March"/>
    <s v="Delta"/>
    <x v="12"/>
    <s v="Emergency"/>
    <s v="Medication"/>
    <s v="Female"/>
    <n v="6"/>
    <n v="6"/>
    <n v="0"/>
    <n v="3.2"/>
    <n v="1"/>
  </r>
  <r>
    <s v="2023-09"/>
    <d v="2023-09-01T00:00:00"/>
    <s v="September"/>
    <s v="Lagos"/>
    <x v="3"/>
    <s v="Internal Medicine"/>
    <s v="Surgery"/>
    <s v="Male"/>
    <n v="6"/>
    <n v="5"/>
    <n v="0"/>
    <n v="1.9"/>
    <n v="0.83333333333333337"/>
  </r>
  <r>
    <s v="2023-12"/>
    <d v="2023-12-01T00:00:00"/>
    <s v="December"/>
    <s v="Lagos"/>
    <x v="15"/>
    <s v="Maternity"/>
    <s v="Admission"/>
    <s v="Female"/>
    <n v="5"/>
    <n v="5"/>
    <n v="1"/>
    <n v="3"/>
    <n v="1"/>
  </r>
  <r>
    <s v="2023-03"/>
    <d v="2023-03-01T00:00:00"/>
    <s v="March"/>
    <s v="Edo"/>
    <x v="4"/>
    <s v="Emergency"/>
    <s v="Admission"/>
    <s v="Female"/>
    <n v="5"/>
    <n v="4"/>
    <n v="0"/>
    <n v="3.9"/>
    <n v="0.8"/>
  </r>
  <r>
    <s v="2023-01"/>
    <d v="2023-01-01T00:00:00"/>
    <s v="January"/>
    <s v="Delta"/>
    <x v="0"/>
    <s v="Surgery"/>
    <s v="Surgery"/>
    <s v="Female"/>
    <n v="5"/>
    <n v="5"/>
    <n v="0"/>
    <n v="1.3"/>
    <n v="1"/>
  </r>
  <r>
    <s v="2023-12"/>
    <d v="2023-12-01T00:00:00"/>
    <s v="December"/>
    <s v="Kano"/>
    <x v="8"/>
    <s v="Pediatrics"/>
    <s v="Lab Test"/>
    <s v="Male"/>
    <n v="0"/>
    <n v="0"/>
    <n v="0"/>
    <n v="2.2999999999999998"/>
    <n v="0"/>
  </r>
  <r>
    <s v="2023-08"/>
    <d v="2023-08-01T00:00:00"/>
    <s v="August"/>
    <s v="Rivers"/>
    <x v="10"/>
    <s v="Pediatrics"/>
    <s v="Medication"/>
    <s v="Male"/>
    <n v="2"/>
    <n v="1"/>
    <n v="0"/>
    <n v="3.5"/>
    <n v="0.5"/>
  </r>
  <r>
    <s v="2023-06"/>
    <d v="2023-06-01T00:00:00"/>
    <s v="June"/>
    <s v="Lagos"/>
    <x v="3"/>
    <s v="Surgery"/>
    <s v="Surgery"/>
    <s v="Female"/>
    <n v="4"/>
    <n v="3"/>
    <n v="0"/>
    <n v="4.3"/>
    <n v="0.75"/>
  </r>
  <r>
    <s v="2023-01"/>
    <d v="2023-01-01T00:00:00"/>
    <s v="January"/>
    <s v="Edo"/>
    <x v="11"/>
    <s v="Maternity"/>
    <s v="Admission"/>
    <s v="Male"/>
    <n v="6"/>
    <n v="5"/>
    <n v="0"/>
    <n v="2.6"/>
    <n v="0.83333333333333337"/>
  </r>
  <r>
    <s v="2023-11"/>
    <d v="2023-11-01T00:00:00"/>
    <s v="November"/>
    <s v="Lagos"/>
    <x v="3"/>
    <s v="Pediatrics"/>
    <s v="Admission"/>
    <s v="Female"/>
    <n v="8"/>
    <n v="7"/>
    <n v="0"/>
    <n v="3.7"/>
    <n v="0.875"/>
  </r>
  <r>
    <s v="2023-02"/>
    <d v="2023-02-01T00:00:00"/>
    <s v="February"/>
    <s v="FCT"/>
    <x v="1"/>
    <s v="Emergency"/>
    <s v="Medication"/>
    <s v="Male"/>
    <n v="2"/>
    <n v="2"/>
    <n v="0"/>
    <n v="2.4"/>
    <n v="1"/>
  </r>
  <r>
    <s v="2023-03"/>
    <d v="2023-03-01T00:00:00"/>
    <s v="March"/>
    <s v="Anambra"/>
    <x v="2"/>
    <s v="Emergency"/>
    <s v="Surgery"/>
    <s v="Female"/>
    <n v="2"/>
    <n v="2"/>
    <n v="0"/>
    <n v="1.2"/>
    <n v="1"/>
  </r>
  <r>
    <s v="2023-04"/>
    <d v="2023-04-01T00:00:00"/>
    <s v="April"/>
    <s v="Edo"/>
    <x v="11"/>
    <s v="Maternity"/>
    <s v="Lab Test"/>
    <s v="Male"/>
    <n v="6"/>
    <n v="6"/>
    <n v="0"/>
    <n v="1.8"/>
    <n v="1"/>
  </r>
  <r>
    <s v="2023-11"/>
    <d v="2023-11-01T00:00:00"/>
    <s v="November"/>
    <s v="Delta"/>
    <x v="12"/>
    <s v="Maternity"/>
    <s v="Admission"/>
    <s v="Male"/>
    <n v="3"/>
    <n v="3"/>
    <n v="0"/>
    <n v="3.5"/>
    <n v="1"/>
  </r>
  <r>
    <s v="2023-04"/>
    <d v="2023-04-01T00:00:00"/>
    <s v="April"/>
    <s v="FCT"/>
    <x v="16"/>
    <s v="Maternity"/>
    <s v="Consultation"/>
    <s v="Male"/>
    <n v="5"/>
    <n v="4"/>
    <n v="0"/>
    <n v="2.5"/>
    <n v="0.8"/>
  </r>
  <r>
    <s v="2023-09"/>
    <d v="2023-09-01T00:00:00"/>
    <s v="September"/>
    <s v="Kano"/>
    <x v="7"/>
    <s v="Internal Medicine"/>
    <s v="Delivery"/>
    <s v="Female"/>
    <n v="8"/>
    <n v="8"/>
    <n v="0"/>
    <n v="1.8"/>
    <n v="1"/>
  </r>
  <r>
    <s v="2023-05"/>
    <d v="2023-05-01T00:00:00"/>
    <s v="May"/>
    <s v="Anambra"/>
    <x v="2"/>
    <s v="Maternity"/>
    <s v="Admission"/>
    <s v="Female"/>
    <n v="7"/>
    <n v="6"/>
    <n v="0"/>
    <n v="3.2"/>
    <n v="0.8571428571428571"/>
  </r>
  <r>
    <s v="2023-10"/>
    <d v="2023-10-01T00:00:00"/>
    <s v="October"/>
    <s v="Kano"/>
    <x v="8"/>
    <s v="Outpatient"/>
    <s v="Consultation"/>
    <s v="Female"/>
    <n v="2"/>
    <n v="2"/>
    <n v="1"/>
    <n v="2.9"/>
    <n v="1"/>
  </r>
  <r>
    <s v="2023-09"/>
    <d v="2023-09-01T00:00:00"/>
    <s v="September"/>
    <s v="Rivers"/>
    <x v="10"/>
    <s v="Maternity"/>
    <s v="Admission"/>
    <s v="Female"/>
    <n v="2"/>
    <n v="1"/>
    <n v="0"/>
    <n v="3.4"/>
    <n v="0.5"/>
  </r>
  <r>
    <s v="2023-12"/>
    <d v="2023-12-01T00:00:00"/>
    <s v="December"/>
    <s v="FCT"/>
    <x v="1"/>
    <s v="Maternity"/>
    <s v="Admission"/>
    <s v="Female"/>
    <n v="6"/>
    <n v="6"/>
    <n v="0"/>
    <n v="3.3"/>
    <n v="1"/>
  </r>
  <r>
    <s v="2023-02"/>
    <d v="2023-02-01T00:00:00"/>
    <s v="February"/>
    <s v="Delta"/>
    <x v="12"/>
    <s v="Emergency"/>
    <s v="Surgery"/>
    <s v="Female"/>
    <n v="3"/>
    <n v="3"/>
    <n v="0"/>
    <n v="3.9"/>
    <n v="1"/>
  </r>
  <r>
    <s v="2023-09"/>
    <d v="2023-09-01T00:00:00"/>
    <s v="September"/>
    <s v="Edo"/>
    <x v="4"/>
    <s v="Surgery"/>
    <s v="Lab Test"/>
    <s v="Male"/>
    <n v="4"/>
    <n v="4"/>
    <n v="0"/>
    <n v="4"/>
    <n v="1"/>
  </r>
  <r>
    <s v="2023-07"/>
    <d v="2023-07-01T00:00:00"/>
    <s v="July"/>
    <s v="Lagos"/>
    <x v="15"/>
    <s v="Pediatrics"/>
    <s v="Surgery"/>
    <s v="Male"/>
    <n v="7"/>
    <n v="7"/>
    <n v="1"/>
    <n v="1.6"/>
    <n v="1"/>
  </r>
  <r>
    <s v="2023-01"/>
    <d v="2023-01-01T00:00:00"/>
    <s v="January"/>
    <s v="Borno"/>
    <x v="13"/>
    <s v="Maternity"/>
    <s v="Admission"/>
    <s v="Male"/>
    <n v="2"/>
    <n v="2"/>
    <n v="0"/>
    <n v="3.1"/>
    <n v="1"/>
  </r>
  <r>
    <s v="2023-08"/>
    <d v="2023-08-01T00:00:00"/>
    <s v="August"/>
    <s v="Kano"/>
    <x v="7"/>
    <s v="Surgery"/>
    <s v="Medication"/>
    <s v="Female"/>
    <n v="3"/>
    <n v="3"/>
    <n v="0"/>
    <n v="2.4"/>
    <n v="1"/>
  </r>
  <r>
    <s v="2023-07"/>
    <d v="2023-07-01T00:00:00"/>
    <s v="July"/>
    <s v="Kaduna"/>
    <x v="6"/>
    <s v="Outpatient"/>
    <s v="Delivery"/>
    <s v="Female"/>
    <n v="1"/>
    <n v="1"/>
    <n v="0"/>
    <n v="3.5"/>
    <n v="1"/>
  </r>
  <r>
    <s v="2023-11"/>
    <d v="2023-11-01T00:00:00"/>
    <s v="November"/>
    <s v="Edo"/>
    <x v="11"/>
    <s v="Internal Medicine"/>
    <s v="Medication"/>
    <s v="Male"/>
    <n v="6"/>
    <n v="5"/>
    <n v="0"/>
    <n v="2.8"/>
    <n v="0.83333333333333337"/>
  </r>
  <r>
    <s v="2023-03"/>
    <d v="2023-03-01T00:00:00"/>
    <s v="March"/>
    <s v="Delta"/>
    <x v="0"/>
    <s v="Surgery"/>
    <s v="Admission"/>
    <s v="Female"/>
    <n v="5"/>
    <n v="3"/>
    <n v="0"/>
    <n v="4"/>
    <n v="0.6"/>
  </r>
  <r>
    <s v="2023-03"/>
    <d v="2023-03-01T00:00:00"/>
    <s v="March"/>
    <s v="Lagos"/>
    <x v="15"/>
    <s v="Surgery"/>
    <s v="Lab Test"/>
    <s v="Female"/>
    <n v="2"/>
    <n v="2"/>
    <n v="0"/>
    <n v="3.2"/>
    <n v="1"/>
  </r>
  <r>
    <s v="2023-05"/>
    <d v="2023-05-01T00:00:00"/>
    <s v="May"/>
    <s v="Lagos"/>
    <x v="15"/>
    <s v="Internal Medicine"/>
    <s v="Delivery"/>
    <s v="Male"/>
    <n v="8"/>
    <n v="7"/>
    <n v="1"/>
    <n v="2.2000000000000002"/>
    <n v="0.875"/>
  </r>
  <r>
    <s v="2023-09"/>
    <d v="2023-09-01T00:00:00"/>
    <s v="September"/>
    <s v="Anambra"/>
    <x v="19"/>
    <s v="Outpatient"/>
    <s v="Medication"/>
    <s v="Male"/>
    <n v="9"/>
    <n v="8"/>
    <n v="1"/>
    <n v="1.1000000000000001"/>
    <n v="0.88888888888888884"/>
  </r>
  <r>
    <s v="2023-05"/>
    <d v="2023-05-01T00:00:00"/>
    <s v="May"/>
    <s v="Kaduna"/>
    <x v="6"/>
    <s v="Maternity"/>
    <s v="Medication"/>
    <s v="Female"/>
    <n v="6"/>
    <n v="6"/>
    <n v="0"/>
    <n v="2.9"/>
    <n v="1"/>
  </r>
  <r>
    <s v="2023-07"/>
    <d v="2023-07-01T00:00:00"/>
    <s v="July"/>
    <s v="Kano"/>
    <x v="8"/>
    <s v="Emergency"/>
    <s v="Delivery"/>
    <s v="Male"/>
    <n v="9"/>
    <n v="8"/>
    <n v="0"/>
    <n v="4.7"/>
    <n v="0.88888888888888884"/>
  </r>
  <r>
    <s v="2023-09"/>
    <d v="2023-09-01T00:00:00"/>
    <s v="September"/>
    <s v="Borno"/>
    <x v="13"/>
    <s v="Emergency"/>
    <s v="Lab Test"/>
    <s v="Female"/>
    <n v="1"/>
    <n v="1"/>
    <n v="1"/>
    <n v="3.8"/>
    <n v="1"/>
  </r>
  <r>
    <s v="2023-10"/>
    <d v="2023-10-01T00:00:00"/>
    <s v="October"/>
    <s v="Rivers"/>
    <x v="18"/>
    <s v="Emergency"/>
    <s v="Surgery"/>
    <s v="Male"/>
    <n v="9"/>
    <n v="8"/>
    <n v="0"/>
    <n v="1.8"/>
    <n v="0.88888888888888884"/>
  </r>
  <r>
    <s v="2023-06"/>
    <d v="2023-06-01T00:00:00"/>
    <s v="June"/>
    <s v="Kano"/>
    <x v="7"/>
    <s v="Internal Medicine"/>
    <s v="Consultation"/>
    <s v="Male"/>
    <n v="5"/>
    <n v="5"/>
    <n v="1"/>
    <n v="3.9"/>
    <n v="1"/>
  </r>
  <r>
    <s v="2023-11"/>
    <d v="2023-11-01T00:00:00"/>
    <s v="November"/>
    <s v="Rivers"/>
    <x v="18"/>
    <s v="Outpatient"/>
    <s v="Surgery"/>
    <s v="Female"/>
    <n v="4"/>
    <n v="4"/>
    <n v="0"/>
    <n v="2.6"/>
    <n v="1"/>
  </r>
  <r>
    <s v="2023-08"/>
    <d v="2023-08-01T00:00:00"/>
    <s v="August"/>
    <s v="Borno"/>
    <x v="9"/>
    <s v="Maternity"/>
    <s v="Lab Test"/>
    <s v="Female"/>
    <n v="4"/>
    <n v="4"/>
    <n v="0"/>
    <n v="3.4"/>
    <n v="1"/>
  </r>
  <r>
    <s v="2023-02"/>
    <d v="2023-02-01T00:00:00"/>
    <s v="February"/>
    <s v="Lagos"/>
    <x v="3"/>
    <s v="Internal Medicine"/>
    <s v="Medication"/>
    <s v="Male"/>
    <n v="6"/>
    <n v="5"/>
    <n v="0"/>
    <n v="3.9"/>
    <n v="0.83333333333333337"/>
  </r>
  <r>
    <s v="2023-02"/>
    <d v="2023-02-01T00:00:00"/>
    <s v="February"/>
    <s v="Oyo"/>
    <x v="17"/>
    <s v="Pediatrics"/>
    <s v="Delivery"/>
    <s v="Female"/>
    <n v="5"/>
    <n v="4"/>
    <n v="1"/>
    <n v="3.4"/>
    <n v="0.8"/>
  </r>
  <r>
    <s v="2023-10"/>
    <d v="2023-10-01T00:00:00"/>
    <s v="October"/>
    <s v="Delta"/>
    <x v="12"/>
    <s v="Maternity"/>
    <s v="Lab Test"/>
    <s v="Female"/>
    <n v="7"/>
    <n v="7"/>
    <n v="0"/>
    <n v="3.2"/>
    <n v="1"/>
  </r>
  <r>
    <s v="2023-03"/>
    <d v="2023-03-01T00:00:00"/>
    <s v="March"/>
    <s v="Borno"/>
    <x v="9"/>
    <s v="Surgery"/>
    <s v="Medication"/>
    <s v="Male"/>
    <n v="3"/>
    <n v="3"/>
    <n v="0"/>
    <n v="1.3"/>
    <n v="1"/>
  </r>
  <r>
    <s v="2023-09"/>
    <d v="2023-09-01T00:00:00"/>
    <s v="September"/>
    <s v="Anambra"/>
    <x v="2"/>
    <s v="Surgery"/>
    <s v="Consultation"/>
    <s v="Male"/>
    <n v="7"/>
    <n v="7"/>
    <n v="0"/>
    <n v="2.5"/>
    <n v="1"/>
  </r>
  <r>
    <s v="2023-06"/>
    <d v="2023-06-01T00:00:00"/>
    <s v="June"/>
    <s v="Edo"/>
    <x v="11"/>
    <s v="Internal Medicine"/>
    <s v="Delivery"/>
    <s v="Female"/>
    <n v="2"/>
    <n v="2"/>
    <n v="0"/>
    <n v="5.4"/>
    <n v="1"/>
  </r>
  <r>
    <s v="2023-06"/>
    <d v="2023-06-01T00:00:00"/>
    <s v="June"/>
    <s v="Anambra"/>
    <x v="19"/>
    <s v="Pediatrics"/>
    <s v="Admission"/>
    <s v="Male"/>
    <n v="3"/>
    <n v="3"/>
    <n v="0"/>
    <n v="3.4"/>
    <n v="1"/>
  </r>
  <r>
    <s v="2023-10"/>
    <d v="2023-10-01T00:00:00"/>
    <s v="October"/>
    <s v="FCT"/>
    <x v="1"/>
    <s v="Maternity"/>
    <s v="Admission"/>
    <s v="Male"/>
    <n v="4"/>
    <n v="4"/>
    <n v="0"/>
    <n v="2.9"/>
    <n v="1"/>
  </r>
  <r>
    <s v="2023-11"/>
    <d v="2023-11-01T00:00:00"/>
    <s v="November"/>
    <s v="Delta"/>
    <x v="12"/>
    <s v="Internal Medicine"/>
    <s v="Medication"/>
    <s v="Male"/>
    <n v="3"/>
    <n v="3"/>
    <n v="0"/>
    <n v="2.4"/>
    <n v="1"/>
  </r>
  <r>
    <s v="2023-11"/>
    <d v="2023-11-01T00:00:00"/>
    <s v="November"/>
    <s v="Rivers"/>
    <x v="18"/>
    <s v="Surgery"/>
    <s v="Admission"/>
    <s v="Male"/>
    <n v="3"/>
    <n v="3"/>
    <n v="0"/>
    <n v="4.5999999999999996"/>
    <n v="1"/>
  </r>
  <r>
    <s v="2023-02"/>
    <d v="2023-02-01T00:00:00"/>
    <s v="February"/>
    <s v="Kano"/>
    <x v="7"/>
    <s v="Internal Medicine"/>
    <s v="Delivery"/>
    <s v="Male"/>
    <n v="6"/>
    <n v="4"/>
    <n v="0"/>
    <n v="3.8"/>
    <n v="0.66666666666666663"/>
  </r>
  <r>
    <s v="2023-10"/>
    <d v="2023-10-01T00:00:00"/>
    <s v="October"/>
    <s v="Anambra"/>
    <x v="2"/>
    <s v="Surgery"/>
    <s v="Delivery"/>
    <s v="Male"/>
    <n v="7"/>
    <n v="6"/>
    <n v="0"/>
    <n v="4.4000000000000004"/>
    <n v="0.8571428571428571"/>
  </r>
  <r>
    <s v="2023-04"/>
    <d v="2023-04-01T00:00:00"/>
    <s v="April"/>
    <s v="Oyo"/>
    <x v="17"/>
    <s v="Internal Medicine"/>
    <s v="Consultation"/>
    <s v="Female"/>
    <n v="4"/>
    <n v="4"/>
    <n v="0"/>
    <n v="1.4"/>
    <n v="1"/>
  </r>
  <r>
    <s v="2023-03"/>
    <d v="2023-03-01T00:00:00"/>
    <s v="March"/>
    <s v="Oyo"/>
    <x v="14"/>
    <s v="Outpatient"/>
    <s v="Delivery"/>
    <s v="Female"/>
    <n v="6"/>
    <n v="6"/>
    <n v="1"/>
    <n v="3.8"/>
    <n v="1"/>
  </r>
  <r>
    <s v="2023-03"/>
    <d v="2023-03-01T00:00:00"/>
    <s v="March"/>
    <s v="FCT"/>
    <x v="16"/>
    <s v="Surgery"/>
    <s v="Lab Test"/>
    <s v="Male"/>
    <n v="4"/>
    <n v="4"/>
    <n v="0"/>
    <n v="4.0999999999999996"/>
    <n v="1"/>
  </r>
  <r>
    <s v="2023-06"/>
    <d v="2023-06-01T00:00:00"/>
    <s v="June"/>
    <s v="FCT"/>
    <x v="1"/>
    <s v="Internal Medicine"/>
    <s v="Consultation"/>
    <s v="Female"/>
    <n v="4"/>
    <n v="4"/>
    <n v="0"/>
    <n v="2.6"/>
    <n v="1"/>
  </r>
  <r>
    <s v="2023-10"/>
    <d v="2023-10-01T00:00:00"/>
    <s v="October"/>
    <s v="Edo"/>
    <x v="11"/>
    <s v="Maternity"/>
    <s v="Consultation"/>
    <s v="Male"/>
    <n v="2"/>
    <n v="2"/>
    <n v="0"/>
    <n v="4.5"/>
    <n v="1"/>
  </r>
  <r>
    <s v="2023-12"/>
    <d v="2023-12-01T00:00:00"/>
    <s v="December"/>
    <s v="FCT"/>
    <x v="1"/>
    <s v="Outpatient"/>
    <s v="Consultation"/>
    <s v="Male"/>
    <n v="6"/>
    <n v="4"/>
    <n v="1"/>
    <n v="3.2"/>
    <n v="0.66666666666666663"/>
  </r>
  <r>
    <s v="2023-03"/>
    <d v="2023-03-01T00:00:00"/>
    <s v="March"/>
    <s v="Lagos"/>
    <x v="15"/>
    <s v="Outpatient"/>
    <s v="Admission"/>
    <s v="Female"/>
    <n v="7"/>
    <n v="6"/>
    <n v="1"/>
    <n v="3.4"/>
    <n v="0.8571428571428571"/>
  </r>
  <r>
    <s v="2023-08"/>
    <d v="2023-08-01T00:00:00"/>
    <s v="August"/>
    <s v="Borno"/>
    <x v="13"/>
    <s v="Surgery"/>
    <s v="Delivery"/>
    <s v="Female"/>
    <n v="3"/>
    <n v="1"/>
    <n v="0"/>
    <n v="4.2"/>
    <n v="0.33333333333333331"/>
  </r>
  <r>
    <s v="2023-10"/>
    <d v="2023-10-01T00:00:00"/>
    <s v="October"/>
    <s v="Rivers"/>
    <x v="10"/>
    <s v="Surgery"/>
    <s v="Medication"/>
    <s v="Female"/>
    <n v="5"/>
    <n v="4"/>
    <n v="0"/>
    <n v="2.5"/>
    <n v="0.8"/>
  </r>
  <r>
    <s v="2023-08"/>
    <d v="2023-08-01T00:00:00"/>
    <s v="August"/>
    <s v="FCT"/>
    <x v="1"/>
    <s v="Pediatrics"/>
    <s v="Admission"/>
    <s v="Female"/>
    <n v="4"/>
    <n v="4"/>
    <n v="0"/>
    <n v="2.5"/>
    <n v="1"/>
  </r>
  <r>
    <s v="2023-08"/>
    <d v="2023-08-01T00:00:00"/>
    <s v="August"/>
    <s v="Lagos"/>
    <x v="15"/>
    <s v="Maternity"/>
    <s v="Admission"/>
    <s v="Male"/>
    <n v="4"/>
    <n v="4"/>
    <n v="0"/>
    <n v="2"/>
    <n v="1"/>
  </r>
  <r>
    <s v="2023-01"/>
    <d v="2023-01-01T00:00:00"/>
    <s v="January"/>
    <s v="Borno"/>
    <x v="9"/>
    <s v="Surgery"/>
    <s v="Consultation"/>
    <s v="Female"/>
    <n v="4"/>
    <n v="3"/>
    <n v="0"/>
    <n v="2.9"/>
    <n v="0.75"/>
  </r>
  <r>
    <s v="2023-01"/>
    <d v="2023-01-01T00:00:00"/>
    <s v="January"/>
    <s v="Oyo"/>
    <x v="17"/>
    <s v="Outpatient"/>
    <s v="Medication"/>
    <s v="Male"/>
    <n v="10"/>
    <n v="7"/>
    <n v="1"/>
    <n v="2.6"/>
    <n v="0.7"/>
  </r>
  <r>
    <s v="2023-01"/>
    <d v="2023-01-01T00:00:00"/>
    <s v="January"/>
    <s v="Rivers"/>
    <x v="10"/>
    <s v="Maternity"/>
    <s v="Surgery"/>
    <s v="Male"/>
    <n v="3"/>
    <n v="3"/>
    <n v="0"/>
    <n v="2.8"/>
    <n v="1"/>
  </r>
  <r>
    <s v="2023-04"/>
    <d v="2023-04-01T00:00:00"/>
    <s v="April"/>
    <s v="Rivers"/>
    <x v="10"/>
    <s v="Maternity"/>
    <s v="Medication"/>
    <s v="Male"/>
    <n v="5"/>
    <n v="5"/>
    <n v="1"/>
    <n v="3.3"/>
    <n v="1"/>
  </r>
  <r>
    <s v="2023-07"/>
    <d v="2023-07-01T00:00:00"/>
    <s v="July"/>
    <s v="Kaduna"/>
    <x v="5"/>
    <s v="Pediatrics"/>
    <s v="Admission"/>
    <s v="Male"/>
    <n v="3"/>
    <n v="2"/>
    <n v="0"/>
    <n v="2.4"/>
    <n v="0.66666666666666663"/>
  </r>
  <r>
    <s v="2023-03"/>
    <d v="2023-03-01T00:00:00"/>
    <s v="March"/>
    <s v="Borno"/>
    <x v="9"/>
    <s v="Surgery"/>
    <s v="Admission"/>
    <s v="Male"/>
    <n v="7"/>
    <n v="6"/>
    <n v="2"/>
    <n v="2.5"/>
    <n v="0.8571428571428571"/>
  </r>
  <r>
    <s v="2023-02"/>
    <d v="2023-02-01T00:00:00"/>
    <s v="February"/>
    <s v="FCT"/>
    <x v="16"/>
    <s v="Emergency"/>
    <s v="Admission"/>
    <s v="Male"/>
    <n v="1"/>
    <n v="1"/>
    <n v="0"/>
    <n v="2.9"/>
    <n v="1"/>
  </r>
  <r>
    <s v="2023-09"/>
    <d v="2023-09-01T00:00:00"/>
    <s v="September"/>
    <s v="Kano"/>
    <x v="8"/>
    <s v="Internal Medicine"/>
    <s v="Medication"/>
    <s v="Female"/>
    <n v="3"/>
    <n v="3"/>
    <n v="0"/>
    <n v="1.9"/>
    <n v="1"/>
  </r>
  <r>
    <s v="2023-05"/>
    <d v="2023-05-01T00:00:00"/>
    <s v="May"/>
    <s v="Edo"/>
    <x v="4"/>
    <s v="Maternity"/>
    <s v="Consultation"/>
    <s v="Male"/>
    <n v="8"/>
    <n v="6"/>
    <n v="2"/>
    <n v="0"/>
    <n v="0.75"/>
  </r>
  <r>
    <s v="2023-02"/>
    <d v="2023-02-01T00:00:00"/>
    <s v="February"/>
    <s v="Rivers"/>
    <x v="18"/>
    <s v="Internal Medicine"/>
    <s v="Admission"/>
    <s v="Female"/>
    <n v="4"/>
    <n v="4"/>
    <n v="0"/>
    <n v="3.6"/>
    <n v="1"/>
  </r>
  <r>
    <s v="2023-06"/>
    <d v="2023-06-01T00:00:00"/>
    <s v="June"/>
    <s v="Kano"/>
    <x v="7"/>
    <s v="Emergency"/>
    <s v="Consultation"/>
    <s v="Female"/>
    <n v="3"/>
    <n v="3"/>
    <n v="0"/>
    <n v="1.3"/>
    <n v="1"/>
  </r>
  <r>
    <s v="2023-07"/>
    <d v="2023-07-01T00:00:00"/>
    <s v="July"/>
    <s v="Oyo"/>
    <x v="17"/>
    <s v="Pediatrics"/>
    <s v="Medication"/>
    <s v="Male"/>
    <n v="5"/>
    <n v="5"/>
    <n v="1"/>
    <n v="3.1"/>
    <n v="1"/>
  </r>
  <r>
    <s v="2023-03"/>
    <d v="2023-03-01T00:00:00"/>
    <s v="March"/>
    <s v="Edo"/>
    <x v="11"/>
    <s v="Outpatient"/>
    <s v="Lab Test"/>
    <s v="Male"/>
    <n v="0"/>
    <n v="0"/>
    <n v="0"/>
    <n v="3"/>
    <n v="0"/>
  </r>
  <r>
    <s v="2023-12"/>
    <d v="2023-12-01T00:00:00"/>
    <s v="December"/>
    <s v="FCT"/>
    <x v="16"/>
    <s v="Surgery"/>
    <s v="Surgery"/>
    <s v="Male"/>
    <n v="1"/>
    <n v="1"/>
    <n v="0"/>
    <n v="3.6"/>
    <n v="1"/>
  </r>
  <r>
    <s v="2023-10"/>
    <d v="2023-10-01T00:00:00"/>
    <s v="October"/>
    <s v="Delta"/>
    <x v="12"/>
    <s v="Outpatient"/>
    <s v="Surgery"/>
    <s v="Male"/>
    <n v="6"/>
    <n v="4"/>
    <n v="1"/>
    <n v="5.5"/>
    <n v="0.66666666666666663"/>
  </r>
  <r>
    <s v="2023-08"/>
    <d v="2023-08-01T00:00:00"/>
    <s v="August"/>
    <s v="Borno"/>
    <x v="9"/>
    <s v="Internal Medicine"/>
    <s v="Consultation"/>
    <s v="Male"/>
    <n v="8"/>
    <n v="8"/>
    <n v="0"/>
    <n v="3"/>
    <n v="1"/>
  </r>
  <r>
    <s v="2023-05"/>
    <d v="2023-05-01T00:00:00"/>
    <s v="May"/>
    <s v="Borno"/>
    <x v="9"/>
    <s v="Pediatrics"/>
    <s v="Delivery"/>
    <s v="Male"/>
    <n v="7"/>
    <n v="7"/>
    <n v="0"/>
    <n v="3.2"/>
    <n v="1"/>
  </r>
  <r>
    <s v="2023-01"/>
    <d v="2023-01-01T00:00:00"/>
    <s v="January"/>
    <s v="Kaduna"/>
    <x v="6"/>
    <s v="Outpatient"/>
    <s v="Surgery"/>
    <s v="Female"/>
    <n v="8"/>
    <n v="8"/>
    <n v="0"/>
    <n v="5.2"/>
    <n v="1"/>
  </r>
  <r>
    <s v="2023-11"/>
    <d v="2023-11-01T00:00:00"/>
    <s v="November"/>
    <s v="Kaduna"/>
    <x v="5"/>
    <s v="Emergency"/>
    <s v="Medication"/>
    <s v="Male"/>
    <n v="7"/>
    <n v="5"/>
    <n v="2"/>
    <n v="1.1000000000000001"/>
    <n v="0.7142857142857143"/>
  </r>
  <r>
    <s v="2023-06"/>
    <d v="2023-06-01T00:00:00"/>
    <s v="June"/>
    <s v="Kaduna"/>
    <x v="6"/>
    <s v="Pediatrics"/>
    <s v="Medication"/>
    <s v="Female"/>
    <n v="4"/>
    <n v="4"/>
    <n v="0"/>
    <n v="2.4"/>
    <n v="1"/>
  </r>
  <r>
    <s v="2023-01"/>
    <d v="2023-01-01T00:00:00"/>
    <s v="January"/>
    <s v="Oyo"/>
    <x v="17"/>
    <s v="Outpatient"/>
    <s v="Surgery"/>
    <s v="Female"/>
    <n v="4"/>
    <n v="4"/>
    <n v="1"/>
    <n v="1.7"/>
    <n v="1"/>
  </r>
  <r>
    <s v="2023-04"/>
    <d v="2023-04-01T00:00:00"/>
    <s v="April"/>
    <s v="Borno"/>
    <x v="9"/>
    <s v="Surgery"/>
    <s v="Consultation"/>
    <s v="Female"/>
    <n v="6"/>
    <n v="5"/>
    <n v="0"/>
    <n v="0.9"/>
    <n v="0.83333333333333337"/>
  </r>
  <r>
    <s v="2023-10"/>
    <d v="2023-10-01T00:00:00"/>
    <s v="October"/>
    <s v="Rivers"/>
    <x v="18"/>
    <s v="Maternity"/>
    <s v="Surgery"/>
    <s v="Male"/>
    <n v="4"/>
    <n v="3"/>
    <n v="0"/>
    <n v="2.6"/>
    <n v="0.75"/>
  </r>
  <r>
    <s v="2023-11"/>
    <d v="2023-11-01T00:00:00"/>
    <s v="November"/>
    <s v="Kano"/>
    <x v="7"/>
    <s v="Maternity"/>
    <s v="Consultation"/>
    <s v="Male"/>
    <n v="3"/>
    <n v="3"/>
    <n v="0"/>
    <n v="2.7"/>
    <n v="1"/>
  </r>
  <r>
    <s v="2023-01"/>
    <d v="2023-01-01T00:00:00"/>
    <s v="January"/>
    <s v="Rivers"/>
    <x v="10"/>
    <s v="Pediatrics"/>
    <s v="Consultation"/>
    <s v="Male"/>
    <n v="3"/>
    <n v="3"/>
    <n v="0"/>
    <n v="2.4"/>
    <n v="1"/>
  </r>
  <r>
    <s v="2023-01"/>
    <d v="2023-01-01T00:00:00"/>
    <s v="January"/>
    <s v="Rivers"/>
    <x v="18"/>
    <s v="Surgery"/>
    <s v="Surgery"/>
    <s v="Female"/>
    <n v="5"/>
    <n v="5"/>
    <n v="0"/>
    <n v="1.8"/>
    <n v="1"/>
  </r>
  <r>
    <s v="2023-07"/>
    <d v="2023-07-01T00:00:00"/>
    <s v="July"/>
    <s v="Edo"/>
    <x v="4"/>
    <s v="Surgery"/>
    <s v="Admission"/>
    <s v="Female"/>
    <n v="7"/>
    <n v="6"/>
    <n v="0"/>
    <n v="1.3"/>
    <n v="0.8571428571428571"/>
  </r>
  <r>
    <s v="2023-07"/>
    <d v="2023-07-01T00:00:00"/>
    <s v="July"/>
    <s v="Kaduna"/>
    <x v="5"/>
    <s v="Outpatient"/>
    <s v="Admission"/>
    <s v="Male"/>
    <n v="9"/>
    <n v="8"/>
    <n v="0"/>
    <n v="2.1"/>
    <n v="0.88888888888888884"/>
  </r>
  <r>
    <s v="2023-06"/>
    <d v="2023-06-01T00:00:00"/>
    <s v="June"/>
    <s v="Edo"/>
    <x v="4"/>
    <s v="Pediatrics"/>
    <s v="Admission"/>
    <s v="Male"/>
    <n v="6"/>
    <n v="5"/>
    <n v="1"/>
    <n v="4.9000000000000004"/>
    <n v="0.83333333333333337"/>
  </r>
  <r>
    <s v="2023-11"/>
    <d v="2023-11-01T00:00:00"/>
    <s v="November"/>
    <s v="Delta"/>
    <x v="0"/>
    <s v="Surgery"/>
    <s v="Consultation"/>
    <s v="Female"/>
    <n v="2"/>
    <n v="2"/>
    <n v="0"/>
    <n v="4"/>
    <n v="1"/>
  </r>
  <r>
    <s v="2023-04"/>
    <d v="2023-04-01T00:00:00"/>
    <s v="April"/>
    <s v="Oyo"/>
    <x v="17"/>
    <s v="Outpatient"/>
    <s v="Delivery"/>
    <s v="Female"/>
    <n v="4"/>
    <n v="4"/>
    <n v="1"/>
    <n v="3.4"/>
    <n v="1"/>
  </r>
  <r>
    <s v="2023-06"/>
    <d v="2023-06-01T00:00:00"/>
    <s v="June"/>
    <s v="Borno"/>
    <x v="13"/>
    <s v="Pediatrics"/>
    <s v="Delivery"/>
    <s v="Male"/>
    <n v="4"/>
    <n v="4"/>
    <n v="1"/>
    <n v="3.7"/>
    <n v="1"/>
  </r>
  <r>
    <s v="2023-03"/>
    <d v="2023-03-01T00:00:00"/>
    <s v="March"/>
    <s v="Oyo"/>
    <x v="14"/>
    <s v="Maternity"/>
    <s v="Consultation"/>
    <s v="Male"/>
    <n v="4"/>
    <n v="4"/>
    <n v="0"/>
    <n v="1.3"/>
    <n v="1"/>
  </r>
  <r>
    <s v="2023-07"/>
    <d v="2023-07-01T00:00:00"/>
    <s v="July"/>
    <s v="FCT"/>
    <x v="1"/>
    <s v="Pediatrics"/>
    <s v="Lab Test"/>
    <s v="Male"/>
    <n v="4"/>
    <n v="4"/>
    <n v="0"/>
    <n v="2.5"/>
    <n v="1"/>
  </r>
  <r>
    <s v="2023-07"/>
    <d v="2023-07-01T00:00:00"/>
    <s v="July"/>
    <s v="Kano"/>
    <x v="8"/>
    <s v="Maternity"/>
    <s v="Delivery"/>
    <s v="Female"/>
    <n v="8"/>
    <n v="8"/>
    <n v="0"/>
    <n v="2.4"/>
    <n v="1"/>
  </r>
  <r>
    <s v="2023-05"/>
    <d v="2023-05-01T00:00:00"/>
    <s v="May"/>
    <s v="Borno"/>
    <x v="9"/>
    <s v="Outpatient"/>
    <s v="Lab Test"/>
    <s v="Female"/>
    <n v="6"/>
    <n v="5"/>
    <n v="0"/>
    <n v="2.6"/>
    <n v="0.83333333333333337"/>
  </r>
  <r>
    <s v="2023-12"/>
    <d v="2023-12-01T00:00:00"/>
    <s v="December"/>
    <s v="Borno"/>
    <x v="13"/>
    <s v="Surgery"/>
    <s v="Surgery"/>
    <s v="Male"/>
    <n v="6"/>
    <n v="5"/>
    <n v="0"/>
    <n v="3.5"/>
    <n v="0.83333333333333337"/>
  </r>
  <r>
    <s v="2023-03"/>
    <d v="2023-03-01T00:00:00"/>
    <s v="March"/>
    <s v="Borno"/>
    <x v="9"/>
    <s v="Maternity"/>
    <s v="Consultation"/>
    <s v="Male"/>
    <n v="6"/>
    <n v="6"/>
    <n v="1"/>
    <n v="4.0999999999999996"/>
    <n v="1"/>
  </r>
  <r>
    <s v="2023-08"/>
    <d v="2023-08-01T00:00:00"/>
    <s v="August"/>
    <s v="Rivers"/>
    <x v="18"/>
    <s v="Emergency"/>
    <s v="Admission"/>
    <s v="Female"/>
    <n v="4"/>
    <n v="3"/>
    <n v="0"/>
    <n v="3.3"/>
    <n v="0.75"/>
  </r>
  <r>
    <s v="2023-09"/>
    <d v="2023-09-01T00:00:00"/>
    <s v="September"/>
    <s v="FCT"/>
    <x v="16"/>
    <s v="Internal Medicine"/>
    <s v="Lab Test"/>
    <s v="Male"/>
    <n v="4"/>
    <n v="3"/>
    <n v="0"/>
    <n v="1.1000000000000001"/>
    <n v="0.75"/>
  </r>
  <r>
    <s v="2023-08"/>
    <d v="2023-08-01T00:00:00"/>
    <s v="August"/>
    <s v="Kano"/>
    <x v="7"/>
    <s v="Pediatrics"/>
    <s v="Medication"/>
    <s v="Male"/>
    <n v="4"/>
    <n v="4"/>
    <n v="0"/>
    <n v="1.2"/>
    <n v="1"/>
  </r>
  <r>
    <s v="2023-03"/>
    <d v="2023-03-01T00:00:00"/>
    <s v="March"/>
    <s v="Kano"/>
    <x v="8"/>
    <s v="Pediatrics"/>
    <s v="Consultation"/>
    <s v="Female"/>
    <n v="4"/>
    <n v="3"/>
    <n v="1"/>
    <n v="0.8"/>
    <n v="0.75"/>
  </r>
  <r>
    <s v="2023-08"/>
    <d v="2023-08-01T00:00:00"/>
    <s v="August"/>
    <s v="Borno"/>
    <x v="13"/>
    <s v="Pediatrics"/>
    <s v="Lab Test"/>
    <s v="Male"/>
    <n v="3"/>
    <n v="2"/>
    <n v="0"/>
    <n v="2.8"/>
    <n v="0.66666666666666663"/>
  </r>
  <r>
    <s v="2023-05"/>
    <d v="2023-05-01T00:00:00"/>
    <s v="May"/>
    <s v="Kaduna"/>
    <x v="6"/>
    <s v="Internal Medicine"/>
    <s v="Lab Test"/>
    <s v="Male"/>
    <n v="5"/>
    <n v="5"/>
    <n v="0"/>
    <n v="4.2"/>
    <n v="1"/>
  </r>
  <r>
    <s v="2023-11"/>
    <d v="2023-11-01T00:00:00"/>
    <s v="November"/>
    <s v="Edo"/>
    <x v="4"/>
    <s v="Outpatient"/>
    <s v="Admission"/>
    <s v="Male"/>
    <n v="3"/>
    <n v="3"/>
    <n v="0"/>
    <n v="2.5"/>
    <n v="1"/>
  </r>
  <r>
    <s v="2023-06"/>
    <d v="2023-06-01T00:00:00"/>
    <s v="June"/>
    <s v="Rivers"/>
    <x v="18"/>
    <s v="Internal Medicine"/>
    <s v="Consultation"/>
    <s v="Male"/>
    <n v="3"/>
    <n v="2"/>
    <n v="0"/>
    <n v="4"/>
    <n v="0.66666666666666663"/>
  </r>
  <r>
    <s v="2023-03"/>
    <d v="2023-03-01T00:00:00"/>
    <s v="March"/>
    <s v="Kano"/>
    <x v="8"/>
    <s v="Pediatrics"/>
    <s v="Medication"/>
    <s v="Male"/>
    <n v="5"/>
    <n v="5"/>
    <n v="0"/>
    <n v="1.9"/>
    <n v="1"/>
  </r>
  <r>
    <s v="2023-02"/>
    <d v="2023-02-01T00:00:00"/>
    <s v="February"/>
    <s v="Rivers"/>
    <x v="10"/>
    <s v="Outpatient"/>
    <s v="Lab Test"/>
    <s v="Male"/>
    <n v="7"/>
    <n v="6"/>
    <n v="1"/>
    <n v="3.5"/>
    <n v="0.8571428571428571"/>
  </r>
  <r>
    <s v="2023-03"/>
    <d v="2023-03-01T00:00:00"/>
    <s v="March"/>
    <s v="Edo"/>
    <x v="11"/>
    <s v="Emergency"/>
    <s v="Consultation"/>
    <s v="Male"/>
    <n v="4"/>
    <n v="4"/>
    <n v="0"/>
    <n v="2.2000000000000002"/>
    <n v="1"/>
  </r>
  <r>
    <s v="2023-06"/>
    <d v="2023-06-01T00:00:00"/>
    <s v="June"/>
    <s v="Borno"/>
    <x v="9"/>
    <s v="Maternity"/>
    <s v="Lab Test"/>
    <s v="Female"/>
    <n v="4"/>
    <n v="3"/>
    <n v="0"/>
    <n v="3.6"/>
    <n v="0.75"/>
  </r>
  <r>
    <s v="2023-12"/>
    <d v="2023-12-01T00:00:00"/>
    <s v="December"/>
    <s v="FCT"/>
    <x v="16"/>
    <s v="Internal Medicine"/>
    <s v="Delivery"/>
    <s v="Female"/>
    <n v="4"/>
    <n v="3"/>
    <n v="0"/>
    <n v="2.2000000000000002"/>
    <n v="0.75"/>
  </r>
  <r>
    <s v="2023-09"/>
    <d v="2023-09-01T00:00:00"/>
    <s v="September"/>
    <s v="Rivers"/>
    <x v="10"/>
    <s v="Internal Medicine"/>
    <s v="Admission"/>
    <s v="Male"/>
    <n v="5"/>
    <n v="5"/>
    <n v="0"/>
    <n v="4.0999999999999996"/>
    <n v="1"/>
  </r>
  <r>
    <s v="2023-09"/>
    <d v="2023-09-01T00:00:00"/>
    <s v="September"/>
    <s v="FCT"/>
    <x v="1"/>
    <s v="Emergency"/>
    <s v="Admission"/>
    <s v="Male"/>
    <n v="6"/>
    <n v="4"/>
    <n v="0"/>
    <n v="3.2"/>
    <n v="0.66666666666666663"/>
  </r>
  <r>
    <s v="2023-02"/>
    <d v="2023-02-01T00:00:00"/>
    <s v="February"/>
    <s v="Anambra"/>
    <x v="2"/>
    <s v="Emergency"/>
    <s v="Consultation"/>
    <s v="Male"/>
    <n v="3"/>
    <n v="3"/>
    <n v="0"/>
    <n v="3.4"/>
    <n v="1"/>
  </r>
  <r>
    <s v="2023-06"/>
    <d v="2023-06-01T00:00:00"/>
    <s v="June"/>
    <s v="Borno"/>
    <x v="9"/>
    <s v="Maternity"/>
    <s v="Delivery"/>
    <s v="Male"/>
    <n v="3"/>
    <n v="3"/>
    <n v="0"/>
    <n v="4.3"/>
    <n v="1"/>
  </r>
  <r>
    <s v="2023-06"/>
    <d v="2023-06-01T00:00:00"/>
    <s v="June"/>
    <s v="Anambra"/>
    <x v="2"/>
    <s v="Outpatient"/>
    <s v="Delivery"/>
    <s v="Female"/>
    <n v="5"/>
    <n v="5"/>
    <n v="1"/>
    <n v="1.7"/>
    <n v="1"/>
  </r>
  <r>
    <s v="2023-09"/>
    <d v="2023-09-01T00:00:00"/>
    <s v="September"/>
    <s v="Delta"/>
    <x v="12"/>
    <s v="Internal Medicine"/>
    <s v="Admission"/>
    <s v="Female"/>
    <n v="9"/>
    <n v="7"/>
    <n v="0"/>
    <n v="3.1"/>
    <n v="0.77777777777777779"/>
  </r>
  <r>
    <s v="2023-07"/>
    <d v="2023-07-01T00:00:00"/>
    <s v="July"/>
    <s v="Borno"/>
    <x v="13"/>
    <s v="Outpatient"/>
    <s v="Consultation"/>
    <s v="Female"/>
    <n v="8"/>
    <n v="6"/>
    <n v="1"/>
    <n v="3.1"/>
    <n v="0.75"/>
  </r>
  <r>
    <s v="2023-10"/>
    <d v="2023-10-01T00:00:00"/>
    <s v="October"/>
    <s v="Kano"/>
    <x v="8"/>
    <s v="Maternity"/>
    <s v="Surgery"/>
    <s v="Male"/>
    <n v="2"/>
    <n v="1"/>
    <n v="0"/>
    <n v="2"/>
    <n v="0.5"/>
  </r>
  <r>
    <s v="2023-12"/>
    <d v="2023-12-01T00:00:00"/>
    <s v="December"/>
    <s v="Rivers"/>
    <x v="10"/>
    <s v="Surgery"/>
    <s v="Lab Test"/>
    <s v="Male"/>
    <n v="3"/>
    <n v="3"/>
    <n v="0"/>
    <n v="3.9"/>
    <n v="1"/>
  </r>
  <r>
    <s v="2023-07"/>
    <d v="2023-07-01T00:00:00"/>
    <s v="July"/>
    <s v="Anambra"/>
    <x v="2"/>
    <s v="Surgery"/>
    <s v="Delivery"/>
    <s v="Male"/>
    <n v="4"/>
    <n v="4"/>
    <n v="1"/>
    <n v="3.8"/>
    <n v="1"/>
  </r>
  <r>
    <s v="2023-09"/>
    <d v="2023-09-01T00:00:00"/>
    <s v="September"/>
    <s v="Edo"/>
    <x v="4"/>
    <s v="Internal Medicine"/>
    <s v="Delivery"/>
    <s v="Male"/>
    <n v="8"/>
    <n v="5"/>
    <n v="2"/>
    <n v="2.4"/>
    <n v="0.625"/>
  </r>
  <r>
    <s v="2023-08"/>
    <d v="2023-08-01T00:00:00"/>
    <s v="August"/>
    <s v="Delta"/>
    <x v="0"/>
    <s v="Outpatient"/>
    <s v="Consultation"/>
    <s v="Male"/>
    <n v="2"/>
    <n v="2"/>
    <n v="0"/>
    <n v="2.2999999999999998"/>
    <n v="1"/>
  </r>
  <r>
    <s v="2023-09"/>
    <d v="2023-09-01T00:00:00"/>
    <s v="September"/>
    <s v="Kano"/>
    <x v="8"/>
    <s v="Emergency"/>
    <s v="Lab Test"/>
    <s v="Female"/>
    <n v="7"/>
    <n v="7"/>
    <n v="0"/>
    <n v="2.8"/>
    <n v="1"/>
  </r>
  <r>
    <s v="2023-05"/>
    <d v="2023-05-01T00:00:00"/>
    <s v="May"/>
    <s v="Anambra"/>
    <x v="19"/>
    <s v="Surgery"/>
    <s v="Admission"/>
    <s v="Male"/>
    <n v="7"/>
    <n v="7"/>
    <n v="0"/>
    <n v="2.4"/>
    <n v="1"/>
  </r>
  <r>
    <s v="2023-04"/>
    <d v="2023-04-01T00:00:00"/>
    <s v="April"/>
    <s v="Oyo"/>
    <x v="14"/>
    <s v="Maternity"/>
    <s v="Delivery"/>
    <s v="Male"/>
    <n v="9"/>
    <n v="8"/>
    <n v="0"/>
    <n v="3.2"/>
    <n v="0.88888888888888884"/>
  </r>
  <r>
    <s v="2023-02"/>
    <d v="2023-02-01T00:00:00"/>
    <s v="February"/>
    <s v="Rivers"/>
    <x v="18"/>
    <s v="Emergency"/>
    <s v="Surgery"/>
    <s v="Male"/>
    <n v="2"/>
    <n v="2"/>
    <n v="0"/>
    <n v="2.2999999999999998"/>
    <n v="1"/>
  </r>
  <r>
    <s v="2023-01"/>
    <d v="2023-01-01T00:00:00"/>
    <s v="January"/>
    <s v="Delta"/>
    <x v="12"/>
    <s v="Internal Medicine"/>
    <s v="Consultation"/>
    <s v="Male"/>
    <n v="7"/>
    <n v="6"/>
    <n v="0"/>
    <n v="2.2999999999999998"/>
    <n v="0.8571428571428571"/>
  </r>
  <r>
    <s v="2023-08"/>
    <d v="2023-08-01T00:00:00"/>
    <s v="August"/>
    <s v="Oyo"/>
    <x v="17"/>
    <s v="Emergency"/>
    <s v="Medication"/>
    <s v="Female"/>
    <n v="1"/>
    <n v="1"/>
    <n v="0"/>
    <n v="2.8"/>
    <n v="1"/>
  </r>
  <r>
    <s v="2023-01"/>
    <d v="2023-01-01T00:00:00"/>
    <s v="January"/>
    <s v="FCT"/>
    <x v="1"/>
    <s v="Surgery"/>
    <s v="Consultation"/>
    <s v="Female"/>
    <n v="7"/>
    <n v="7"/>
    <n v="0"/>
    <n v="3"/>
    <n v="1"/>
  </r>
  <r>
    <s v="2023-06"/>
    <d v="2023-06-01T00:00:00"/>
    <s v="June"/>
    <s v="Edo"/>
    <x v="4"/>
    <s v="Outpatient"/>
    <s v="Delivery"/>
    <s v="Male"/>
    <n v="7"/>
    <n v="6"/>
    <n v="0"/>
    <n v="3"/>
    <n v="0.8571428571428571"/>
  </r>
  <r>
    <s v="2023-10"/>
    <d v="2023-10-01T00:00:00"/>
    <s v="October"/>
    <s v="Kaduna"/>
    <x v="5"/>
    <s v="Maternity"/>
    <s v="Medication"/>
    <s v="Male"/>
    <n v="8"/>
    <n v="7"/>
    <n v="0"/>
    <n v="3.2"/>
    <n v="0.875"/>
  </r>
  <r>
    <s v="2023-02"/>
    <d v="2023-02-01T00:00:00"/>
    <s v="February"/>
    <s v="Rivers"/>
    <x v="10"/>
    <s v="Pediatrics"/>
    <s v="Medication"/>
    <s v="Female"/>
    <n v="7"/>
    <n v="7"/>
    <n v="0"/>
    <n v="4.5"/>
    <n v="1"/>
  </r>
  <r>
    <s v="2023-05"/>
    <d v="2023-05-01T00:00:00"/>
    <s v="May"/>
    <s v="Delta"/>
    <x v="12"/>
    <s v="Outpatient"/>
    <s v="Surgery"/>
    <s v="Male"/>
    <n v="5"/>
    <n v="5"/>
    <n v="0"/>
    <n v="2.7"/>
    <n v="1"/>
  </r>
  <r>
    <s v="2023-08"/>
    <d v="2023-08-01T00:00:00"/>
    <s v="August"/>
    <s v="Oyo"/>
    <x v="17"/>
    <s v="Emergency"/>
    <s v="Delivery"/>
    <s v="Female"/>
    <n v="6"/>
    <n v="5"/>
    <n v="0"/>
    <n v="3.9"/>
    <n v="0.83333333333333337"/>
  </r>
  <r>
    <s v="2023-09"/>
    <d v="2023-09-01T00:00:00"/>
    <s v="September"/>
    <s v="Edo"/>
    <x v="4"/>
    <s v="Outpatient"/>
    <s v="Surgery"/>
    <s v="Male"/>
    <n v="5"/>
    <n v="3"/>
    <n v="0"/>
    <n v="3.7"/>
    <n v="0.6"/>
  </r>
  <r>
    <s v="2023-04"/>
    <d v="2023-04-01T00:00:00"/>
    <s v="April"/>
    <s v="Delta"/>
    <x v="0"/>
    <s v="Surgery"/>
    <s v="Consultation"/>
    <s v="Male"/>
    <n v="5"/>
    <n v="5"/>
    <n v="0"/>
    <n v="1.7"/>
    <n v="1"/>
  </r>
  <r>
    <s v="2023-10"/>
    <d v="2023-10-01T00:00:00"/>
    <s v="October"/>
    <s v="FCT"/>
    <x v="1"/>
    <s v="Emergency"/>
    <s v="Lab Test"/>
    <s v="Male"/>
    <n v="1"/>
    <n v="1"/>
    <n v="0"/>
    <n v="1.8"/>
    <n v="1"/>
  </r>
  <r>
    <s v="2023-07"/>
    <d v="2023-07-01T00:00:00"/>
    <s v="July"/>
    <s v="Kaduna"/>
    <x v="6"/>
    <s v="Internal Medicine"/>
    <s v="Surgery"/>
    <s v="Male"/>
    <n v="3"/>
    <n v="3"/>
    <n v="0"/>
    <n v="4.3"/>
    <n v="1"/>
  </r>
  <r>
    <s v="2023-05"/>
    <d v="2023-05-01T00:00:00"/>
    <s v="May"/>
    <s v="Borno"/>
    <x v="9"/>
    <s v="Surgery"/>
    <s v="Lab Test"/>
    <s v="Female"/>
    <n v="8"/>
    <n v="6"/>
    <n v="1"/>
    <n v="2.4"/>
    <n v="0.75"/>
  </r>
  <r>
    <s v="2023-11"/>
    <d v="2023-11-01T00:00:00"/>
    <s v="November"/>
    <s v="Lagos"/>
    <x v="15"/>
    <s v="Maternity"/>
    <s v="Delivery"/>
    <s v="Female"/>
    <n v="6"/>
    <n v="6"/>
    <n v="0"/>
    <n v="4.9000000000000004"/>
    <n v="1"/>
  </r>
  <r>
    <s v="2023-11"/>
    <d v="2023-11-01T00:00:00"/>
    <s v="November"/>
    <s v="Oyo"/>
    <x v="14"/>
    <s v="Emergency"/>
    <s v="Lab Test"/>
    <s v="Male"/>
    <n v="2"/>
    <n v="2"/>
    <n v="0"/>
    <n v="4"/>
    <n v="1"/>
  </r>
  <r>
    <s v="2023-01"/>
    <d v="2023-01-01T00:00:00"/>
    <s v="January"/>
    <s v="Rivers"/>
    <x v="18"/>
    <s v="Emergency"/>
    <s v="Delivery"/>
    <s v="Male"/>
    <n v="4"/>
    <n v="4"/>
    <n v="0"/>
    <n v="2.2000000000000002"/>
    <n v="1"/>
  </r>
  <r>
    <s v="2023-05"/>
    <d v="2023-05-01T00:00:00"/>
    <s v="May"/>
    <s v="Lagos"/>
    <x v="15"/>
    <s v="Maternity"/>
    <s v="Surgery"/>
    <s v="Female"/>
    <n v="6"/>
    <n v="5"/>
    <n v="0"/>
    <n v="3"/>
    <n v="0.83333333333333337"/>
  </r>
  <r>
    <s v="2023-03"/>
    <d v="2023-03-01T00:00:00"/>
    <s v="March"/>
    <s v="FCT"/>
    <x v="1"/>
    <s v="Maternity"/>
    <s v="Consultation"/>
    <s v="Female"/>
    <n v="3"/>
    <n v="3"/>
    <n v="0"/>
    <n v="3.5"/>
    <n v="1"/>
  </r>
  <r>
    <s v="2023-09"/>
    <d v="2023-09-01T00:00:00"/>
    <s v="September"/>
    <s v="FCT"/>
    <x v="1"/>
    <s v="Internal Medicine"/>
    <s v="Medication"/>
    <s v="Female"/>
    <n v="6"/>
    <n v="6"/>
    <n v="0"/>
    <n v="3.5"/>
    <n v="1"/>
  </r>
  <r>
    <s v="2023-01"/>
    <d v="2023-01-01T00:00:00"/>
    <s v="January"/>
    <s v="Kaduna"/>
    <x v="5"/>
    <s v="Maternity"/>
    <s v="Lab Test"/>
    <s v="Male"/>
    <n v="3"/>
    <n v="3"/>
    <n v="1"/>
    <n v="3.4"/>
    <n v="1"/>
  </r>
  <r>
    <s v="2023-09"/>
    <d v="2023-09-01T00:00:00"/>
    <s v="September"/>
    <s v="Rivers"/>
    <x v="10"/>
    <s v="Maternity"/>
    <s v="Delivery"/>
    <s v="Male"/>
    <n v="4"/>
    <n v="4"/>
    <n v="0"/>
    <n v="2.2999999999999998"/>
    <n v="1"/>
  </r>
  <r>
    <s v="2023-12"/>
    <d v="2023-12-01T00:00:00"/>
    <s v="December"/>
    <s v="Lagos"/>
    <x v="15"/>
    <s v="Outpatient"/>
    <s v="Lab Test"/>
    <s v="Male"/>
    <n v="5"/>
    <n v="5"/>
    <n v="0"/>
    <n v="4"/>
    <n v="1"/>
  </r>
  <r>
    <s v="2023-07"/>
    <d v="2023-07-01T00:00:00"/>
    <s v="July"/>
    <s v="Borno"/>
    <x v="13"/>
    <s v="Surgery"/>
    <s v="Consultation"/>
    <s v="Male"/>
    <n v="7"/>
    <n v="6"/>
    <n v="0"/>
    <n v="3.8"/>
    <n v="0.8571428571428571"/>
  </r>
  <r>
    <s v="2023-07"/>
    <d v="2023-07-01T00:00:00"/>
    <s v="July"/>
    <s v="Delta"/>
    <x v="12"/>
    <s v="Emergency"/>
    <s v="Lab Test"/>
    <s v="Female"/>
    <n v="7"/>
    <n v="7"/>
    <n v="1"/>
    <n v="0.9"/>
    <n v="1"/>
  </r>
  <r>
    <s v="2023-07"/>
    <d v="2023-07-01T00:00:00"/>
    <s v="July"/>
    <s v="Oyo"/>
    <x v="14"/>
    <s v="Surgery"/>
    <s v="Lab Test"/>
    <s v="Male"/>
    <n v="4"/>
    <n v="4"/>
    <n v="0"/>
    <n v="2.8"/>
    <n v="1"/>
  </r>
  <r>
    <s v="2023-06"/>
    <d v="2023-06-01T00:00:00"/>
    <s v="June"/>
    <s v="Anambra"/>
    <x v="19"/>
    <s v="Internal Medicine"/>
    <s v="Admission"/>
    <s v="Female"/>
    <n v="2"/>
    <n v="2"/>
    <n v="0"/>
    <n v="3.5"/>
    <n v="1"/>
  </r>
  <r>
    <s v="2023-02"/>
    <d v="2023-02-01T00:00:00"/>
    <s v="February"/>
    <s v="Edo"/>
    <x v="4"/>
    <s v="Surgery"/>
    <s v="Admission"/>
    <s v="Male"/>
    <n v="5"/>
    <n v="4"/>
    <n v="0"/>
    <n v="2.9"/>
    <n v="0.8"/>
  </r>
  <r>
    <s v="2023-07"/>
    <d v="2023-07-01T00:00:00"/>
    <s v="July"/>
    <s v="Kano"/>
    <x v="8"/>
    <s v="Emergency"/>
    <s v="Consultation"/>
    <s v="Female"/>
    <n v="6"/>
    <n v="5"/>
    <n v="0"/>
    <n v="2.7"/>
    <n v="0.83333333333333337"/>
  </r>
  <r>
    <s v="2023-07"/>
    <d v="2023-07-01T00:00:00"/>
    <s v="July"/>
    <s v="Anambra"/>
    <x v="2"/>
    <s v="Emergency"/>
    <s v="Lab Test"/>
    <s v="Female"/>
    <n v="4"/>
    <n v="4"/>
    <n v="0"/>
    <n v="3.9"/>
    <n v="1"/>
  </r>
  <r>
    <s v="2023-04"/>
    <d v="2023-04-01T00:00:00"/>
    <s v="April"/>
    <s v="Anambra"/>
    <x v="19"/>
    <s v="Surgery"/>
    <s v="Surgery"/>
    <s v="Female"/>
    <n v="7"/>
    <n v="6"/>
    <n v="2"/>
    <n v="3.9"/>
    <n v="0.8571428571428571"/>
  </r>
  <r>
    <s v="2023-09"/>
    <d v="2023-09-01T00:00:00"/>
    <s v="September"/>
    <s v="Anambra"/>
    <x v="19"/>
    <s v="Internal Medicine"/>
    <s v="Delivery"/>
    <s v="Female"/>
    <n v="1"/>
    <n v="1"/>
    <n v="1"/>
    <n v="1.8"/>
    <n v="1"/>
  </r>
  <r>
    <s v="2023-05"/>
    <d v="2023-05-01T00:00:00"/>
    <s v="May"/>
    <s v="Kano"/>
    <x v="8"/>
    <s v="Internal Medicine"/>
    <s v="Admission"/>
    <s v="Male"/>
    <n v="5"/>
    <n v="5"/>
    <n v="0"/>
    <n v="2.2000000000000002"/>
    <n v="1"/>
  </r>
  <r>
    <s v="2023-04"/>
    <d v="2023-04-01T00:00:00"/>
    <s v="April"/>
    <s v="Borno"/>
    <x v="13"/>
    <s v="Outpatient"/>
    <s v="Admission"/>
    <s v="Male"/>
    <n v="1"/>
    <n v="1"/>
    <n v="0"/>
    <n v="3.1"/>
    <n v="1"/>
  </r>
  <r>
    <s v="2023-01"/>
    <d v="2023-01-01T00:00:00"/>
    <s v="January"/>
    <s v="Kaduna"/>
    <x v="5"/>
    <s v="Pediatrics"/>
    <s v="Surgery"/>
    <s v="Female"/>
    <n v="6"/>
    <n v="6"/>
    <n v="0"/>
    <n v="5.3"/>
    <n v="1"/>
  </r>
  <r>
    <s v="2023-03"/>
    <d v="2023-03-01T00:00:00"/>
    <s v="March"/>
    <s v="Anambra"/>
    <x v="19"/>
    <s v="Maternity"/>
    <s v="Delivery"/>
    <s v="Female"/>
    <n v="4"/>
    <n v="4"/>
    <n v="0"/>
    <n v="2.8"/>
    <n v="1"/>
  </r>
  <r>
    <s v="2023-12"/>
    <d v="2023-12-01T00:00:00"/>
    <s v="December"/>
    <s v="Borno"/>
    <x v="13"/>
    <s v="Emergency"/>
    <s v="Lab Test"/>
    <s v="Male"/>
    <n v="5"/>
    <n v="5"/>
    <n v="0"/>
    <n v="2.9"/>
    <n v="1"/>
  </r>
  <r>
    <s v="2023-09"/>
    <d v="2023-09-01T00:00:00"/>
    <s v="September"/>
    <s v="Rivers"/>
    <x v="10"/>
    <s v="Emergency"/>
    <s v="Consultation"/>
    <s v="Female"/>
    <n v="3"/>
    <n v="3"/>
    <n v="0"/>
    <n v="1.3"/>
    <n v="1"/>
  </r>
  <r>
    <s v="2023-06"/>
    <d v="2023-06-01T00:00:00"/>
    <s v="June"/>
    <s v="Anambra"/>
    <x v="19"/>
    <s v="Outpatient"/>
    <s v="Consultation"/>
    <s v="Female"/>
    <n v="5"/>
    <n v="5"/>
    <n v="0"/>
    <n v="1.7"/>
    <n v="1"/>
  </r>
  <r>
    <s v="2023-09"/>
    <d v="2023-09-01T00:00:00"/>
    <s v="September"/>
    <s v="Delta"/>
    <x v="0"/>
    <s v="Maternity"/>
    <s v="Lab Test"/>
    <s v="Female"/>
    <n v="2"/>
    <n v="2"/>
    <n v="0"/>
    <n v="3.4"/>
    <n v="1"/>
  </r>
  <r>
    <s v="2023-09"/>
    <d v="2023-09-01T00:00:00"/>
    <s v="September"/>
    <s v="Kano"/>
    <x v="7"/>
    <s v="Emergency"/>
    <s v="Lab Test"/>
    <s v="Male"/>
    <n v="2"/>
    <n v="2"/>
    <n v="0"/>
    <n v="2.1"/>
    <n v="1"/>
  </r>
  <r>
    <s v="2023-03"/>
    <d v="2023-03-01T00:00:00"/>
    <s v="March"/>
    <s v="Oyo"/>
    <x v="14"/>
    <s v="Emergency"/>
    <s v="Consultation"/>
    <s v="Male"/>
    <n v="3"/>
    <n v="3"/>
    <n v="0"/>
    <n v="3.5"/>
    <n v="1"/>
  </r>
  <r>
    <s v="2023-10"/>
    <d v="2023-10-01T00:00:00"/>
    <s v="October"/>
    <s v="Kaduna"/>
    <x v="6"/>
    <s v="Pediatrics"/>
    <s v="Surgery"/>
    <s v="Female"/>
    <n v="5"/>
    <n v="5"/>
    <n v="0"/>
    <n v="1.9"/>
    <n v="1"/>
  </r>
  <r>
    <s v="2023-04"/>
    <d v="2023-04-01T00:00:00"/>
    <s v="April"/>
    <s v="Oyo"/>
    <x v="17"/>
    <s v="Surgery"/>
    <s v="Medication"/>
    <s v="Female"/>
    <n v="5"/>
    <n v="5"/>
    <n v="0"/>
    <n v="3"/>
    <n v="1"/>
  </r>
  <r>
    <s v="2023-05"/>
    <d v="2023-05-01T00:00:00"/>
    <s v="May"/>
    <s v="Rivers"/>
    <x v="10"/>
    <s v="Surgery"/>
    <s v="Consultation"/>
    <s v="Male"/>
    <n v="4"/>
    <n v="4"/>
    <n v="0"/>
    <n v="4.3"/>
    <n v="1"/>
  </r>
  <r>
    <s v="2023-11"/>
    <d v="2023-11-01T00:00:00"/>
    <s v="November"/>
    <s v="FCT"/>
    <x v="1"/>
    <s v="Pediatrics"/>
    <s v="Delivery"/>
    <s v="Female"/>
    <n v="10"/>
    <n v="9"/>
    <n v="1"/>
    <n v="1.1000000000000001"/>
    <n v="0.9"/>
  </r>
  <r>
    <s v="2023-04"/>
    <d v="2023-04-01T00:00:00"/>
    <s v="April"/>
    <s v="Borno"/>
    <x v="13"/>
    <s v="Surgery"/>
    <s v="Admission"/>
    <s v="Male"/>
    <n v="5"/>
    <n v="5"/>
    <n v="0"/>
    <n v="4.0999999999999996"/>
    <n v="1"/>
  </r>
  <r>
    <s v="2023-09"/>
    <d v="2023-09-01T00:00:00"/>
    <s v="September"/>
    <s v="Edo"/>
    <x v="11"/>
    <s v="Surgery"/>
    <s v="Surgery"/>
    <s v="Female"/>
    <n v="6"/>
    <n v="4"/>
    <n v="1"/>
    <n v="0.8"/>
    <n v="0.66666666666666663"/>
  </r>
  <r>
    <s v="2023-04"/>
    <d v="2023-04-01T00:00:00"/>
    <s v="April"/>
    <s v="Anambra"/>
    <x v="2"/>
    <s v="Internal Medicine"/>
    <s v="Medication"/>
    <s v="Male"/>
    <n v="5"/>
    <n v="3"/>
    <n v="0"/>
    <n v="5.2"/>
    <n v="0.6"/>
  </r>
  <r>
    <s v="2023-07"/>
    <d v="2023-07-01T00:00:00"/>
    <s v="July"/>
    <s v="Delta"/>
    <x v="0"/>
    <s v="Outpatient"/>
    <s v="Surgery"/>
    <s v="Female"/>
    <n v="6"/>
    <n v="5"/>
    <n v="0"/>
    <n v="4.2"/>
    <n v="0.83333333333333337"/>
  </r>
  <r>
    <s v="2023-03"/>
    <d v="2023-03-01T00:00:00"/>
    <s v="March"/>
    <s v="Kaduna"/>
    <x v="6"/>
    <s v="Pediatrics"/>
    <s v="Lab Test"/>
    <s v="Female"/>
    <n v="6"/>
    <n v="6"/>
    <n v="1"/>
    <n v="3.8"/>
    <n v="1"/>
  </r>
  <r>
    <s v="2023-06"/>
    <d v="2023-06-01T00:00:00"/>
    <s v="June"/>
    <s v="Rivers"/>
    <x v="18"/>
    <s v="Emergency"/>
    <s v="Admission"/>
    <s v="Male"/>
    <n v="4"/>
    <n v="3"/>
    <n v="0"/>
    <n v="2.6"/>
    <n v="0.75"/>
  </r>
  <r>
    <s v="2023-10"/>
    <d v="2023-10-01T00:00:00"/>
    <s v="October"/>
    <s v="Anambra"/>
    <x v="19"/>
    <s v="Emergency"/>
    <s v="Lab Test"/>
    <s v="Male"/>
    <n v="6"/>
    <n v="5"/>
    <n v="0"/>
    <n v="5"/>
    <n v="0.83333333333333337"/>
  </r>
  <r>
    <s v="2023-05"/>
    <d v="2023-05-01T00:00:00"/>
    <s v="May"/>
    <s v="Kaduna"/>
    <x v="5"/>
    <s v="Surgery"/>
    <s v="Lab Test"/>
    <s v="Male"/>
    <n v="6"/>
    <n v="5"/>
    <n v="0"/>
    <n v="3.3"/>
    <n v="0.83333333333333337"/>
  </r>
  <r>
    <s v="2023-01"/>
    <d v="2023-01-01T00:00:00"/>
    <s v="January"/>
    <s v="Oyo"/>
    <x v="17"/>
    <s v="Surgery"/>
    <s v="Lab Test"/>
    <s v="Female"/>
    <n v="3"/>
    <n v="2"/>
    <n v="0"/>
    <n v="2.2999999999999998"/>
    <n v="0.66666666666666663"/>
  </r>
  <r>
    <s v="2023-10"/>
    <d v="2023-10-01T00:00:00"/>
    <s v="October"/>
    <s v="Delta"/>
    <x v="0"/>
    <s v="Outpatient"/>
    <s v="Surgery"/>
    <s v="Female"/>
    <n v="4"/>
    <n v="3"/>
    <n v="0"/>
    <n v="3"/>
    <n v="0.75"/>
  </r>
  <r>
    <s v="2023-03"/>
    <d v="2023-03-01T00:00:00"/>
    <s v="March"/>
    <s v="Kaduna"/>
    <x v="5"/>
    <s v="Outpatient"/>
    <s v="Lab Test"/>
    <s v="Male"/>
    <n v="3"/>
    <n v="3"/>
    <n v="0"/>
    <n v="2.7"/>
    <n v="1"/>
  </r>
  <r>
    <s v="2023-03"/>
    <d v="2023-03-01T00:00:00"/>
    <s v="March"/>
    <s v="Borno"/>
    <x v="13"/>
    <s v="Maternity"/>
    <s v="Medication"/>
    <s v="Female"/>
    <n v="5"/>
    <n v="5"/>
    <n v="0"/>
    <n v="4.2"/>
    <n v="1"/>
  </r>
  <r>
    <s v="2023-03"/>
    <d v="2023-03-01T00:00:00"/>
    <s v="March"/>
    <s v="Edo"/>
    <x v="4"/>
    <s v="Pediatrics"/>
    <s v="Admission"/>
    <s v="Female"/>
    <n v="7"/>
    <n v="7"/>
    <n v="0"/>
    <n v="0.5"/>
    <n v="1"/>
  </r>
  <r>
    <s v="2023-05"/>
    <d v="2023-05-01T00:00:00"/>
    <s v="May"/>
    <s v="Rivers"/>
    <x v="10"/>
    <s v="Surgery"/>
    <s v="Lab Test"/>
    <s v="Male"/>
    <n v="6"/>
    <n v="4"/>
    <n v="1"/>
    <n v="1.3"/>
    <n v="0.66666666666666663"/>
  </r>
  <r>
    <s v="2023-03"/>
    <d v="2023-03-01T00:00:00"/>
    <s v="March"/>
    <s v="Edo"/>
    <x v="4"/>
    <s v="Internal Medicine"/>
    <s v="Lab Test"/>
    <s v="Male"/>
    <n v="2"/>
    <n v="1"/>
    <n v="1"/>
    <n v="3.2"/>
    <n v="0.5"/>
  </r>
  <r>
    <s v="2023-02"/>
    <d v="2023-02-01T00:00:00"/>
    <s v="February"/>
    <s v="Rivers"/>
    <x v="10"/>
    <s v="Pediatrics"/>
    <s v="Medication"/>
    <s v="Male"/>
    <n v="2"/>
    <n v="2"/>
    <n v="0"/>
    <n v="3.9"/>
    <n v="1"/>
  </r>
  <r>
    <s v="2023-04"/>
    <d v="2023-04-01T00:00:00"/>
    <s v="April"/>
    <s v="Edo"/>
    <x v="11"/>
    <s v="Emergency"/>
    <s v="Admission"/>
    <s v="Female"/>
    <n v="4"/>
    <n v="4"/>
    <n v="0"/>
    <n v="3"/>
    <n v="1"/>
  </r>
  <r>
    <s v="2023-04"/>
    <d v="2023-04-01T00:00:00"/>
    <s v="April"/>
    <s v="Oyo"/>
    <x v="17"/>
    <s v="Pediatrics"/>
    <s v="Medication"/>
    <s v="Female"/>
    <n v="7"/>
    <n v="5"/>
    <n v="0"/>
    <n v="1.2"/>
    <n v="0.7142857142857143"/>
  </r>
  <r>
    <s v="2023-05"/>
    <d v="2023-05-01T00:00:00"/>
    <s v="May"/>
    <s v="Kaduna"/>
    <x v="6"/>
    <s v="Pediatrics"/>
    <s v="Delivery"/>
    <s v="Male"/>
    <n v="4"/>
    <n v="3"/>
    <n v="0"/>
    <n v="2.7"/>
    <n v="0.75"/>
  </r>
  <r>
    <s v="2023-11"/>
    <d v="2023-11-01T00:00:00"/>
    <s v="November"/>
    <s v="Rivers"/>
    <x v="10"/>
    <s v="Internal Medicine"/>
    <s v="Lab Test"/>
    <s v="Male"/>
    <n v="6"/>
    <n v="6"/>
    <n v="0"/>
    <n v="1.7"/>
    <n v="1"/>
  </r>
  <r>
    <s v="2023-07"/>
    <d v="2023-07-01T00:00:00"/>
    <s v="July"/>
    <s v="Borno"/>
    <x v="13"/>
    <s v="Pediatrics"/>
    <s v="Consultation"/>
    <s v="Female"/>
    <n v="8"/>
    <n v="7"/>
    <n v="0"/>
    <n v="2"/>
    <n v="0.875"/>
  </r>
  <r>
    <s v="2023-04"/>
    <d v="2023-04-01T00:00:00"/>
    <s v="April"/>
    <s v="Rivers"/>
    <x v="18"/>
    <s v="Pediatrics"/>
    <s v="Delivery"/>
    <s v="Female"/>
    <n v="3"/>
    <n v="3"/>
    <n v="0"/>
    <n v="3.1"/>
    <n v="1"/>
  </r>
  <r>
    <s v="2023-08"/>
    <d v="2023-08-01T00:00:00"/>
    <s v="August"/>
    <s v="Kaduna"/>
    <x v="5"/>
    <s v="Emergency"/>
    <s v="Admission"/>
    <s v="Male"/>
    <n v="5"/>
    <n v="4"/>
    <n v="2"/>
    <n v="1.2"/>
    <n v="0.8"/>
  </r>
  <r>
    <s v="2023-04"/>
    <d v="2023-04-01T00:00:00"/>
    <s v="April"/>
    <s v="Lagos"/>
    <x v="15"/>
    <s v="Maternity"/>
    <s v="Consultation"/>
    <s v="Female"/>
    <n v="4"/>
    <n v="4"/>
    <n v="0"/>
    <n v="2.2999999999999998"/>
    <n v="1"/>
  </r>
  <r>
    <s v="2023-07"/>
    <d v="2023-07-01T00:00:00"/>
    <s v="July"/>
    <s v="Kaduna"/>
    <x v="6"/>
    <s v="Outpatient"/>
    <s v="Delivery"/>
    <s v="Male"/>
    <n v="5"/>
    <n v="5"/>
    <n v="1"/>
    <n v="3.7"/>
    <n v="1"/>
  </r>
  <r>
    <s v="2023-09"/>
    <d v="2023-09-01T00:00:00"/>
    <s v="September"/>
    <s v="Kaduna"/>
    <x v="5"/>
    <s v="Surgery"/>
    <s v="Consultation"/>
    <s v="Female"/>
    <n v="8"/>
    <n v="7"/>
    <n v="0"/>
    <n v="4.2"/>
    <n v="0.875"/>
  </r>
  <r>
    <s v="2023-11"/>
    <d v="2023-11-01T00:00:00"/>
    <s v="November"/>
    <s v="Oyo"/>
    <x v="14"/>
    <s v="Surgery"/>
    <s v="Medication"/>
    <s v="Female"/>
    <n v="1"/>
    <n v="1"/>
    <n v="0"/>
    <n v="2.9"/>
    <n v="1"/>
  </r>
  <r>
    <s v="2023-05"/>
    <d v="2023-05-01T00:00:00"/>
    <s v="May"/>
    <s v="Edo"/>
    <x v="4"/>
    <s v="Maternity"/>
    <s v="Medication"/>
    <s v="Male"/>
    <n v="5"/>
    <n v="3"/>
    <n v="0"/>
    <n v="3.5"/>
    <n v="0.6"/>
  </r>
  <r>
    <s v="2023-11"/>
    <d v="2023-11-01T00:00:00"/>
    <s v="November"/>
    <s v="Delta"/>
    <x v="12"/>
    <s v="Outpatient"/>
    <s v="Admission"/>
    <s v="Female"/>
    <n v="2"/>
    <n v="2"/>
    <n v="0"/>
    <n v="2.9"/>
    <n v="1"/>
  </r>
  <r>
    <s v="2023-08"/>
    <d v="2023-08-01T00:00:00"/>
    <s v="August"/>
    <s v="FCT"/>
    <x v="16"/>
    <s v="Outpatient"/>
    <s v="Admission"/>
    <s v="Male"/>
    <n v="1"/>
    <n v="1"/>
    <n v="0"/>
    <n v="2.2000000000000002"/>
    <n v="1"/>
  </r>
  <r>
    <s v="2023-11"/>
    <d v="2023-11-01T00:00:00"/>
    <s v="November"/>
    <s v="Delta"/>
    <x v="12"/>
    <s v="Internal Medicine"/>
    <s v="Medication"/>
    <s v="Female"/>
    <n v="8"/>
    <n v="6"/>
    <n v="1"/>
    <n v="2.2999999999999998"/>
    <n v="0.75"/>
  </r>
  <r>
    <s v="2023-04"/>
    <d v="2023-04-01T00:00:00"/>
    <s v="April"/>
    <s v="FCT"/>
    <x v="16"/>
    <s v="Pediatrics"/>
    <s v="Consultation"/>
    <s v="Male"/>
    <n v="4"/>
    <n v="3"/>
    <n v="0"/>
    <n v="2.2999999999999998"/>
    <n v="0.75"/>
  </r>
  <r>
    <s v="2023-07"/>
    <d v="2023-07-01T00:00:00"/>
    <s v="July"/>
    <s v="Lagos"/>
    <x v="3"/>
    <s v="Internal Medicine"/>
    <s v="Lab Test"/>
    <s v="Female"/>
    <n v="4"/>
    <n v="4"/>
    <n v="0"/>
    <n v="3.7"/>
    <n v="1"/>
  </r>
  <r>
    <s v="2023-08"/>
    <d v="2023-08-01T00:00:00"/>
    <s v="August"/>
    <s v="Oyo"/>
    <x v="17"/>
    <s v="Outpatient"/>
    <s v="Surgery"/>
    <s v="Female"/>
    <n v="6"/>
    <n v="6"/>
    <n v="0"/>
    <n v="3.3"/>
    <n v="1"/>
  </r>
  <r>
    <s v="2023-10"/>
    <d v="2023-10-01T00:00:00"/>
    <s v="October"/>
    <s v="Anambra"/>
    <x v="19"/>
    <s v="Pediatrics"/>
    <s v="Surgery"/>
    <s v="Female"/>
    <n v="4"/>
    <n v="4"/>
    <n v="0"/>
    <n v="3.8"/>
    <n v="1"/>
  </r>
  <r>
    <s v="2023-09"/>
    <d v="2023-09-01T00:00:00"/>
    <s v="September"/>
    <s v="Edo"/>
    <x v="11"/>
    <s v="Outpatient"/>
    <s v="Consultation"/>
    <s v="Female"/>
    <n v="4"/>
    <n v="4"/>
    <n v="0"/>
    <n v="4"/>
    <n v="1"/>
  </r>
  <r>
    <s v="2023-05"/>
    <d v="2023-05-01T00:00:00"/>
    <s v="May"/>
    <s v="Oyo"/>
    <x v="14"/>
    <s v="Maternity"/>
    <s v="Surgery"/>
    <s v="Female"/>
    <n v="5"/>
    <n v="5"/>
    <n v="0"/>
    <n v="3.5"/>
    <n v="1"/>
  </r>
  <r>
    <s v="2023-10"/>
    <d v="2023-10-01T00:00:00"/>
    <s v="October"/>
    <s v="Lagos"/>
    <x v="3"/>
    <s v="Outpatient"/>
    <s v="Surgery"/>
    <s v="Male"/>
    <n v="6"/>
    <n v="5"/>
    <n v="0"/>
    <n v="3.2"/>
    <n v="0.83333333333333337"/>
  </r>
  <r>
    <s v="2023-10"/>
    <d v="2023-10-01T00:00:00"/>
    <s v="October"/>
    <s v="Anambra"/>
    <x v="19"/>
    <s v="Surgery"/>
    <s v="Delivery"/>
    <s v="Male"/>
    <n v="2"/>
    <n v="2"/>
    <n v="0"/>
    <n v="2.1"/>
    <n v="1"/>
  </r>
  <r>
    <s v="2023-10"/>
    <d v="2023-10-01T00:00:00"/>
    <s v="October"/>
    <s v="Kano"/>
    <x v="7"/>
    <s v="Emergency"/>
    <s v="Medication"/>
    <s v="Female"/>
    <n v="4"/>
    <n v="3"/>
    <n v="0"/>
    <n v="1.5"/>
    <n v="0.75"/>
  </r>
  <r>
    <s v="2023-11"/>
    <d v="2023-11-01T00:00:00"/>
    <s v="November"/>
    <s v="Kano"/>
    <x v="8"/>
    <s v="Maternity"/>
    <s v="Surgery"/>
    <s v="Male"/>
    <n v="5"/>
    <n v="5"/>
    <n v="0"/>
    <n v="2.8"/>
    <n v="1"/>
  </r>
  <r>
    <s v="2023-04"/>
    <d v="2023-04-01T00:00:00"/>
    <s v="April"/>
    <s v="Kano"/>
    <x v="8"/>
    <s v="Emergency"/>
    <s v="Surgery"/>
    <s v="Male"/>
    <n v="3"/>
    <n v="3"/>
    <n v="0"/>
    <n v="3.4"/>
    <n v="1"/>
  </r>
  <r>
    <s v="2023-08"/>
    <d v="2023-08-01T00:00:00"/>
    <s v="August"/>
    <s v="Kaduna"/>
    <x v="5"/>
    <s v="Maternity"/>
    <s v="Admission"/>
    <s v="Male"/>
    <n v="4"/>
    <n v="4"/>
    <n v="0"/>
    <n v="4.3"/>
    <n v="1"/>
  </r>
  <r>
    <s v="2023-10"/>
    <d v="2023-10-01T00:00:00"/>
    <s v="October"/>
    <s v="Anambra"/>
    <x v="19"/>
    <s v="Emergency"/>
    <s v="Consultation"/>
    <s v="Female"/>
    <n v="6"/>
    <n v="5"/>
    <n v="0"/>
    <n v="3.2"/>
    <n v="0.83333333333333337"/>
  </r>
  <r>
    <s v="2023-03"/>
    <d v="2023-03-01T00:00:00"/>
    <s v="March"/>
    <s v="Rivers"/>
    <x v="10"/>
    <s v="Emergency"/>
    <s v="Delivery"/>
    <s v="Male"/>
    <n v="5"/>
    <n v="4"/>
    <n v="1"/>
    <n v="4"/>
    <n v="0.8"/>
  </r>
  <r>
    <s v="2023-01"/>
    <d v="2023-01-01T00:00:00"/>
    <s v="January"/>
    <s v="FCT"/>
    <x v="16"/>
    <s v="Outpatient"/>
    <s v="Delivery"/>
    <s v="Male"/>
    <n v="6"/>
    <n v="5"/>
    <n v="0"/>
    <n v="3"/>
    <n v="0.83333333333333337"/>
  </r>
  <r>
    <s v="2023-02"/>
    <d v="2023-02-01T00:00:00"/>
    <s v="February"/>
    <s v="Anambra"/>
    <x v="19"/>
    <s v="Emergency"/>
    <s v="Medication"/>
    <s v="Female"/>
    <n v="3"/>
    <n v="3"/>
    <n v="0"/>
    <n v="3.6"/>
    <n v="1"/>
  </r>
  <r>
    <s v="2023-10"/>
    <d v="2023-10-01T00:00:00"/>
    <s v="October"/>
    <s v="Kano"/>
    <x v="7"/>
    <s v="Pediatrics"/>
    <s v="Consultation"/>
    <s v="Female"/>
    <n v="7"/>
    <n v="7"/>
    <n v="0"/>
    <n v="1.3"/>
    <n v="1"/>
  </r>
  <r>
    <s v="2023-04"/>
    <d v="2023-04-01T00:00:00"/>
    <s v="April"/>
    <s v="Lagos"/>
    <x v="3"/>
    <s v="Surgery"/>
    <s v="Consultation"/>
    <s v="Female"/>
    <n v="3"/>
    <n v="2"/>
    <n v="0"/>
    <n v="3.4"/>
    <n v="0.66666666666666663"/>
  </r>
  <r>
    <s v="2023-05"/>
    <d v="2023-05-01T00:00:00"/>
    <s v="May"/>
    <s v="FCT"/>
    <x v="1"/>
    <s v="Emergency"/>
    <s v="Surgery"/>
    <s v="Male"/>
    <n v="6"/>
    <n v="6"/>
    <n v="0"/>
    <n v="1.4"/>
    <n v="1"/>
  </r>
  <r>
    <s v="2023-07"/>
    <d v="2023-07-01T00:00:00"/>
    <s v="July"/>
    <s v="Rivers"/>
    <x v="10"/>
    <s v="Internal Medicine"/>
    <s v="Medication"/>
    <s v="Female"/>
    <n v="4"/>
    <n v="3"/>
    <n v="0"/>
    <n v="3.8"/>
    <n v="0.75"/>
  </r>
  <r>
    <s v="2023-08"/>
    <d v="2023-08-01T00:00:00"/>
    <s v="August"/>
    <s v="Oyo"/>
    <x v="14"/>
    <s v="Outpatient"/>
    <s v="Admission"/>
    <s v="Female"/>
    <n v="6"/>
    <n v="6"/>
    <n v="1"/>
    <n v="4.2"/>
    <n v="1"/>
  </r>
  <r>
    <s v="2023-06"/>
    <d v="2023-06-01T00:00:00"/>
    <s v="June"/>
    <s v="Oyo"/>
    <x v="14"/>
    <s v="Outpatient"/>
    <s v="Lab Test"/>
    <s v="Female"/>
    <n v="6"/>
    <n v="5"/>
    <n v="1"/>
    <n v="2.2000000000000002"/>
    <n v="0.83333333333333337"/>
  </r>
  <r>
    <s v="2023-02"/>
    <d v="2023-02-01T00:00:00"/>
    <s v="February"/>
    <s v="Kano"/>
    <x v="7"/>
    <s v="Pediatrics"/>
    <s v="Admission"/>
    <s v="Male"/>
    <n v="4"/>
    <n v="3"/>
    <n v="0"/>
    <n v="2.8"/>
    <n v="0.75"/>
  </r>
  <r>
    <s v="2023-11"/>
    <d v="2023-11-01T00:00:00"/>
    <s v="November"/>
    <s v="Oyo"/>
    <x v="17"/>
    <s v="Emergency"/>
    <s v="Medication"/>
    <s v="Male"/>
    <n v="3"/>
    <n v="2"/>
    <n v="0"/>
    <n v="1.5"/>
    <n v="0.66666666666666663"/>
  </r>
  <r>
    <s v="2023-11"/>
    <d v="2023-11-01T00:00:00"/>
    <s v="November"/>
    <s v="Oyo"/>
    <x v="14"/>
    <s v="Outpatient"/>
    <s v="Admission"/>
    <s v="Male"/>
    <n v="5"/>
    <n v="5"/>
    <n v="1"/>
    <n v="2.8"/>
    <n v="1"/>
  </r>
  <r>
    <s v="2023-10"/>
    <d v="2023-10-01T00:00:00"/>
    <s v="October"/>
    <s v="Edo"/>
    <x v="4"/>
    <s v="Maternity"/>
    <s v="Admission"/>
    <s v="Female"/>
    <n v="4"/>
    <n v="2"/>
    <n v="0"/>
    <n v="1.4"/>
    <n v="0.5"/>
  </r>
  <r>
    <s v="2023-10"/>
    <d v="2023-10-01T00:00:00"/>
    <s v="October"/>
    <s v="Kaduna"/>
    <x v="6"/>
    <s v="Internal Medicine"/>
    <s v="Surgery"/>
    <s v="Female"/>
    <n v="3"/>
    <n v="3"/>
    <n v="0"/>
    <n v="2.2999999999999998"/>
    <n v="1"/>
  </r>
  <r>
    <s v="2023-01"/>
    <d v="2023-01-01T00:00:00"/>
    <s v="January"/>
    <s v="Rivers"/>
    <x v="18"/>
    <s v="Pediatrics"/>
    <s v="Lab Test"/>
    <s v="Female"/>
    <n v="5"/>
    <n v="5"/>
    <n v="1"/>
    <n v="3.4"/>
    <n v="1"/>
  </r>
  <r>
    <s v="2023-12"/>
    <d v="2023-12-01T00:00:00"/>
    <s v="December"/>
    <s v="Anambra"/>
    <x v="19"/>
    <s v="Surgery"/>
    <s v="Consultation"/>
    <s v="Male"/>
    <n v="4"/>
    <n v="4"/>
    <n v="0"/>
    <n v="2.7"/>
    <n v="1"/>
  </r>
  <r>
    <s v="2023-02"/>
    <d v="2023-02-01T00:00:00"/>
    <s v="February"/>
    <s v="Kaduna"/>
    <x v="5"/>
    <s v="Outpatient"/>
    <s v="Admission"/>
    <s v="Male"/>
    <n v="4"/>
    <n v="4"/>
    <n v="0"/>
    <n v="4.0999999999999996"/>
    <n v="1"/>
  </r>
  <r>
    <s v="2023-04"/>
    <d v="2023-04-01T00:00:00"/>
    <s v="April"/>
    <s v="Kaduna"/>
    <x v="6"/>
    <s v="Emergency"/>
    <s v="Lab Test"/>
    <s v="Male"/>
    <n v="9"/>
    <n v="9"/>
    <n v="2"/>
    <n v="2.1"/>
    <n v="1"/>
  </r>
  <r>
    <s v="2023-12"/>
    <d v="2023-12-01T00:00:00"/>
    <s v="December"/>
    <s v="Edo"/>
    <x v="4"/>
    <s v="Maternity"/>
    <s v="Admission"/>
    <s v="Male"/>
    <n v="3"/>
    <n v="3"/>
    <n v="0"/>
    <n v="0.6"/>
    <n v="1"/>
  </r>
  <r>
    <s v="2023-10"/>
    <d v="2023-10-01T00:00:00"/>
    <s v="October"/>
    <s v="Rivers"/>
    <x v="10"/>
    <s v="Maternity"/>
    <s v="Delivery"/>
    <s v="Female"/>
    <n v="6"/>
    <n v="6"/>
    <n v="1"/>
    <n v="1.7"/>
    <n v="1"/>
  </r>
  <r>
    <s v="2023-02"/>
    <d v="2023-02-01T00:00:00"/>
    <s v="February"/>
    <s v="Anambra"/>
    <x v="2"/>
    <s v="Surgery"/>
    <s v="Lab Test"/>
    <s v="Female"/>
    <n v="6"/>
    <n v="6"/>
    <n v="2"/>
    <n v="2.5"/>
    <n v="1"/>
  </r>
  <r>
    <s v="2023-03"/>
    <d v="2023-03-01T00:00:00"/>
    <s v="March"/>
    <s v="Lagos"/>
    <x v="3"/>
    <s v="Outpatient"/>
    <s v="Lab Test"/>
    <s v="Female"/>
    <n v="4"/>
    <n v="4"/>
    <n v="1"/>
    <n v="3.5"/>
    <n v="1"/>
  </r>
  <r>
    <s v="2023-10"/>
    <d v="2023-10-01T00:00:00"/>
    <s v="October"/>
    <s v="Delta"/>
    <x v="12"/>
    <s v="Internal Medicine"/>
    <s v="Delivery"/>
    <s v="Female"/>
    <n v="4"/>
    <n v="2"/>
    <n v="1"/>
    <n v="2.6"/>
    <n v="0.5"/>
  </r>
  <r>
    <s v="2023-04"/>
    <d v="2023-04-01T00:00:00"/>
    <s v="April"/>
    <s v="Borno"/>
    <x v="9"/>
    <s v="Maternity"/>
    <s v="Admission"/>
    <s v="Female"/>
    <n v="3"/>
    <n v="2"/>
    <n v="1"/>
    <n v="1.7"/>
    <n v="0.66666666666666663"/>
  </r>
  <r>
    <s v="2023-12"/>
    <d v="2023-12-01T00:00:00"/>
    <s v="December"/>
    <s v="Rivers"/>
    <x v="18"/>
    <s v="Pediatrics"/>
    <s v="Surgery"/>
    <s v="Female"/>
    <n v="2"/>
    <n v="2"/>
    <n v="0"/>
    <n v="3.2"/>
    <n v="1"/>
  </r>
  <r>
    <s v="2023-07"/>
    <d v="2023-07-01T00:00:00"/>
    <s v="July"/>
    <s v="Kano"/>
    <x v="8"/>
    <s v="Maternity"/>
    <s v="Admission"/>
    <s v="Female"/>
    <n v="3"/>
    <n v="3"/>
    <n v="0"/>
    <n v="3.7"/>
    <n v="1"/>
  </r>
  <r>
    <s v="2023-11"/>
    <d v="2023-11-01T00:00:00"/>
    <s v="November"/>
    <s v="Borno"/>
    <x v="9"/>
    <s v="Maternity"/>
    <s v="Surgery"/>
    <s v="Female"/>
    <n v="5"/>
    <n v="4"/>
    <n v="0"/>
    <n v="2.8"/>
    <n v="0.8"/>
  </r>
  <r>
    <s v="2023-04"/>
    <d v="2023-04-01T00:00:00"/>
    <s v="April"/>
    <s v="Lagos"/>
    <x v="15"/>
    <s v="Emergency"/>
    <s v="Medication"/>
    <s v="Female"/>
    <n v="4"/>
    <n v="4"/>
    <n v="0"/>
    <n v="4.0999999999999996"/>
    <n v="1"/>
  </r>
  <r>
    <s v="2023-09"/>
    <d v="2023-09-01T00:00:00"/>
    <s v="September"/>
    <s v="FCT"/>
    <x v="1"/>
    <s v="Pediatrics"/>
    <s v="Consultation"/>
    <s v="Female"/>
    <n v="5"/>
    <n v="5"/>
    <n v="0"/>
    <n v="2.8"/>
    <n v="1"/>
  </r>
  <r>
    <s v="2023-01"/>
    <d v="2023-01-01T00:00:00"/>
    <s v="January"/>
    <s v="Kano"/>
    <x v="7"/>
    <s v="Internal Medicine"/>
    <s v="Surgery"/>
    <s v="Female"/>
    <n v="2"/>
    <n v="2"/>
    <n v="0"/>
    <n v="0.6"/>
    <n v="1"/>
  </r>
  <r>
    <s v="2023-10"/>
    <d v="2023-10-01T00:00:00"/>
    <s v="October"/>
    <s v="Anambra"/>
    <x v="2"/>
    <s v="Emergency"/>
    <s v="Medication"/>
    <s v="Female"/>
    <n v="2"/>
    <n v="2"/>
    <n v="0"/>
    <n v="3.4"/>
    <n v="1"/>
  </r>
  <r>
    <s v="2023-02"/>
    <d v="2023-02-01T00:00:00"/>
    <s v="February"/>
    <s v="Lagos"/>
    <x v="15"/>
    <s v="Emergency"/>
    <s v="Consultation"/>
    <s v="Male"/>
    <n v="5"/>
    <n v="5"/>
    <n v="0"/>
    <n v="3.4"/>
    <n v="1"/>
  </r>
  <r>
    <s v="2023-02"/>
    <d v="2023-02-01T00:00:00"/>
    <s v="February"/>
    <s v="Delta"/>
    <x v="12"/>
    <s v="Pediatrics"/>
    <s v="Admission"/>
    <s v="Female"/>
    <n v="5"/>
    <n v="5"/>
    <n v="0"/>
    <n v="2.9"/>
    <n v="1"/>
  </r>
  <r>
    <s v="2023-05"/>
    <d v="2023-05-01T00:00:00"/>
    <s v="May"/>
    <s v="FCT"/>
    <x v="1"/>
    <s v="Surgery"/>
    <s v="Medication"/>
    <s v="Female"/>
    <n v="5"/>
    <n v="5"/>
    <n v="1"/>
    <n v="2.5"/>
    <n v="1"/>
  </r>
  <r>
    <s v="2023-03"/>
    <d v="2023-03-01T00:00:00"/>
    <s v="March"/>
    <s v="Delta"/>
    <x v="12"/>
    <s v="Maternity"/>
    <s v="Lab Test"/>
    <s v="Female"/>
    <n v="8"/>
    <n v="7"/>
    <n v="1"/>
    <n v="2.6"/>
    <n v="0.875"/>
  </r>
  <r>
    <s v="2023-03"/>
    <d v="2023-03-01T00:00:00"/>
    <s v="March"/>
    <s v="FCT"/>
    <x v="1"/>
    <s v="Surgery"/>
    <s v="Medication"/>
    <s v="Male"/>
    <n v="3"/>
    <n v="3"/>
    <n v="0"/>
    <n v="2.5"/>
    <n v="1"/>
  </r>
  <r>
    <s v="2023-01"/>
    <d v="2023-01-01T00:00:00"/>
    <s v="January"/>
    <s v="Rivers"/>
    <x v="18"/>
    <s v="Outpatient"/>
    <s v="Consultation"/>
    <s v="Male"/>
    <n v="10"/>
    <n v="10"/>
    <n v="1"/>
    <n v="4.4000000000000004"/>
    <n v="1"/>
  </r>
  <r>
    <s v="2023-11"/>
    <d v="2023-11-01T00:00:00"/>
    <s v="November"/>
    <s v="Kano"/>
    <x v="7"/>
    <s v="Pediatrics"/>
    <s v="Lab Test"/>
    <s v="Female"/>
    <n v="3"/>
    <n v="3"/>
    <n v="0"/>
    <n v="1.8"/>
    <n v="1"/>
  </r>
  <r>
    <s v="2023-02"/>
    <d v="2023-02-01T00:00:00"/>
    <s v="February"/>
    <s v="Rivers"/>
    <x v="18"/>
    <s v="Surgery"/>
    <s v="Medication"/>
    <s v="Female"/>
    <n v="5"/>
    <n v="5"/>
    <n v="1"/>
    <n v="3.3"/>
    <n v="1"/>
  </r>
  <r>
    <s v="2023-08"/>
    <d v="2023-08-01T00:00:00"/>
    <s v="August"/>
    <s v="Borno"/>
    <x v="13"/>
    <s v="Surgery"/>
    <s v="Admission"/>
    <s v="Female"/>
    <n v="4"/>
    <n v="3"/>
    <n v="0"/>
    <n v="3.3"/>
    <n v="0.75"/>
  </r>
  <r>
    <s v="2023-04"/>
    <d v="2023-04-01T00:00:00"/>
    <s v="April"/>
    <s v="Lagos"/>
    <x v="15"/>
    <s v="Pediatrics"/>
    <s v="Lab Test"/>
    <s v="Male"/>
    <n v="5"/>
    <n v="5"/>
    <n v="0"/>
    <n v="3.5"/>
    <n v="1"/>
  </r>
  <r>
    <s v="2023-08"/>
    <d v="2023-08-01T00:00:00"/>
    <s v="August"/>
    <s v="Kano"/>
    <x v="7"/>
    <s v="Pediatrics"/>
    <s v="Lab Test"/>
    <s v="Female"/>
    <n v="3"/>
    <n v="3"/>
    <n v="0"/>
    <n v="3.6"/>
    <n v="1"/>
  </r>
  <r>
    <s v="2023-05"/>
    <d v="2023-05-01T00:00:00"/>
    <s v="May"/>
    <s v="Borno"/>
    <x v="13"/>
    <s v="Pediatrics"/>
    <s v="Delivery"/>
    <s v="Female"/>
    <n v="4"/>
    <n v="3"/>
    <n v="0"/>
    <n v="2.8"/>
    <n v="0.75"/>
  </r>
  <r>
    <s v="2023-08"/>
    <d v="2023-08-01T00:00:00"/>
    <s v="August"/>
    <s v="Anambra"/>
    <x v="2"/>
    <s v="Emergency"/>
    <s v="Consultation"/>
    <s v="Female"/>
    <n v="7"/>
    <n v="4"/>
    <n v="0"/>
    <n v="2.4"/>
    <n v="0.5714285714285714"/>
  </r>
  <r>
    <s v="2023-03"/>
    <d v="2023-03-01T00:00:00"/>
    <s v="March"/>
    <s v="Borno"/>
    <x v="9"/>
    <s v="Surgery"/>
    <s v="Surgery"/>
    <s v="Female"/>
    <n v="5"/>
    <n v="4"/>
    <n v="0"/>
    <n v="4.7"/>
    <n v="0.8"/>
  </r>
  <r>
    <s v="2023-08"/>
    <d v="2023-08-01T00:00:00"/>
    <s v="August"/>
    <s v="FCT"/>
    <x v="16"/>
    <s v="Pediatrics"/>
    <s v="Lab Test"/>
    <s v="Female"/>
    <n v="7"/>
    <n v="7"/>
    <n v="0"/>
    <n v="0.7"/>
    <n v="1"/>
  </r>
  <r>
    <s v="2023-09"/>
    <d v="2023-09-01T00:00:00"/>
    <s v="September"/>
    <s v="Lagos"/>
    <x v="15"/>
    <s v="Outpatient"/>
    <s v="Consultation"/>
    <s v="Female"/>
    <n v="6"/>
    <n v="5"/>
    <n v="0"/>
    <n v="3"/>
    <n v="0.83333333333333337"/>
  </r>
  <r>
    <s v="2023-03"/>
    <d v="2023-03-01T00:00:00"/>
    <s v="March"/>
    <s v="Anambra"/>
    <x v="2"/>
    <s v="Emergency"/>
    <s v="Lab Test"/>
    <s v="Female"/>
    <n v="4"/>
    <n v="4"/>
    <n v="0"/>
    <n v="3.7"/>
    <n v="1"/>
  </r>
  <r>
    <s v="2023-07"/>
    <d v="2023-07-01T00:00:00"/>
    <s v="July"/>
    <s v="Kaduna"/>
    <x v="6"/>
    <s v="Outpatient"/>
    <s v="Consultation"/>
    <s v="Female"/>
    <n v="4"/>
    <n v="4"/>
    <n v="0"/>
    <n v="4.9000000000000004"/>
    <n v="1"/>
  </r>
  <r>
    <s v="2023-03"/>
    <d v="2023-03-01T00:00:00"/>
    <s v="March"/>
    <s v="FCT"/>
    <x v="1"/>
    <s v="Pediatrics"/>
    <s v="Medication"/>
    <s v="Female"/>
    <n v="7"/>
    <n v="6"/>
    <n v="0"/>
    <n v="4"/>
    <n v="0.8571428571428571"/>
  </r>
  <r>
    <s v="2023-02"/>
    <d v="2023-02-01T00:00:00"/>
    <s v="February"/>
    <s v="Kaduna"/>
    <x v="6"/>
    <s v="Maternity"/>
    <s v="Consultation"/>
    <s v="Male"/>
    <n v="2"/>
    <n v="1"/>
    <n v="0"/>
    <n v="2.7"/>
    <n v="0.5"/>
  </r>
  <r>
    <s v="2023-11"/>
    <d v="2023-11-01T00:00:00"/>
    <s v="November"/>
    <s v="Anambra"/>
    <x v="2"/>
    <s v="Pediatrics"/>
    <s v="Lab Test"/>
    <s v="Female"/>
    <n v="3"/>
    <n v="2"/>
    <n v="0"/>
    <n v="2.1"/>
    <n v="0.66666666666666663"/>
  </r>
  <r>
    <s v="2023-08"/>
    <d v="2023-08-01T00:00:00"/>
    <s v="August"/>
    <s v="Kaduna"/>
    <x v="6"/>
    <s v="Emergency"/>
    <s v="Delivery"/>
    <s v="Female"/>
    <n v="4"/>
    <n v="4"/>
    <n v="0"/>
    <n v="2.8"/>
    <n v="1"/>
  </r>
  <r>
    <s v="2023-02"/>
    <d v="2023-02-01T00:00:00"/>
    <s v="February"/>
    <s v="FCT"/>
    <x v="16"/>
    <s v="Pediatrics"/>
    <s v="Surgery"/>
    <s v="Male"/>
    <n v="7"/>
    <n v="6"/>
    <n v="0"/>
    <n v="4"/>
    <n v="0.8571428571428571"/>
  </r>
  <r>
    <s v="2023-08"/>
    <d v="2023-08-01T00:00:00"/>
    <s v="August"/>
    <s v="Rivers"/>
    <x v="10"/>
    <s v="Internal Medicine"/>
    <s v="Lab Test"/>
    <s v="Male"/>
    <n v="6"/>
    <n v="6"/>
    <n v="0"/>
    <n v="2.9"/>
    <n v="1"/>
  </r>
  <r>
    <s v="2023-03"/>
    <d v="2023-03-01T00:00:00"/>
    <s v="March"/>
    <s v="Anambra"/>
    <x v="2"/>
    <s v="Internal Medicine"/>
    <s v="Medication"/>
    <s v="Male"/>
    <n v="7"/>
    <n v="7"/>
    <n v="1"/>
    <n v="3.2"/>
    <n v="1"/>
  </r>
  <r>
    <s v="2023-08"/>
    <d v="2023-08-01T00:00:00"/>
    <s v="August"/>
    <s v="Oyo"/>
    <x v="17"/>
    <s v="Surgery"/>
    <s v="Admission"/>
    <s v="Male"/>
    <n v="6"/>
    <n v="6"/>
    <n v="0"/>
    <n v="2.7"/>
    <n v="1"/>
  </r>
  <r>
    <s v="2023-05"/>
    <d v="2023-05-01T00:00:00"/>
    <s v="May"/>
    <s v="FCT"/>
    <x v="1"/>
    <s v="Internal Medicine"/>
    <s v="Surgery"/>
    <s v="Male"/>
    <n v="8"/>
    <n v="8"/>
    <n v="0"/>
    <n v="3.2"/>
    <n v="1"/>
  </r>
  <r>
    <s v="2023-01"/>
    <d v="2023-01-01T00:00:00"/>
    <s v="January"/>
    <s v="Delta"/>
    <x v="0"/>
    <s v="Surgery"/>
    <s v="Delivery"/>
    <s v="Female"/>
    <n v="5"/>
    <n v="5"/>
    <n v="0"/>
    <n v="2.7"/>
    <n v="1"/>
  </r>
  <r>
    <s v="2023-03"/>
    <d v="2023-03-01T00:00:00"/>
    <s v="March"/>
    <s v="Lagos"/>
    <x v="3"/>
    <s v="Maternity"/>
    <s v="Surgery"/>
    <s v="Female"/>
    <n v="5"/>
    <n v="5"/>
    <n v="0"/>
    <n v="3.9"/>
    <n v="1"/>
  </r>
  <r>
    <s v="2023-02"/>
    <d v="2023-02-01T00:00:00"/>
    <s v="February"/>
    <s v="Borno"/>
    <x v="9"/>
    <s v="Surgery"/>
    <s v="Admission"/>
    <s v="Male"/>
    <n v="7"/>
    <n v="6"/>
    <n v="0"/>
    <n v="4.3"/>
    <n v="0.8571428571428571"/>
  </r>
  <r>
    <s v="2023-06"/>
    <d v="2023-06-01T00:00:00"/>
    <s v="June"/>
    <s v="Rivers"/>
    <x v="18"/>
    <s v="Internal Medicine"/>
    <s v="Surgery"/>
    <s v="Male"/>
    <n v="7"/>
    <n v="7"/>
    <n v="0"/>
    <n v="-0.5"/>
    <n v="1"/>
  </r>
  <r>
    <s v="2023-12"/>
    <d v="2023-12-01T00:00:00"/>
    <s v="December"/>
    <s v="Delta"/>
    <x v="0"/>
    <s v="Emergency"/>
    <s v="Consultation"/>
    <s v="Female"/>
    <n v="3"/>
    <n v="3"/>
    <n v="0"/>
    <n v="2.8"/>
    <n v="1"/>
  </r>
  <r>
    <s v="2023-08"/>
    <d v="2023-08-01T00:00:00"/>
    <s v="August"/>
    <s v="Oyo"/>
    <x v="14"/>
    <s v="Pediatrics"/>
    <s v="Medication"/>
    <s v="Male"/>
    <n v="3"/>
    <n v="3"/>
    <n v="0"/>
    <n v="4.4000000000000004"/>
    <n v="1"/>
  </r>
  <r>
    <s v="2023-07"/>
    <d v="2023-07-01T00:00:00"/>
    <s v="July"/>
    <s v="Rivers"/>
    <x v="18"/>
    <s v="Surgery"/>
    <s v="Lab Test"/>
    <s v="Female"/>
    <n v="6"/>
    <n v="4"/>
    <n v="2"/>
    <n v="2.9"/>
    <n v="0.66666666666666663"/>
  </r>
  <r>
    <s v="2023-08"/>
    <d v="2023-08-01T00:00:00"/>
    <s v="August"/>
    <s v="Delta"/>
    <x v="0"/>
    <s v="Pediatrics"/>
    <s v="Surgery"/>
    <s v="Male"/>
    <n v="1"/>
    <n v="1"/>
    <n v="0"/>
    <n v="3.6"/>
    <n v="1"/>
  </r>
  <r>
    <s v="2023-05"/>
    <d v="2023-05-01T00:00:00"/>
    <s v="May"/>
    <s v="Rivers"/>
    <x v="18"/>
    <s v="Pediatrics"/>
    <s v="Surgery"/>
    <s v="Male"/>
    <n v="8"/>
    <n v="7"/>
    <n v="0"/>
    <n v="3.1"/>
    <n v="0.875"/>
  </r>
  <r>
    <s v="2023-11"/>
    <d v="2023-11-01T00:00:00"/>
    <s v="November"/>
    <s v="Borno"/>
    <x v="9"/>
    <s v="Outpatient"/>
    <s v="Consultation"/>
    <s v="Female"/>
    <n v="8"/>
    <n v="8"/>
    <n v="0"/>
    <n v="2.7"/>
    <n v="1"/>
  </r>
  <r>
    <s v="2023-09"/>
    <d v="2023-09-01T00:00:00"/>
    <s v="September"/>
    <s v="Anambra"/>
    <x v="19"/>
    <s v="Internal Medicine"/>
    <s v="Admission"/>
    <s v="Male"/>
    <n v="5"/>
    <n v="4"/>
    <n v="0"/>
    <n v="2.6"/>
    <n v="0.8"/>
  </r>
  <r>
    <s v="2023-11"/>
    <d v="2023-11-01T00:00:00"/>
    <s v="November"/>
    <s v="Edo"/>
    <x v="4"/>
    <s v="Maternity"/>
    <s v="Delivery"/>
    <s v="Male"/>
    <n v="5"/>
    <n v="5"/>
    <n v="1"/>
    <n v="1.8"/>
    <n v="1"/>
  </r>
  <r>
    <s v="2023-08"/>
    <d v="2023-08-01T00:00:00"/>
    <s v="August"/>
    <s v="Kaduna"/>
    <x v="5"/>
    <s v="Surgery"/>
    <s v="Lab Test"/>
    <s v="Female"/>
    <n v="5"/>
    <n v="5"/>
    <n v="0"/>
    <n v="3"/>
    <n v="1"/>
  </r>
  <r>
    <s v="2023-10"/>
    <d v="2023-10-01T00:00:00"/>
    <s v="October"/>
    <s v="Kaduna"/>
    <x v="6"/>
    <s v="Internal Medicine"/>
    <s v="Medication"/>
    <s v="Female"/>
    <n v="6"/>
    <n v="6"/>
    <n v="0"/>
    <n v="1.5"/>
    <n v="1"/>
  </r>
  <r>
    <s v="2023-10"/>
    <d v="2023-10-01T00:00:00"/>
    <s v="October"/>
    <s v="Kano"/>
    <x v="7"/>
    <s v="Surgery"/>
    <s v="Surgery"/>
    <s v="Female"/>
    <n v="5"/>
    <n v="5"/>
    <n v="0"/>
    <n v="4"/>
    <n v="1"/>
  </r>
  <r>
    <s v="2023-09"/>
    <d v="2023-09-01T00:00:00"/>
    <s v="September"/>
    <s v="Edo"/>
    <x v="4"/>
    <s v="Pediatrics"/>
    <s v="Admission"/>
    <s v="Female"/>
    <n v="3"/>
    <n v="3"/>
    <n v="0"/>
    <n v="2.2999999999999998"/>
    <n v="1"/>
  </r>
  <r>
    <s v="2023-07"/>
    <d v="2023-07-01T00:00:00"/>
    <s v="July"/>
    <s v="Oyo"/>
    <x v="17"/>
    <s v="Maternity"/>
    <s v="Delivery"/>
    <s v="Female"/>
    <n v="5"/>
    <n v="5"/>
    <n v="0"/>
    <n v="2.6"/>
    <n v="1"/>
  </r>
  <r>
    <s v="2023-08"/>
    <d v="2023-08-01T00:00:00"/>
    <s v="August"/>
    <s v="Edo"/>
    <x v="4"/>
    <s v="Outpatient"/>
    <s v="Surgery"/>
    <s v="Female"/>
    <n v="3"/>
    <n v="3"/>
    <n v="0"/>
    <n v="3.2"/>
    <n v="1"/>
  </r>
  <r>
    <s v="2023-07"/>
    <d v="2023-07-01T00:00:00"/>
    <s v="July"/>
    <s v="Edo"/>
    <x v="11"/>
    <s v="Surgery"/>
    <s v="Delivery"/>
    <s v="Female"/>
    <n v="5"/>
    <n v="5"/>
    <n v="0"/>
    <n v="3.7"/>
    <n v="1"/>
  </r>
  <r>
    <s v="2023-01"/>
    <d v="2023-01-01T00:00:00"/>
    <s v="January"/>
    <s v="Delta"/>
    <x v="0"/>
    <s v="Maternity"/>
    <s v="Admission"/>
    <s v="Female"/>
    <n v="6"/>
    <n v="5"/>
    <n v="1"/>
    <n v="3.1"/>
    <n v="0.83333333333333337"/>
  </r>
  <r>
    <s v="2023-06"/>
    <d v="2023-06-01T00:00:00"/>
    <s v="June"/>
    <s v="Lagos"/>
    <x v="3"/>
    <s v="Surgery"/>
    <s v="Admission"/>
    <s v="Female"/>
    <n v="3"/>
    <n v="3"/>
    <n v="0"/>
    <n v="3.3"/>
    <n v="1"/>
  </r>
  <r>
    <s v="2023-01"/>
    <d v="2023-01-01T00:00:00"/>
    <s v="January"/>
    <s v="FCT"/>
    <x v="1"/>
    <s v="Internal Medicine"/>
    <s v="Delivery"/>
    <s v="Male"/>
    <n v="8"/>
    <n v="6"/>
    <n v="1"/>
    <n v="2.8"/>
    <n v="0.75"/>
  </r>
  <r>
    <s v="2023-09"/>
    <d v="2023-09-01T00:00:00"/>
    <s v="September"/>
    <s v="Lagos"/>
    <x v="3"/>
    <s v="Internal Medicine"/>
    <s v="Delivery"/>
    <s v="Female"/>
    <n v="3"/>
    <n v="3"/>
    <n v="0"/>
    <n v="4.5999999999999996"/>
    <n v="1"/>
  </r>
  <r>
    <s v="2023-12"/>
    <d v="2023-12-01T00:00:00"/>
    <s v="December"/>
    <s v="Oyo"/>
    <x v="14"/>
    <s v="Surgery"/>
    <s v="Delivery"/>
    <s v="Male"/>
    <n v="2"/>
    <n v="1"/>
    <n v="0"/>
    <n v="1.3"/>
    <n v="0.5"/>
  </r>
  <r>
    <s v="2023-05"/>
    <d v="2023-05-01T00:00:00"/>
    <s v="May"/>
    <s v="Kano"/>
    <x v="7"/>
    <s v="Pediatrics"/>
    <s v="Lab Test"/>
    <s v="Female"/>
    <n v="4"/>
    <n v="4"/>
    <n v="0"/>
    <n v="1.2"/>
    <n v="1"/>
  </r>
  <r>
    <s v="2023-02"/>
    <d v="2023-02-01T00:00:00"/>
    <s v="February"/>
    <s v="Edo"/>
    <x v="11"/>
    <s v="Internal Medicine"/>
    <s v="Admission"/>
    <s v="Male"/>
    <n v="3"/>
    <n v="3"/>
    <n v="0"/>
    <n v="3.3"/>
    <n v="1"/>
  </r>
  <r>
    <s v="2023-09"/>
    <d v="2023-09-01T00:00:00"/>
    <s v="September"/>
    <s v="FCT"/>
    <x v="1"/>
    <s v="Outpatient"/>
    <s v="Surgery"/>
    <s v="Male"/>
    <n v="7"/>
    <n v="6"/>
    <n v="0"/>
    <n v="1.4"/>
    <n v="0.8571428571428571"/>
  </r>
  <r>
    <s v="2023-06"/>
    <d v="2023-06-01T00:00:00"/>
    <s v="June"/>
    <s v="Rivers"/>
    <x v="10"/>
    <s v="Internal Medicine"/>
    <s v="Admission"/>
    <s v="Male"/>
    <n v="5"/>
    <n v="4"/>
    <n v="0"/>
    <n v="2.6"/>
    <n v="0.8"/>
  </r>
  <r>
    <s v="2023-08"/>
    <d v="2023-08-01T00:00:00"/>
    <s v="August"/>
    <s v="Edo"/>
    <x v="11"/>
    <s v="Emergency"/>
    <s v="Surgery"/>
    <s v="Male"/>
    <n v="5"/>
    <n v="5"/>
    <n v="0"/>
    <n v="1.8"/>
    <n v="1"/>
  </r>
  <r>
    <s v="2023-06"/>
    <d v="2023-06-01T00:00:00"/>
    <s v="June"/>
    <s v="Borno"/>
    <x v="13"/>
    <s v="Outpatient"/>
    <s v="Delivery"/>
    <s v="Male"/>
    <n v="3"/>
    <n v="2"/>
    <n v="0"/>
    <n v="4"/>
    <n v="0.66666666666666663"/>
  </r>
  <r>
    <s v="2023-06"/>
    <d v="2023-06-01T00:00:00"/>
    <s v="June"/>
    <s v="Rivers"/>
    <x v="18"/>
    <s v="Pediatrics"/>
    <s v="Delivery"/>
    <s v="Male"/>
    <n v="3"/>
    <n v="3"/>
    <n v="0"/>
    <n v="1.6"/>
    <n v="1"/>
  </r>
  <r>
    <s v="2023-02"/>
    <d v="2023-02-01T00:00:00"/>
    <s v="February"/>
    <s v="Rivers"/>
    <x v="10"/>
    <s v="Surgery"/>
    <s v="Surgery"/>
    <s v="Female"/>
    <n v="5"/>
    <n v="5"/>
    <n v="0"/>
    <n v="4.2"/>
    <n v="1"/>
  </r>
  <r>
    <s v="2023-03"/>
    <d v="2023-03-01T00:00:00"/>
    <s v="March"/>
    <s v="Kano"/>
    <x v="7"/>
    <s v="Maternity"/>
    <s v="Surgery"/>
    <s v="Male"/>
    <n v="7"/>
    <n v="7"/>
    <n v="1"/>
    <n v="1.6"/>
    <n v="1"/>
  </r>
  <r>
    <s v="2023-10"/>
    <d v="2023-10-01T00:00:00"/>
    <s v="October"/>
    <s v="Rivers"/>
    <x v="18"/>
    <s v="Emergency"/>
    <s v="Admission"/>
    <s v="Female"/>
    <n v="6"/>
    <n v="5"/>
    <n v="0"/>
    <n v="1.6"/>
    <n v="0.83333333333333337"/>
  </r>
  <r>
    <s v="2023-01"/>
    <d v="2023-01-01T00:00:00"/>
    <s v="January"/>
    <s v="Anambra"/>
    <x v="19"/>
    <s v="Internal Medicine"/>
    <s v="Admission"/>
    <s v="Female"/>
    <n v="3"/>
    <n v="2"/>
    <n v="0"/>
    <n v="2.1"/>
    <n v="0.66666666666666663"/>
  </r>
  <r>
    <s v="2023-10"/>
    <d v="2023-10-01T00:00:00"/>
    <s v="October"/>
    <s v="Rivers"/>
    <x v="10"/>
    <s v="Emergency"/>
    <s v="Surgery"/>
    <s v="Male"/>
    <n v="8"/>
    <n v="8"/>
    <n v="0"/>
    <n v="2.6"/>
    <n v="1"/>
  </r>
  <r>
    <s v="2023-11"/>
    <d v="2023-11-01T00:00:00"/>
    <s v="November"/>
    <s v="Anambra"/>
    <x v="19"/>
    <s v="Pediatrics"/>
    <s v="Medication"/>
    <s v="Female"/>
    <n v="3"/>
    <n v="2"/>
    <n v="0"/>
    <n v="3.5"/>
    <n v="0.66666666666666663"/>
  </r>
  <r>
    <s v="2023-03"/>
    <d v="2023-03-01T00:00:00"/>
    <s v="March"/>
    <s v="Edo"/>
    <x v="11"/>
    <s v="Internal Medicine"/>
    <s v="Medication"/>
    <s v="Female"/>
    <n v="5"/>
    <n v="5"/>
    <n v="0"/>
    <n v="5"/>
    <n v="1"/>
  </r>
  <r>
    <s v="2023-01"/>
    <d v="2023-01-01T00:00:00"/>
    <s v="January"/>
    <s v="Oyo"/>
    <x v="14"/>
    <s v="Outpatient"/>
    <s v="Surgery"/>
    <s v="Male"/>
    <n v="4"/>
    <n v="4"/>
    <n v="1"/>
    <n v="2"/>
    <n v="1"/>
  </r>
  <r>
    <s v="2023-11"/>
    <d v="2023-11-01T00:00:00"/>
    <s v="November"/>
    <s v="Lagos"/>
    <x v="15"/>
    <s v="Maternity"/>
    <s v="Admission"/>
    <s v="Female"/>
    <n v="4"/>
    <n v="3"/>
    <n v="0"/>
    <n v="2.2000000000000002"/>
    <n v="0.75"/>
  </r>
  <r>
    <s v="2023-03"/>
    <d v="2023-03-01T00:00:00"/>
    <s v="March"/>
    <s v="FCT"/>
    <x v="1"/>
    <s v="Pediatrics"/>
    <s v="Medication"/>
    <s v="Female"/>
    <n v="5"/>
    <n v="5"/>
    <n v="0"/>
    <n v="4.2"/>
    <n v="1"/>
  </r>
  <r>
    <s v="2023-07"/>
    <d v="2023-07-01T00:00:00"/>
    <s v="July"/>
    <s v="Edo"/>
    <x v="11"/>
    <s v="Emergency"/>
    <s v="Admission"/>
    <s v="Male"/>
    <n v="5"/>
    <n v="5"/>
    <n v="0"/>
    <n v="3"/>
    <n v="1"/>
  </r>
  <r>
    <s v="2023-11"/>
    <d v="2023-11-01T00:00:00"/>
    <s v="November"/>
    <s v="Delta"/>
    <x v="0"/>
    <s v="Pediatrics"/>
    <s v="Delivery"/>
    <s v="Male"/>
    <n v="3"/>
    <n v="3"/>
    <n v="0"/>
    <n v="3.3"/>
    <n v="1"/>
  </r>
  <r>
    <s v="2023-08"/>
    <d v="2023-08-01T00:00:00"/>
    <s v="August"/>
    <s v="Kaduna"/>
    <x v="6"/>
    <s v="Outpatient"/>
    <s v="Lab Test"/>
    <s v="Male"/>
    <n v="5"/>
    <n v="5"/>
    <n v="0"/>
    <n v="3.1"/>
    <n v="1"/>
  </r>
  <r>
    <s v="2023-08"/>
    <d v="2023-08-01T00:00:00"/>
    <s v="August"/>
    <s v="Oyo"/>
    <x v="17"/>
    <s v="Surgery"/>
    <s v="Admission"/>
    <s v="Male"/>
    <n v="8"/>
    <n v="6"/>
    <n v="0"/>
    <n v="3.7"/>
    <n v="0.75"/>
  </r>
  <r>
    <s v="2023-07"/>
    <d v="2023-07-01T00:00:00"/>
    <s v="July"/>
    <s v="Borno"/>
    <x v="13"/>
    <s v="Internal Medicine"/>
    <s v="Admission"/>
    <s v="Male"/>
    <n v="2"/>
    <n v="2"/>
    <n v="0"/>
    <n v="0.8"/>
    <n v="1"/>
  </r>
  <r>
    <s v="2023-07"/>
    <d v="2023-07-01T00:00:00"/>
    <s v="July"/>
    <s v="Lagos"/>
    <x v="15"/>
    <s v="Maternity"/>
    <s v="Delivery"/>
    <s v="Male"/>
    <n v="5"/>
    <n v="5"/>
    <n v="0"/>
    <n v="2.2000000000000002"/>
    <n v="1"/>
  </r>
  <r>
    <s v="2023-05"/>
    <d v="2023-05-01T00:00:00"/>
    <s v="May"/>
    <s v="Borno"/>
    <x v="9"/>
    <s v="Surgery"/>
    <s v="Consultation"/>
    <s v="Male"/>
    <n v="3"/>
    <n v="2"/>
    <n v="0"/>
    <n v="4.8"/>
    <n v="0.66666666666666663"/>
  </r>
  <r>
    <s v="2023-11"/>
    <d v="2023-11-01T00:00:00"/>
    <s v="November"/>
    <s v="Lagos"/>
    <x v="3"/>
    <s v="Emergency"/>
    <s v="Medication"/>
    <s v="Female"/>
    <n v="4"/>
    <n v="1"/>
    <n v="0"/>
    <n v="2"/>
    <n v="0.25"/>
  </r>
  <r>
    <s v="2023-06"/>
    <d v="2023-06-01T00:00:00"/>
    <s v="June"/>
    <s v="Delta"/>
    <x v="12"/>
    <s v="Outpatient"/>
    <s v="Lab Test"/>
    <s v="Male"/>
    <n v="6"/>
    <n v="6"/>
    <n v="0"/>
    <n v="3.5"/>
    <n v="1"/>
  </r>
  <r>
    <s v="2023-02"/>
    <d v="2023-02-01T00:00:00"/>
    <s v="February"/>
    <s v="Delta"/>
    <x v="0"/>
    <s v="Outpatient"/>
    <s v="Delivery"/>
    <s v="Female"/>
    <n v="5"/>
    <n v="4"/>
    <n v="1"/>
    <n v="4.0999999999999996"/>
    <n v="0.8"/>
  </r>
  <r>
    <s v="2023-11"/>
    <d v="2023-11-01T00:00:00"/>
    <s v="November"/>
    <s v="Anambra"/>
    <x v="19"/>
    <s v="Surgery"/>
    <s v="Consultation"/>
    <s v="Female"/>
    <n v="8"/>
    <n v="7"/>
    <n v="0"/>
    <n v="2.8"/>
    <n v="0.875"/>
  </r>
  <r>
    <s v="2023-10"/>
    <d v="2023-10-01T00:00:00"/>
    <s v="October"/>
    <s v="FCT"/>
    <x v="16"/>
    <s v="Emergency"/>
    <s v="Admission"/>
    <s v="Male"/>
    <n v="4"/>
    <n v="4"/>
    <n v="0"/>
    <n v="3"/>
    <n v="1"/>
  </r>
  <r>
    <s v="2023-12"/>
    <d v="2023-12-01T00:00:00"/>
    <s v="December"/>
    <s v="Kaduna"/>
    <x v="6"/>
    <s v="Outpatient"/>
    <s v="Admission"/>
    <s v="Male"/>
    <n v="3"/>
    <n v="3"/>
    <n v="0"/>
    <n v="2.6"/>
    <n v="1"/>
  </r>
  <r>
    <s v="2023-08"/>
    <d v="2023-08-01T00:00:00"/>
    <s v="August"/>
    <s v="Lagos"/>
    <x v="3"/>
    <s v="Emergency"/>
    <s v="Delivery"/>
    <s v="Male"/>
    <n v="3"/>
    <n v="3"/>
    <n v="0"/>
    <n v="3.6"/>
    <n v="1"/>
  </r>
  <r>
    <s v="2023-07"/>
    <d v="2023-07-01T00:00:00"/>
    <s v="July"/>
    <s v="Oyo"/>
    <x v="17"/>
    <s v="Internal Medicine"/>
    <s v="Surgery"/>
    <s v="Male"/>
    <n v="5"/>
    <n v="4"/>
    <n v="1"/>
    <n v="3.7"/>
    <n v="0.8"/>
  </r>
  <r>
    <s v="2023-07"/>
    <d v="2023-07-01T00:00:00"/>
    <s v="July"/>
    <s v="Lagos"/>
    <x v="15"/>
    <s v="Pediatrics"/>
    <s v="Lab Test"/>
    <s v="Male"/>
    <n v="6"/>
    <n v="5"/>
    <n v="0"/>
    <n v="3.1"/>
    <n v="0.83333333333333337"/>
  </r>
  <r>
    <s v="2023-09"/>
    <d v="2023-09-01T00:00:00"/>
    <s v="September"/>
    <s v="Edo"/>
    <x v="4"/>
    <s v="Emergency"/>
    <s v="Medication"/>
    <s v="Male"/>
    <n v="5"/>
    <n v="3"/>
    <n v="0"/>
    <n v="4"/>
    <n v="0.6"/>
  </r>
  <r>
    <s v="2023-08"/>
    <d v="2023-08-01T00:00:00"/>
    <s v="August"/>
    <s v="FCT"/>
    <x v="16"/>
    <s v="Internal Medicine"/>
    <s v="Delivery"/>
    <s v="Male"/>
    <n v="5"/>
    <n v="5"/>
    <n v="1"/>
    <n v="3.6"/>
    <n v="1"/>
  </r>
  <r>
    <s v="2023-12"/>
    <d v="2023-12-01T00:00:00"/>
    <s v="December"/>
    <s v="Kaduna"/>
    <x v="5"/>
    <s v="Internal Medicine"/>
    <s v="Admission"/>
    <s v="Female"/>
    <n v="9"/>
    <n v="9"/>
    <n v="0"/>
    <n v="1.5"/>
    <n v="1"/>
  </r>
  <r>
    <s v="2023-04"/>
    <d v="2023-04-01T00:00:00"/>
    <s v="April"/>
    <s v="FCT"/>
    <x v="1"/>
    <s v="Outpatient"/>
    <s v="Consultation"/>
    <s v="Female"/>
    <n v="4"/>
    <n v="4"/>
    <n v="0"/>
    <n v="2.2000000000000002"/>
    <n v="1"/>
  </r>
  <r>
    <s v="2023-04"/>
    <d v="2023-04-01T00:00:00"/>
    <s v="April"/>
    <s v="Kaduna"/>
    <x v="6"/>
    <s v="Internal Medicine"/>
    <s v="Admission"/>
    <s v="Male"/>
    <n v="7"/>
    <n v="6"/>
    <n v="1"/>
    <n v="2.9"/>
    <n v="0.8571428571428571"/>
  </r>
  <r>
    <s v="2023-01"/>
    <d v="2023-01-01T00:00:00"/>
    <s v="January"/>
    <s v="Borno"/>
    <x v="13"/>
    <s v="Outpatient"/>
    <s v="Medication"/>
    <s v="Female"/>
    <n v="2"/>
    <n v="1"/>
    <n v="0"/>
    <n v="1.9"/>
    <n v="0.5"/>
  </r>
  <r>
    <s v="2023-07"/>
    <d v="2023-07-01T00:00:00"/>
    <s v="July"/>
    <s v="Kano"/>
    <x v="8"/>
    <s v="Maternity"/>
    <s v="Delivery"/>
    <s v="Male"/>
    <n v="0"/>
    <n v="0"/>
    <n v="0"/>
    <n v="3.1"/>
    <n v="0"/>
  </r>
  <r>
    <s v="2023-06"/>
    <d v="2023-06-01T00:00:00"/>
    <s v="June"/>
    <s v="Kaduna"/>
    <x v="6"/>
    <s v="Outpatient"/>
    <s v="Admission"/>
    <s v="Male"/>
    <n v="4"/>
    <n v="4"/>
    <n v="0"/>
    <n v="2.1"/>
    <n v="1"/>
  </r>
  <r>
    <s v="2023-08"/>
    <d v="2023-08-01T00:00:00"/>
    <s v="August"/>
    <s v="FCT"/>
    <x v="16"/>
    <s v="Surgery"/>
    <s v="Admission"/>
    <s v="Female"/>
    <n v="6"/>
    <n v="5"/>
    <n v="0"/>
    <n v="4.0999999999999996"/>
    <n v="0.83333333333333337"/>
  </r>
  <r>
    <s v="2023-07"/>
    <d v="2023-07-01T00:00:00"/>
    <s v="July"/>
    <s v="Delta"/>
    <x v="0"/>
    <s v="Internal Medicine"/>
    <s v="Surgery"/>
    <s v="Female"/>
    <n v="6"/>
    <n v="5"/>
    <n v="0"/>
    <n v="4.5"/>
    <n v="0.83333333333333337"/>
  </r>
  <r>
    <s v="2023-03"/>
    <d v="2023-03-01T00:00:00"/>
    <s v="March"/>
    <s v="Borno"/>
    <x v="9"/>
    <s v="Surgery"/>
    <s v="Lab Test"/>
    <s v="Male"/>
    <n v="4"/>
    <n v="3"/>
    <n v="0"/>
    <n v="2.2000000000000002"/>
    <n v="0.75"/>
  </r>
  <r>
    <s v="2023-05"/>
    <d v="2023-05-01T00:00:00"/>
    <s v="May"/>
    <s v="Lagos"/>
    <x v="15"/>
    <s v="Emergency"/>
    <s v="Surgery"/>
    <s v="Male"/>
    <n v="4"/>
    <n v="4"/>
    <n v="0"/>
    <n v="3"/>
    <n v="1"/>
  </r>
  <r>
    <s v="2023-08"/>
    <d v="2023-08-01T00:00:00"/>
    <s v="August"/>
    <s v="Anambra"/>
    <x v="19"/>
    <s v="Emergency"/>
    <s v="Consultation"/>
    <s v="Female"/>
    <n v="3"/>
    <n v="2"/>
    <n v="0"/>
    <n v="4"/>
    <n v="0.66666666666666663"/>
  </r>
  <r>
    <s v="2023-03"/>
    <d v="2023-03-01T00:00:00"/>
    <s v="March"/>
    <s v="FCT"/>
    <x v="16"/>
    <s v="Pediatrics"/>
    <s v="Lab Test"/>
    <s v="Male"/>
    <n v="3"/>
    <n v="3"/>
    <n v="0"/>
    <n v="4.9000000000000004"/>
    <n v="1"/>
  </r>
  <r>
    <s v="2023-08"/>
    <d v="2023-08-01T00:00:00"/>
    <s v="August"/>
    <s v="Rivers"/>
    <x v="18"/>
    <s v="Maternity"/>
    <s v="Lab Test"/>
    <s v="Male"/>
    <n v="1"/>
    <n v="0"/>
    <n v="0"/>
    <n v="2.1"/>
    <n v="0"/>
  </r>
  <r>
    <s v="2023-12"/>
    <d v="2023-12-01T00:00:00"/>
    <s v="December"/>
    <s v="Borno"/>
    <x v="9"/>
    <s v="Outpatient"/>
    <s v="Lab Test"/>
    <s v="Male"/>
    <n v="2"/>
    <n v="2"/>
    <n v="1"/>
    <n v="2.2999999999999998"/>
    <n v="1"/>
  </r>
  <r>
    <s v="2023-12"/>
    <d v="2023-12-01T00:00:00"/>
    <s v="December"/>
    <s v="Lagos"/>
    <x v="15"/>
    <s v="Surgery"/>
    <s v="Surgery"/>
    <s v="Male"/>
    <n v="4"/>
    <n v="4"/>
    <n v="0"/>
    <n v="2.7"/>
    <n v="1"/>
  </r>
  <r>
    <s v="2023-09"/>
    <d v="2023-09-01T00:00:00"/>
    <s v="September"/>
    <s v="Kano"/>
    <x v="7"/>
    <s v="Surgery"/>
    <s v="Surgery"/>
    <s v="Female"/>
    <n v="3"/>
    <n v="3"/>
    <n v="1"/>
    <n v="3.1"/>
    <n v="1"/>
  </r>
  <r>
    <s v="2023-04"/>
    <d v="2023-04-01T00:00:00"/>
    <s v="April"/>
    <s v="Kaduna"/>
    <x v="5"/>
    <s v="Pediatrics"/>
    <s v="Lab Test"/>
    <s v="Male"/>
    <n v="7"/>
    <n v="6"/>
    <n v="0"/>
    <n v="3.9"/>
    <n v="0.8571428571428571"/>
  </r>
  <r>
    <s v="2023-12"/>
    <d v="2023-12-01T00:00:00"/>
    <s v="December"/>
    <s v="Kano"/>
    <x v="7"/>
    <s v="Emergency"/>
    <s v="Medication"/>
    <s v="Female"/>
    <n v="4"/>
    <n v="4"/>
    <n v="0"/>
    <n v="2.1"/>
    <n v="1"/>
  </r>
  <r>
    <s v="2023-01"/>
    <d v="2023-01-01T00:00:00"/>
    <s v="January"/>
    <s v="Kano"/>
    <x v="7"/>
    <s v="Pediatrics"/>
    <s v="Surgery"/>
    <s v="Male"/>
    <n v="5"/>
    <n v="4"/>
    <n v="1"/>
    <n v="4.5"/>
    <n v="0.8"/>
  </r>
  <r>
    <s v="2023-05"/>
    <d v="2023-05-01T00:00:00"/>
    <s v="May"/>
    <s v="Delta"/>
    <x v="12"/>
    <s v="Internal Medicine"/>
    <s v="Lab Test"/>
    <s v="Male"/>
    <n v="2"/>
    <n v="2"/>
    <n v="0"/>
    <n v="2.2999999999999998"/>
    <n v="1"/>
  </r>
  <r>
    <s v="2023-06"/>
    <d v="2023-06-01T00:00:00"/>
    <s v="June"/>
    <s v="Delta"/>
    <x v="12"/>
    <s v="Internal Medicine"/>
    <s v="Lab Test"/>
    <s v="Male"/>
    <n v="4"/>
    <n v="4"/>
    <n v="0"/>
    <n v="4"/>
    <n v="1"/>
  </r>
  <r>
    <s v="2023-02"/>
    <d v="2023-02-01T00:00:00"/>
    <s v="February"/>
    <s v="Kaduna"/>
    <x v="5"/>
    <s v="Pediatrics"/>
    <s v="Lab Test"/>
    <s v="Female"/>
    <n v="1"/>
    <n v="1"/>
    <n v="0"/>
    <n v="1.7"/>
    <n v="1"/>
  </r>
  <r>
    <s v="2023-08"/>
    <d v="2023-08-01T00:00:00"/>
    <s v="August"/>
    <s v="Anambra"/>
    <x v="19"/>
    <s v="Maternity"/>
    <s v="Surgery"/>
    <s v="Male"/>
    <n v="2"/>
    <n v="1"/>
    <n v="0"/>
    <n v="1.6"/>
    <n v="0.5"/>
  </r>
  <r>
    <s v="2023-10"/>
    <d v="2023-10-01T00:00:00"/>
    <s v="October"/>
    <s v="Kaduna"/>
    <x v="6"/>
    <s v="Outpatient"/>
    <s v="Delivery"/>
    <s v="Female"/>
    <n v="5"/>
    <n v="5"/>
    <n v="0"/>
    <n v="4"/>
    <n v="1"/>
  </r>
  <r>
    <s v="2023-07"/>
    <d v="2023-07-01T00:00:00"/>
    <s v="July"/>
    <s v="Kano"/>
    <x v="7"/>
    <s v="Internal Medicine"/>
    <s v="Lab Test"/>
    <s v="Female"/>
    <n v="4"/>
    <n v="4"/>
    <n v="0"/>
    <n v="3.1"/>
    <n v="1"/>
  </r>
  <r>
    <s v="2023-04"/>
    <d v="2023-04-01T00:00:00"/>
    <s v="April"/>
    <s v="Rivers"/>
    <x v="18"/>
    <s v="Maternity"/>
    <s v="Admission"/>
    <s v="Male"/>
    <n v="7"/>
    <n v="5"/>
    <n v="0"/>
    <n v="2.2999999999999998"/>
    <n v="0.7142857142857143"/>
  </r>
  <r>
    <s v="2023-07"/>
    <d v="2023-07-01T00:00:00"/>
    <s v="July"/>
    <s v="Rivers"/>
    <x v="18"/>
    <s v="Surgery"/>
    <s v="Delivery"/>
    <s v="Male"/>
    <n v="3"/>
    <n v="2"/>
    <n v="0"/>
    <n v="2.1"/>
    <n v="0.66666666666666663"/>
  </r>
  <r>
    <s v="2023-02"/>
    <d v="2023-02-01T00:00:00"/>
    <s v="February"/>
    <s v="Lagos"/>
    <x v="3"/>
    <s v="Maternity"/>
    <s v="Medication"/>
    <s v="Female"/>
    <n v="4"/>
    <n v="4"/>
    <n v="0"/>
    <n v="2.2000000000000002"/>
    <n v="1"/>
  </r>
  <r>
    <s v="2023-07"/>
    <d v="2023-07-01T00:00:00"/>
    <s v="July"/>
    <s v="Edo"/>
    <x v="4"/>
    <s v="Maternity"/>
    <s v="Medication"/>
    <s v="Female"/>
    <n v="4"/>
    <n v="4"/>
    <n v="1"/>
    <n v="3.4"/>
    <n v="1"/>
  </r>
  <r>
    <s v="2023-01"/>
    <d v="2023-01-01T00:00:00"/>
    <s v="January"/>
    <s v="Delta"/>
    <x v="0"/>
    <s v="Maternity"/>
    <s v="Medication"/>
    <s v="Male"/>
    <n v="8"/>
    <n v="8"/>
    <n v="0"/>
    <n v="5.6"/>
    <n v="1"/>
  </r>
  <r>
    <s v="2023-05"/>
    <d v="2023-05-01T00:00:00"/>
    <s v="May"/>
    <s v="Kano"/>
    <x v="7"/>
    <s v="Internal Medicine"/>
    <s v="Medication"/>
    <s v="Female"/>
    <n v="5"/>
    <n v="5"/>
    <n v="0"/>
    <n v="3.3"/>
    <n v="1"/>
  </r>
  <r>
    <s v="2023-10"/>
    <d v="2023-10-01T00:00:00"/>
    <s v="October"/>
    <s v="Edo"/>
    <x v="11"/>
    <s v="Pediatrics"/>
    <s v="Consultation"/>
    <s v="Male"/>
    <n v="6"/>
    <n v="6"/>
    <n v="1"/>
    <n v="5"/>
    <n v="1"/>
  </r>
  <r>
    <s v="2023-04"/>
    <d v="2023-04-01T00:00:00"/>
    <s v="April"/>
    <s v="Borno"/>
    <x v="9"/>
    <s v="Surgery"/>
    <s v="Surgery"/>
    <s v="Male"/>
    <n v="2"/>
    <n v="1"/>
    <n v="0"/>
    <n v="3.4"/>
    <n v="0.5"/>
  </r>
  <r>
    <s v="2023-04"/>
    <d v="2023-04-01T00:00:00"/>
    <s v="April"/>
    <s v="FCT"/>
    <x v="1"/>
    <s v="Emergency"/>
    <s v="Delivery"/>
    <s v="Female"/>
    <n v="3"/>
    <n v="3"/>
    <n v="0"/>
    <n v="3.9"/>
    <n v="1"/>
  </r>
  <r>
    <s v="2023-07"/>
    <d v="2023-07-01T00:00:00"/>
    <s v="July"/>
    <s v="Kaduna"/>
    <x v="5"/>
    <s v="Emergency"/>
    <s v="Delivery"/>
    <s v="Female"/>
    <n v="6"/>
    <n v="5"/>
    <n v="0"/>
    <n v="2.8"/>
    <n v="0.83333333333333337"/>
  </r>
  <r>
    <s v="2023-01"/>
    <d v="2023-01-01T00:00:00"/>
    <s v="January"/>
    <s v="Oyo"/>
    <x v="14"/>
    <s v="Surgery"/>
    <s v="Consultation"/>
    <s v="Male"/>
    <n v="4"/>
    <n v="4"/>
    <n v="0"/>
    <n v="2.8"/>
    <n v="1"/>
  </r>
  <r>
    <s v="2023-10"/>
    <d v="2023-10-01T00:00:00"/>
    <s v="October"/>
    <s v="Borno"/>
    <x v="13"/>
    <s v="Maternity"/>
    <s v="Surgery"/>
    <s v="Male"/>
    <n v="6"/>
    <n v="6"/>
    <n v="0"/>
    <n v="4.5"/>
    <n v="1"/>
  </r>
  <r>
    <s v="2023-06"/>
    <d v="2023-06-01T00:00:00"/>
    <s v="June"/>
    <s v="Lagos"/>
    <x v="3"/>
    <s v="Surgery"/>
    <s v="Admission"/>
    <s v="Female"/>
    <n v="5"/>
    <n v="3"/>
    <n v="0"/>
    <n v="4.3"/>
    <n v="0.6"/>
  </r>
  <r>
    <s v="2023-06"/>
    <d v="2023-06-01T00:00:00"/>
    <s v="June"/>
    <s v="Edo"/>
    <x v="4"/>
    <s v="Surgery"/>
    <s v="Surgery"/>
    <s v="Female"/>
    <n v="3"/>
    <n v="3"/>
    <n v="0"/>
    <n v="2.2999999999999998"/>
    <n v="1"/>
  </r>
  <r>
    <s v="2023-02"/>
    <d v="2023-02-01T00:00:00"/>
    <s v="February"/>
    <s v="Edo"/>
    <x v="4"/>
    <s v="Emergency"/>
    <s v="Medication"/>
    <s v="Female"/>
    <n v="8"/>
    <n v="7"/>
    <n v="0"/>
    <n v="2.5"/>
    <n v="0.875"/>
  </r>
  <r>
    <s v="2023-07"/>
    <d v="2023-07-01T00:00:00"/>
    <s v="July"/>
    <s v="Edo"/>
    <x v="4"/>
    <s v="Pediatrics"/>
    <s v="Delivery"/>
    <s v="Female"/>
    <n v="6"/>
    <n v="6"/>
    <n v="1"/>
    <n v="1.6"/>
    <n v="1"/>
  </r>
  <r>
    <s v="2023-03"/>
    <d v="2023-03-01T00:00:00"/>
    <s v="March"/>
    <s v="Kaduna"/>
    <x v="6"/>
    <s v="Emergency"/>
    <s v="Admission"/>
    <s v="Male"/>
    <n v="6"/>
    <n v="6"/>
    <n v="0"/>
    <n v="2.1"/>
    <n v="1"/>
  </r>
  <r>
    <s v="2023-06"/>
    <d v="2023-06-01T00:00:00"/>
    <s v="June"/>
    <s v="Oyo"/>
    <x v="14"/>
    <s v="Pediatrics"/>
    <s v="Lab Test"/>
    <s v="Female"/>
    <n v="3"/>
    <n v="3"/>
    <n v="0"/>
    <n v="2.9"/>
    <n v="1"/>
  </r>
  <r>
    <s v="2023-05"/>
    <d v="2023-05-01T00:00:00"/>
    <s v="May"/>
    <s v="Edo"/>
    <x v="4"/>
    <s v="Outpatient"/>
    <s v="Admission"/>
    <s v="Male"/>
    <n v="7"/>
    <n v="6"/>
    <n v="0"/>
    <n v="0.9"/>
    <n v="0.8571428571428571"/>
  </r>
  <r>
    <s v="2023-03"/>
    <d v="2023-03-01T00:00:00"/>
    <s v="March"/>
    <s v="Anambra"/>
    <x v="2"/>
    <s v="Outpatient"/>
    <s v="Consultation"/>
    <s v="Female"/>
    <n v="7"/>
    <n v="6"/>
    <n v="0"/>
    <n v="2.8"/>
    <n v="0.8571428571428571"/>
  </r>
  <r>
    <s v="2023-08"/>
    <d v="2023-08-01T00:00:00"/>
    <s v="August"/>
    <s v="Anambra"/>
    <x v="19"/>
    <s v="Pediatrics"/>
    <s v="Surgery"/>
    <s v="Male"/>
    <n v="4"/>
    <n v="4"/>
    <n v="0"/>
    <n v="3.4"/>
    <n v="1"/>
  </r>
  <r>
    <s v="2023-06"/>
    <d v="2023-06-01T00:00:00"/>
    <s v="June"/>
    <s v="Edo"/>
    <x v="4"/>
    <s v="Pediatrics"/>
    <s v="Consultation"/>
    <s v="Female"/>
    <n v="7"/>
    <n v="5"/>
    <n v="0"/>
    <n v="3.1"/>
    <n v="0.7142857142857143"/>
  </r>
  <r>
    <s v="2023-08"/>
    <d v="2023-08-01T00:00:00"/>
    <s v="August"/>
    <s v="Lagos"/>
    <x v="15"/>
    <s v="Emergency"/>
    <s v="Lab Test"/>
    <s v="Female"/>
    <n v="6"/>
    <n v="5"/>
    <n v="0"/>
    <n v="3"/>
    <n v="0.83333333333333337"/>
  </r>
  <r>
    <s v="2023-06"/>
    <d v="2023-06-01T00:00:00"/>
    <s v="June"/>
    <s v="Delta"/>
    <x v="12"/>
    <s v="Internal Medicine"/>
    <s v="Lab Test"/>
    <s v="Female"/>
    <n v="7"/>
    <n v="6"/>
    <n v="0"/>
    <n v="1.6"/>
    <n v="0.8571428571428571"/>
  </r>
  <r>
    <s v="2023-11"/>
    <d v="2023-11-01T00:00:00"/>
    <s v="November"/>
    <s v="Oyo"/>
    <x v="14"/>
    <s v="Surgery"/>
    <s v="Consultation"/>
    <s v="Male"/>
    <n v="4"/>
    <n v="4"/>
    <n v="0"/>
    <n v="3.7"/>
    <n v="1"/>
  </r>
  <r>
    <s v="2023-07"/>
    <d v="2023-07-01T00:00:00"/>
    <s v="July"/>
    <s v="Edo"/>
    <x v="4"/>
    <s v="Maternity"/>
    <s v="Delivery"/>
    <s v="Male"/>
    <n v="5"/>
    <n v="3"/>
    <n v="0"/>
    <n v="2.2999999999999998"/>
    <n v="0.6"/>
  </r>
  <r>
    <s v="2023-10"/>
    <d v="2023-10-01T00:00:00"/>
    <s v="October"/>
    <s v="Lagos"/>
    <x v="3"/>
    <s v="Outpatient"/>
    <s v="Consultation"/>
    <s v="Male"/>
    <n v="4"/>
    <n v="2"/>
    <n v="0"/>
    <n v="3.5"/>
    <n v="0.5"/>
  </r>
  <r>
    <s v="2023-12"/>
    <d v="2023-12-01T00:00:00"/>
    <s v="December"/>
    <s v="Borno"/>
    <x v="9"/>
    <s v="Maternity"/>
    <s v="Consultation"/>
    <s v="Male"/>
    <n v="4"/>
    <n v="3"/>
    <n v="0"/>
    <n v="2.8"/>
    <n v="0.75"/>
  </r>
  <r>
    <s v="2023-12"/>
    <d v="2023-12-01T00:00:00"/>
    <s v="December"/>
    <s v="Borno"/>
    <x v="9"/>
    <s v="Emergency"/>
    <s v="Surgery"/>
    <s v="Female"/>
    <n v="6"/>
    <n v="6"/>
    <n v="0"/>
    <n v="1.5"/>
    <n v="1"/>
  </r>
  <r>
    <s v="2023-07"/>
    <d v="2023-07-01T00:00:00"/>
    <s v="July"/>
    <s v="Oyo"/>
    <x v="17"/>
    <s v="Outpatient"/>
    <s v="Delivery"/>
    <s v="Male"/>
    <n v="3"/>
    <n v="2"/>
    <n v="0"/>
    <n v="1.7"/>
    <n v="0.66666666666666663"/>
  </r>
  <r>
    <s v="2023-02"/>
    <d v="2023-02-01T00:00:00"/>
    <s v="February"/>
    <s v="Rivers"/>
    <x v="10"/>
    <s v="Emergency"/>
    <s v="Delivery"/>
    <s v="Female"/>
    <n v="4"/>
    <n v="3"/>
    <n v="0"/>
    <n v="2.6"/>
    <n v="0.75"/>
  </r>
  <r>
    <s v="2023-06"/>
    <d v="2023-06-01T00:00:00"/>
    <s v="June"/>
    <s v="Delta"/>
    <x v="0"/>
    <s v="Surgery"/>
    <s v="Consultation"/>
    <s v="Male"/>
    <n v="6"/>
    <n v="6"/>
    <n v="0"/>
    <n v="2.4"/>
    <n v="1"/>
  </r>
  <r>
    <s v="2023-08"/>
    <d v="2023-08-01T00:00:00"/>
    <s v="August"/>
    <s v="Oyo"/>
    <x v="17"/>
    <s v="Maternity"/>
    <s v="Lab Test"/>
    <s v="Female"/>
    <n v="4"/>
    <n v="4"/>
    <n v="1"/>
    <n v="4.5"/>
    <n v="1"/>
  </r>
  <r>
    <s v="2023-03"/>
    <d v="2023-03-01T00:00:00"/>
    <s v="March"/>
    <s v="FCT"/>
    <x v="16"/>
    <s v="Internal Medicine"/>
    <s v="Medication"/>
    <s v="Female"/>
    <n v="2"/>
    <n v="2"/>
    <n v="0"/>
    <n v="1.9"/>
    <n v="1"/>
  </r>
  <r>
    <s v="2023-06"/>
    <d v="2023-06-01T00:00:00"/>
    <s v="June"/>
    <s v="Lagos"/>
    <x v="15"/>
    <s v="Maternity"/>
    <s v="Lab Test"/>
    <s v="Male"/>
    <n v="2"/>
    <n v="2"/>
    <n v="0"/>
    <n v="5.9"/>
    <n v="1"/>
  </r>
  <r>
    <s v="2023-05"/>
    <d v="2023-05-01T00:00:00"/>
    <s v="May"/>
    <s v="Edo"/>
    <x v="4"/>
    <s v="Maternity"/>
    <s v="Delivery"/>
    <s v="Female"/>
    <n v="5"/>
    <n v="4"/>
    <n v="0"/>
    <n v="3.3"/>
    <n v="0.8"/>
  </r>
  <r>
    <s v="2023-06"/>
    <d v="2023-06-01T00:00:00"/>
    <s v="June"/>
    <s v="FCT"/>
    <x v="1"/>
    <s v="Outpatient"/>
    <s v="Medication"/>
    <s v="Male"/>
    <n v="5"/>
    <n v="5"/>
    <n v="1"/>
    <n v="2.1"/>
    <n v="1"/>
  </r>
  <r>
    <s v="2023-03"/>
    <d v="2023-03-01T00:00:00"/>
    <s v="March"/>
    <s v="Kano"/>
    <x v="8"/>
    <s v="Maternity"/>
    <s v="Surgery"/>
    <s v="Male"/>
    <n v="7"/>
    <n v="7"/>
    <n v="0"/>
    <n v="3.2"/>
    <n v="1"/>
  </r>
  <r>
    <s v="2023-09"/>
    <d v="2023-09-01T00:00:00"/>
    <s v="September"/>
    <s v="Kaduna"/>
    <x v="6"/>
    <s v="Outpatient"/>
    <s v="Consultation"/>
    <s v="Male"/>
    <n v="7"/>
    <n v="6"/>
    <n v="0"/>
    <n v="2.6"/>
    <n v="0.8571428571428571"/>
  </r>
  <r>
    <s v="2023-03"/>
    <d v="2023-03-01T00:00:00"/>
    <s v="March"/>
    <s v="Edo"/>
    <x v="11"/>
    <s v="Internal Medicine"/>
    <s v="Surgery"/>
    <s v="Male"/>
    <n v="5"/>
    <n v="5"/>
    <n v="1"/>
    <n v="3.6"/>
    <n v="1"/>
  </r>
  <r>
    <s v="2023-11"/>
    <d v="2023-11-01T00:00:00"/>
    <s v="November"/>
    <s v="Kaduna"/>
    <x v="5"/>
    <s v="Pediatrics"/>
    <s v="Surgery"/>
    <s v="Male"/>
    <n v="2"/>
    <n v="2"/>
    <n v="0"/>
    <n v="2.2000000000000002"/>
    <n v="1"/>
  </r>
  <r>
    <s v="2023-12"/>
    <d v="2023-12-01T00:00:00"/>
    <s v="December"/>
    <s v="FCT"/>
    <x v="1"/>
    <s v="Pediatrics"/>
    <s v="Delivery"/>
    <s v="Female"/>
    <n v="5"/>
    <n v="5"/>
    <n v="0"/>
    <n v="2.7"/>
    <n v="1"/>
  </r>
  <r>
    <s v="2023-04"/>
    <d v="2023-04-01T00:00:00"/>
    <s v="April"/>
    <s v="Rivers"/>
    <x v="18"/>
    <s v="Internal Medicine"/>
    <s v="Delivery"/>
    <s v="Male"/>
    <n v="7"/>
    <n v="7"/>
    <n v="0"/>
    <n v="3.6"/>
    <n v="1"/>
  </r>
  <r>
    <s v="2023-03"/>
    <d v="2023-03-01T00:00:00"/>
    <s v="March"/>
    <s v="Delta"/>
    <x v="0"/>
    <s v="Maternity"/>
    <s v="Delivery"/>
    <s v="Male"/>
    <n v="5"/>
    <n v="4"/>
    <n v="0"/>
    <n v="3.5"/>
    <n v="0.8"/>
  </r>
  <r>
    <s v="2023-11"/>
    <d v="2023-11-01T00:00:00"/>
    <s v="November"/>
    <s v="Delta"/>
    <x v="12"/>
    <s v="Pediatrics"/>
    <s v="Surgery"/>
    <s v="Female"/>
    <n v="2"/>
    <n v="2"/>
    <n v="0"/>
    <n v="-0.3"/>
    <n v="1"/>
  </r>
  <r>
    <s v="2023-11"/>
    <d v="2023-11-01T00:00:00"/>
    <s v="November"/>
    <s v="Rivers"/>
    <x v="18"/>
    <s v="Outpatient"/>
    <s v="Surgery"/>
    <s v="Female"/>
    <n v="2"/>
    <n v="2"/>
    <n v="0"/>
    <n v="4.2"/>
    <n v="1"/>
  </r>
  <r>
    <s v="2023-04"/>
    <d v="2023-04-01T00:00:00"/>
    <s v="April"/>
    <s v="FCT"/>
    <x v="1"/>
    <s v="Internal Medicine"/>
    <s v="Surgery"/>
    <s v="Female"/>
    <n v="6"/>
    <n v="6"/>
    <n v="0"/>
    <n v="2.9"/>
    <n v="1"/>
  </r>
  <r>
    <s v="2023-03"/>
    <d v="2023-03-01T00:00:00"/>
    <s v="March"/>
    <s v="FCT"/>
    <x v="1"/>
    <s v="Outpatient"/>
    <s v="Delivery"/>
    <s v="Female"/>
    <n v="11"/>
    <n v="9"/>
    <n v="1"/>
    <n v="3.1"/>
    <n v="0.81818181818181823"/>
  </r>
  <r>
    <s v="2023-02"/>
    <d v="2023-02-01T00:00:00"/>
    <s v="February"/>
    <s v="Edo"/>
    <x v="11"/>
    <s v="Pediatrics"/>
    <s v="Delivery"/>
    <s v="Male"/>
    <n v="6"/>
    <n v="6"/>
    <n v="0"/>
    <n v="3.2"/>
    <n v="1"/>
  </r>
  <r>
    <s v="2023-01"/>
    <d v="2023-01-01T00:00:00"/>
    <s v="January"/>
    <s v="Kaduna"/>
    <x v="6"/>
    <s v="Internal Medicine"/>
    <s v="Medication"/>
    <s v="Male"/>
    <n v="4"/>
    <n v="4"/>
    <n v="0"/>
    <n v="4.2"/>
    <n v="1"/>
  </r>
  <r>
    <s v="2023-07"/>
    <d v="2023-07-01T00:00:00"/>
    <s v="July"/>
    <s v="Kaduna"/>
    <x v="6"/>
    <s v="Internal Medicine"/>
    <s v="Lab Test"/>
    <s v="Male"/>
    <n v="4"/>
    <n v="4"/>
    <n v="0"/>
    <n v="2.1"/>
    <n v="1"/>
  </r>
  <r>
    <s v="2023-06"/>
    <d v="2023-06-01T00:00:00"/>
    <s v="June"/>
    <s v="Kano"/>
    <x v="7"/>
    <s v="Emergency"/>
    <s v="Lab Test"/>
    <s v="Male"/>
    <n v="5"/>
    <n v="5"/>
    <n v="0"/>
    <n v="3.3"/>
    <n v="1"/>
  </r>
  <r>
    <s v="2023-11"/>
    <d v="2023-11-01T00:00:00"/>
    <s v="November"/>
    <s v="Kaduna"/>
    <x v="5"/>
    <s v="Outpatient"/>
    <s v="Consultation"/>
    <s v="Female"/>
    <n v="6"/>
    <n v="6"/>
    <n v="2"/>
    <n v="4"/>
    <n v="1"/>
  </r>
  <r>
    <s v="2023-02"/>
    <d v="2023-02-01T00:00:00"/>
    <s v="February"/>
    <s v="Kaduna"/>
    <x v="6"/>
    <s v="Pediatrics"/>
    <s v="Admission"/>
    <s v="Female"/>
    <n v="2"/>
    <n v="1"/>
    <n v="0"/>
    <n v="1.3"/>
    <n v="0.5"/>
  </r>
  <r>
    <s v="2023-11"/>
    <d v="2023-11-01T00:00:00"/>
    <s v="November"/>
    <s v="Lagos"/>
    <x v="3"/>
    <s v="Surgery"/>
    <s v="Delivery"/>
    <s v="Female"/>
    <n v="11"/>
    <n v="11"/>
    <n v="0"/>
    <n v="0.6"/>
    <n v="1"/>
  </r>
  <r>
    <s v="2023-12"/>
    <d v="2023-12-01T00:00:00"/>
    <s v="December"/>
    <s v="Kano"/>
    <x v="7"/>
    <s v="Maternity"/>
    <s v="Lab Test"/>
    <s v="Male"/>
    <n v="5"/>
    <n v="4"/>
    <n v="0"/>
    <n v="3.2"/>
    <n v="0.8"/>
  </r>
  <r>
    <s v="2023-10"/>
    <d v="2023-10-01T00:00:00"/>
    <s v="October"/>
    <s v="Edo"/>
    <x v="4"/>
    <s v="Internal Medicine"/>
    <s v="Surgery"/>
    <s v="Female"/>
    <n v="4"/>
    <n v="4"/>
    <n v="0"/>
    <n v="2.2999999999999998"/>
    <n v="1"/>
  </r>
  <r>
    <s v="2023-07"/>
    <d v="2023-07-01T00:00:00"/>
    <s v="July"/>
    <s v="Oyo"/>
    <x v="14"/>
    <s v="Internal Medicine"/>
    <s v="Medication"/>
    <s v="Female"/>
    <n v="4"/>
    <n v="4"/>
    <n v="1"/>
    <n v="2.6"/>
    <n v="1"/>
  </r>
  <r>
    <s v="2023-09"/>
    <d v="2023-09-01T00:00:00"/>
    <s v="September"/>
    <s v="Anambra"/>
    <x v="19"/>
    <s v="Internal Medicine"/>
    <s v="Surgery"/>
    <s v="Female"/>
    <n v="3"/>
    <n v="3"/>
    <n v="0"/>
    <n v="2.1"/>
    <n v="1"/>
  </r>
  <r>
    <s v="2023-04"/>
    <d v="2023-04-01T00:00:00"/>
    <s v="April"/>
    <s v="Delta"/>
    <x v="0"/>
    <s v="Internal Medicine"/>
    <s v="Admission"/>
    <s v="Female"/>
    <n v="6"/>
    <n v="5"/>
    <n v="0"/>
    <n v="2.2999999999999998"/>
    <n v="0.83333333333333337"/>
  </r>
  <r>
    <s v="2023-05"/>
    <d v="2023-05-01T00:00:00"/>
    <s v="May"/>
    <s v="Oyo"/>
    <x v="17"/>
    <s v="Emergency"/>
    <s v="Medication"/>
    <s v="Female"/>
    <n v="4"/>
    <n v="4"/>
    <n v="0"/>
    <n v="2.9"/>
    <n v="1"/>
  </r>
  <r>
    <s v="2023-02"/>
    <d v="2023-02-01T00:00:00"/>
    <s v="February"/>
    <s v="Edo"/>
    <x v="4"/>
    <s v="Surgery"/>
    <s v="Delivery"/>
    <s v="Male"/>
    <n v="8"/>
    <n v="8"/>
    <n v="0"/>
    <n v="3.3"/>
    <n v="1"/>
  </r>
  <r>
    <s v="2023-12"/>
    <d v="2023-12-01T00:00:00"/>
    <s v="December"/>
    <s v="Edo"/>
    <x v="11"/>
    <s v="Emergency"/>
    <s v="Lab Test"/>
    <s v="Female"/>
    <n v="5"/>
    <n v="4"/>
    <n v="0"/>
    <n v="3.1"/>
    <n v="0.8"/>
  </r>
  <r>
    <s v="2023-09"/>
    <d v="2023-09-01T00:00:00"/>
    <s v="September"/>
    <s v="FCT"/>
    <x v="16"/>
    <s v="Pediatrics"/>
    <s v="Admission"/>
    <s v="Male"/>
    <n v="5"/>
    <n v="5"/>
    <n v="1"/>
    <n v="2.9"/>
    <n v="1"/>
  </r>
  <r>
    <s v="2023-02"/>
    <d v="2023-02-01T00:00:00"/>
    <s v="February"/>
    <s v="Edo"/>
    <x v="11"/>
    <s v="Internal Medicine"/>
    <s v="Consultation"/>
    <s v="Male"/>
    <n v="6"/>
    <n v="6"/>
    <n v="0"/>
    <n v="1.2"/>
    <n v="1"/>
  </r>
  <r>
    <s v="2023-05"/>
    <d v="2023-05-01T00:00:00"/>
    <s v="May"/>
    <s v="Kaduna"/>
    <x v="6"/>
    <s v="Pediatrics"/>
    <s v="Lab Test"/>
    <s v="Male"/>
    <n v="4"/>
    <n v="4"/>
    <n v="1"/>
    <n v="2.2999999999999998"/>
    <n v="1"/>
  </r>
  <r>
    <s v="2023-05"/>
    <d v="2023-05-01T00:00:00"/>
    <s v="May"/>
    <s v="Delta"/>
    <x v="12"/>
    <s v="Maternity"/>
    <s v="Surgery"/>
    <s v="Female"/>
    <n v="5"/>
    <n v="5"/>
    <n v="1"/>
    <n v="2.9"/>
    <n v="1"/>
  </r>
  <r>
    <s v="2023-06"/>
    <d v="2023-06-01T00:00:00"/>
    <s v="June"/>
    <s v="Kaduna"/>
    <x v="5"/>
    <s v="Emergency"/>
    <s v="Delivery"/>
    <s v="Male"/>
    <n v="5"/>
    <n v="5"/>
    <n v="0"/>
    <n v="3.8"/>
    <n v="1"/>
  </r>
  <r>
    <s v="2023-09"/>
    <d v="2023-09-01T00:00:00"/>
    <s v="September"/>
    <s v="Edo"/>
    <x v="4"/>
    <s v="Emergency"/>
    <s v="Admission"/>
    <s v="Male"/>
    <n v="4"/>
    <n v="4"/>
    <n v="0"/>
    <n v="1"/>
    <n v="1"/>
  </r>
  <r>
    <s v="2023-09"/>
    <d v="2023-09-01T00:00:00"/>
    <s v="September"/>
    <s v="FCT"/>
    <x v="16"/>
    <s v="Emergency"/>
    <s v="Lab Test"/>
    <s v="Female"/>
    <n v="8"/>
    <n v="7"/>
    <n v="1"/>
    <n v="3.5"/>
    <n v="0.875"/>
  </r>
  <r>
    <s v="2023-08"/>
    <d v="2023-08-01T00:00:00"/>
    <s v="August"/>
    <s v="Edo"/>
    <x v="11"/>
    <s v="Surgery"/>
    <s v="Delivery"/>
    <s v="Female"/>
    <n v="4"/>
    <n v="4"/>
    <n v="0"/>
    <n v="4.7"/>
    <n v="1"/>
  </r>
  <r>
    <s v="2023-06"/>
    <d v="2023-06-01T00:00:00"/>
    <s v="June"/>
    <s v="Lagos"/>
    <x v="15"/>
    <s v="Internal Medicine"/>
    <s v="Lab Test"/>
    <s v="Male"/>
    <n v="4"/>
    <n v="3"/>
    <n v="0"/>
    <n v="2.1"/>
    <n v="0.75"/>
  </r>
  <r>
    <s v="2023-07"/>
    <d v="2023-07-01T00:00:00"/>
    <s v="July"/>
    <s v="Kaduna"/>
    <x v="6"/>
    <s v="Pediatrics"/>
    <s v="Surgery"/>
    <s v="Male"/>
    <n v="8"/>
    <n v="8"/>
    <n v="0"/>
    <n v="2"/>
    <n v="1"/>
  </r>
  <r>
    <s v="2023-04"/>
    <d v="2023-04-01T00:00:00"/>
    <s v="April"/>
    <s v="Kaduna"/>
    <x v="6"/>
    <s v="Emergency"/>
    <s v="Delivery"/>
    <s v="Male"/>
    <n v="2"/>
    <n v="2"/>
    <n v="0"/>
    <n v="3.5"/>
    <n v="1"/>
  </r>
  <r>
    <s v="2023-12"/>
    <d v="2023-12-01T00:00:00"/>
    <s v="December"/>
    <s v="Kaduna"/>
    <x v="5"/>
    <s v="Pediatrics"/>
    <s v="Medication"/>
    <s v="Male"/>
    <n v="8"/>
    <n v="8"/>
    <n v="1"/>
    <n v="3.3"/>
    <n v="1"/>
  </r>
  <r>
    <s v="2023-10"/>
    <d v="2023-10-01T00:00:00"/>
    <s v="October"/>
    <s v="Delta"/>
    <x v="0"/>
    <s v="Pediatrics"/>
    <s v="Delivery"/>
    <s v="Male"/>
    <n v="7"/>
    <n v="7"/>
    <n v="0"/>
    <n v="4.7"/>
    <n v="1"/>
  </r>
  <r>
    <s v="2023-05"/>
    <d v="2023-05-01T00:00:00"/>
    <s v="May"/>
    <s v="Anambra"/>
    <x v="2"/>
    <s v="Internal Medicine"/>
    <s v="Delivery"/>
    <s v="Female"/>
    <n v="7"/>
    <n v="7"/>
    <n v="1"/>
    <n v="4.2"/>
    <n v="1"/>
  </r>
  <r>
    <s v="2023-06"/>
    <d v="2023-06-01T00:00:00"/>
    <s v="June"/>
    <s v="Rivers"/>
    <x v="18"/>
    <s v="Outpatient"/>
    <s v="Admission"/>
    <s v="Male"/>
    <n v="2"/>
    <n v="1"/>
    <n v="0"/>
    <n v="3"/>
    <n v="0.5"/>
  </r>
  <r>
    <s v="2023-03"/>
    <d v="2023-03-01T00:00:00"/>
    <s v="March"/>
    <s v="Kaduna"/>
    <x v="6"/>
    <s v="Pediatrics"/>
    <s v="Surgery"/>
    <s v="Male"/>
    <n v="3"/>
    <n v="3"/>
    <n v="0"/>
    <n v="3.5"/>
    <n v="1"/>
  </r>
  <r>
    <s v="2023-12"/>
    <d v="2023-12-01T00:00:00"/>
    <s v="December"/>
    <s v="Delta"/>
    <x v="0"/>
    <s v="Outpatient"/>
    <s v="Lab Test"/>
    <s v="Male"/>
    <n v="6"/>
    <n v="5"/>
    <n v="0"/>
    <n v="3.6"/>
    <n v="0.83333333333333337"/>
  </r>
  <r>
    <s v="2023-07"/>
    <d v="2023-07-01T00:00:00"/>
    <s v="July"/>
    <s v="Kano"/>
    <x v="8"/>
    <s v="Maternity"/>
    <s v="Admission"/>
    <s v="Female"/>
    <n v="3"/>
    <n v="3"/>
    <n v="0"/>
    <n v="3.4"/>
    <n v="1"/>
  </r>
  <r>
    <s v="2023-09"/>
    <d v="2023-09-01T00:00:00"/>
    <s v="September"/>
    <s v="Oyo"/>
    <x v="14"/>
    <s v="Surgery"/>
    <s v="Delivery"/>
    <s v="Male"/>
    <n v="4"/>
    <n v="3"/>
    <n v="0"/>
    <n v="1.6"/>
    <n v="0.75"/>
  </r>
  <r>
    <s v="2023-06"/>
    <d v="2023-06-01T00:00:00"/>
    <s v="June"/>
    <s v="Lagos"/>
    <x v="15"/>
    <s v="Outpatient"/>
    <s v="Admission"/>
    <s v="Male"/>
    <n v="3"/>
    <n v="3"/>
    <n v="0"/>
    <n v="2.4"/>
    <n v="1"/>
  </r>
  <r>
    <s v="2023-07"/>
    <d v="2023-07-01T00:00:00"/>
    <s v="July"/>
    <s v="Oyo"/>
    <x v="14"/>
    <s v="Surgery"/>
    <s v="Surgery"/>
    <s v="Female"/>
    <n v="5"/>
    <n v="5"/>
    <n v="0"/>
    <n v="2.2999999999999998"/>
    <n v="1"/>
  </r>
  <r>
    <s v="2023-09"/>
    <d v="2023-09-01T00:00:00"/>
    <s v="September"/>
    <s v="FCT"/>
    <x v="16"/>
    <s v="Pediatrics"/>
    <s v="Lab Test"/>
    <s v="Male"/>
    <n v="3"/>
    <n v="2"/>
    <n v="0"/>
    <n v="1.4"/>
    <n v="0.66666666666666663"/>
  </r>
  <r>
    <s v="2023-10"/>
    <d v="2023-10-01T00:00:00"/>
    <s v="October"/>
    <s v="Borno"/>
    <x v="9"/>
    <s v="Pediatrics"/>
    <s v="Delivery"/>
    <s v="Male"/>
    <n v="3"/>
    <n v="3"/>
    <n v="0"/>
    <n v="4.0999999999999996"/>
    <n v="1"/>
  </r>
  <r>
    <s v="2023-10"/>
    <d v="2023-10-01T00:00:00"/>
    <s v="October"/>
    <s v="FCT"/>
    <x v="1"/>
    <s v="Surgery"/>
    <s v="Admission"/>
    <s v="Male"/>
    <n v="2"/>
    <n v="2"/>
    <n v="0"/>
    <n v="3.1"/>
    <n v="1"/>
  </r>
  <r>
    <s v="2023-10"/>
    <d v="2023-10-01T00:00:00"/>
    <s v="October"/>
    <s v="Edo"/>
    <x v="4"/>
    <s v="Internal Medicine"/>
    <s v="Consultation"/>
    <s v="Female"/>
    <n v="6"/>
    <n v="6"/>
    <n v="1"/>
    <n v="3.5"/>
    <n v="1"/>
  </r>
  <r>
    <s v="2023-03"/>
    <d v="2023-03-01T00:00:00"/>
    <s v="March"/>
    <s v="Anambra"/>
    <x v="19"/>
    <s v="Pediatrics"/>
    <s v="Delivery"/>
    <s v="Female"/>
    <n v="4"/>
    <n v="3"/>
    <n v="0"/>
    <n v="4.9000000000000004"/>
    <n v="0.75"/>
  </r>
  <r>
    <s v="2023-10"/>
    <d v="2023-10-01T00:00:00"/>
    <s v="October"/>
    <s v="Edo"/>
    <x v="11"/>
    <s v="Maternity"/>
    <s v="Medication"/>
    <s v="Male"/>
    <n v="7"/>
    <n v="7"/>
    <n v="0"/>
    <n v="3.3"/>
    <n v="1"/>
  </r>
  <r>
    <s v="2023-11"/>
    <d v="2023-11-01T00:00:00"/>
    <s v="November"/>
    <s v="FCT"/>
    <x v="16"/>
    <s v="Internal Medicine"/>
    <s v="Admission"/>
    <s v="Female"/>
    <n v="4"/>
    <n v="4"/>
    <n v="0"/>
    <n v="3"/>
    <n v="1"/>
  </r>
  <r>
    <s v="2023-02"/>
    <d v="2023-02-01T00:00:00"/>
    <s v="February"/>
    <s v="Kaduna"/>
    <x v="5"/>
    <s v="Maternity"/>
    <s v="Admission"/>
    <s v="Female"/>
    <n v="2"/>
    <n v="2"/>
    <n v="0"/>
    <n v="3.2"/>
    <n v="1"/>
  </r>
  <r>
    <s v="2023-01"/>
    <d v="2023-01-01T00:00:00"/>
    <s v="January"/>
    <s v="FCT"/>
    <x v="1"/>
    <s v="Emergency"/>
    <s v="Delivery"/>
    <s v="Male"/>
    <n v="3"/>
    <n v="3"/>
    <n v="0"/>
    <n v="1.8"/>
    <n v="1"/>
  </r>
  <r>
    <s v="2023-01"/>
    <d v="2023-01-01T00:00:00"/>
    <s v="January"/>
    <s v="Borno"/>
    <x v="13"/>
    <s v="Internal Medicine"/>
    <s v="Lab Test"/>
    <s v="Female"/>
    <n v="5"/>
    <n v="5"/>
    <n v="0"/>
    <n v="3.4"/>
    <n v="1"/>
  </r>
  <r>
    <s v="2023-04"/>
    <d v="2023-04-01T00:00:00"/>
    <s v="April"/>
    <s v="Edo"/>
    <x v="11"/>
    <s v="Maternity"/>
    <s v="Consultation"/>
    <s v="Male"/>
    <n v="3"/>
    <n v="3"/>
    <n v="0"/>
    <n v="2.6"/>
    <n v="1"/>
  </r>
  <r>
    <s v="2023-04"/>
    <d v="2023-04-01T00:00:00"/>
    <s v="April"/>
    <s v="Lagos"/>
    <x v="15"/>
    <s v="Surgery"/>
    <s v="Medication"/>
    <s v="Female"/>
    <n v="3"/>
    <n v="3"/>
    <n v="0"/>
    <n v="3.3"/>
    <n v="1"/>
  </r>
  <r>
    <s v="2023-04"/>
    <d v="2023-04-01T00:00:00"/>
    <s v="April"/>
    <s v="Delta"/>
    <x v="12"/>
    <s v="Emergency"/>
    <s v="Lab Test"/>
    <s v="Female"/>
    <n v="6"/>
    <n v="5"/>
    <n v="0"/>
    <n v="3.8"/>
    <n v="0.83333333333333337"/>
  </r>
  <r>
    <s v="2023-12"/>
    <d v="2023-12-01T00:00:00"/>
    <s v="December"/>
    <s v="Rivers"/>
    <x v="18"/>
    <s v="Surgery"/>
    <s v="Lab Test"/>
    <s v="Female"/>
    <n v="6"/>
    <n v="6"/>
    <n v="0"/>
    <n v="4.9000000000000004"/>
    <n v="1"/>
  </r>
  <r>
    <s v="2023-08"/>
    <d v="2023-08-01T00:00:00"/>
    <s v="August"/>
    <s v="Lagos"/>
    <x v="3"/>
    <s v="Pediatrics"/>
    <s v="Surgery"/>
    <s v="Female"/>
    <n v="4"/>
    <n v="4"/>
    <n v="0"/>
    <n v="2.9"/>
    <n v="1"/>
  </r>
  <r>
    <s v="2023-05"/>
    <d v="2023-05-01T00:00:00"/>
    <s v="May"/>
    <s v="Lagos"/>
    <x v="15"/>
    <s v="Maternity"/>
    <s v="Surgery"/>
    <s v="Female"/>
    <n v="6"/>
    <n v="6"/>
    <n v="0"/>
    <n v="1.3"/>
    <n v="1"/>
  </r>
  <r>
    <s v="2023-03"/>
    <d v="2023-03-01T00:00:00"/>
    <s v="March"/>
    <s v="Delta"/>
    <x v="12"/>
    <s v="Surgery"/>
    <s v="Medication"/>
    <s v="Male"/>
    <n v="7"/>
    <n v="7"/>
    <n v="2"/>
    <n v="2.6"/>
    <n v="1"/>
  </r>
  <r>
    <s v="2023-04"/>
    <d v="2023-04-01T00:00:00"/>
    <s v="April"/>
    <s v="Lagos"/>
    <x v="15"/>
    <s v="Surgery"/>
    <s v="Delivery"/>
    <s v="Female"/>
    <n v="5"/>
    <n v="4"/>
    <n v="0"/>
    <n v="3.7"/>
    <n v="0.8"/>
  </r>
  <r>
    <s v="2023-03"/>
    <d v="2023-03-01T00:00:00"/>
    <s v="March"/>
    <s v="Rivers"/>
    <x v="18"/>
    <s v="Outpatient"/>
    <s v="Consultation"/>
    <s v="Female"/>
    <n v="5"/>
    <n v="5"/>
    <n v="1"/>
    <n v="3.5"/>
    <n v="1"/>
  </r>
  <r>
    <s v="2023-08"/>
    <d v="2023-08-01T00:00:00"/>
    <s v="August"/>
    <s v="Lagos"/>
    <x v="15"/>
    <s v="Pediatrics"/>
    <s v="Lab Test"/>
    <s v="Male"/>
    <n v="4"/>
    <n v="4"/>
    <n v="1"/>
    <n v="2.7"/>
    <n v="1"/>
  </r>
  <r>
    <s v="2023-12"/>
    <d v="2023-12-01T00:00:00"/>
    <s v="December"/>
    <s v="Borno"/>
    <x v="13"/>
    <s v="Pediatrics"/>
    <s v="Medication"/>
    <s v="Male"/>
    <n v="3"/>
    <n v="3"/>
    <n v="0"/>
    <n v="3.1"/>
    <n v="1"/>
  </r>
  <r>
    <s v="2023-07"/>
    <d v="2023-07-01T00:00:00"/>
    <s v="July"/>
    <s v="Edo"/>
    <x v="11"/>
    <s v="Internal Medicine"/>
    <s v="Surgery"/>
    <s v="Male"/>
    <n v="5"/>
    <n v="4"/>
    <n v="0"/>
    <n v="2.2999999999999998"/>
    <n v="0.8"/>
  </r>
  <r>
    <s v="2023-09"/>
    <d v="2023-09-01T00:00:00"/>
    <s v="September"/>
    <s v="Kaduna"/>
    <x v="6"/>
    <s v="Pediatrics"/>
    <s v="Admission"/>
    <s v="Female"/>
    <n v="6"/>
    <n v="4"/>
    <n v="0"/>
    <n v="2.7"/>
    <n v="0.66666666666666663"/>
  </r>
  <r>
    <s v="2023-01"/>
    <d v="2023-01-01T00:00:00"/>
    <s v="January"/>
    <s v="Kaduna"/>
    <x v="6"/>
    <s v="Surgery"/>
    <s v="Consultation"/>
    <s v="Male"/>
    <n v="4"/>
    <n v="4"/>
    <n v="0"/>
    <n v="2.2999999999999998"/>
    <n v="1"/>
  </r>
  <r>
    <s v="2023-07"/>
    <d v="2023-07-01T00:00:00"/>
    <s v="July"/>
    <s v="Rivers"/>
    <x v="10"/>
    <s v="Internal Medicine"/>
    <s v="Consultation"/>
    <s v="Male"/>
    <n v="5"/>
    <n v="4"/>
    <n v="2"/>
    <n v="2.7"/>
    <n v="0.8"/>
  </r>
  <r>
    <s v="2023-10"/>
    <d v="2023-10-01T00:00:00"/>
    <s v="October"/>
    <s v="Kaduna"/>
    <x v="5"/>
    <s v="Surgery"/>
    <s v="Medication"/>
    <s v="Female"/>
    <n v="3"/>
    <n v="2"/>
    <n v="0"/>
    <n v="3"/>
    <n v="0.66666666666666663"/>
  </r>
  <r>
    <s v="2023-09"/>
    <d v="2023-09-01T00:00:00"/>
    <s v="September"/>
    <s v="Rivers"/>
    <x v="10"/>
    <s v="Surgery"/>
    <s v="Medication"/>
    <s v="Female"/>
    <n v="12"/>
    <n v="12"/>
    <n v="0"/>
    <n v="4.3"/>
    <n v="1"/>
  </r>
  <r>
    <s v="2023-11"/>
    <d v="2023-11-01T00:00:00"/>
    <s v="November"/>
    <s v="Anambra"/>
    <x v="2"/>
    <s v="Maternity"/>
    <s v="Lab Test"/>
    <s v="Male"/>
    <n v="3"/>
    <n v="3"/>
    <n v="0"/>
    <n v="3.1"/>
    <n v="1"/>
  </r>
  <r>
    <s v="2023-09"/>
    <d v="2023-09-01T00:00:00"/>
    <s v="September"/>
    <s v="Lagos"/>
    <x v="3"/>
    <s v="Pediatrics"/>
    <s v="Admission"/>
    <s v="Female"/>
    <n v="4"/>
    <n v="2"/>
    <n v="0"/>
    <n v="2.4"/>
    <n v="0.5"/>
  </r>
  <r>
    <s v="2023-10"/>
    <d v="2023-10-01T00:00:00"/>
    <s v="October"/>
    <s v="Kano"/>
    <x v="7"/>
    <s v="Internal Medicine"/>
    <s v="Surgery"/>
    <s v="Female"/>
    <n v="6"/>
    <n v="6"/>
    <n v="0"/>
    <n v="2.5"/>
    <n v="1"/>
  </r>
  <r>
    <s v="2023-03"/>
    <d v="2023-03-01T00:00:00"/>
    <s v="March"/>
    <s v="Kano"/>
    <x v="8"/>
    <s v="Internal Medicine"/>
    <s v="Delivery"/>
    <s v="Male"/>
    <n v="8"/>
    <n v="6"/>
    <n v="0"/>
    <n v="1.1000000000000001"/>
    <n v="0.75"/>
  </r>
  <r>
    <s v="2023-09"/>
    <d v="2023-09-01T00:00:00"/>
    <s v="September"/>
    <s v="Oyo"/>
    <x v="17"/>
    <s v="Maternity"/>
    <s v="Lab Test"/>
    <s v="Male"/>
    <n v="7"/>
    <n v="7"/>
    <n v="0"/>
    <n v="3.8"/>
    <n v="1"/>
  </r>
  <r>
    <s v="2023-01"/>
    <d v="2023-01-01T00:00:00"/>
    <s v="January"/>
    <s v="Anambra"/>
    <x v="2"/>
    <s v="Maternity"/>
    <s v="Delivery"/>
    <s v="Female"/>
    <n v="5"/>
    <n v="4"/>
    <n v="0"/>
    <n v="2.9"/>
    <n v="0.8"/>
  </r>
  <r>
    <s v="2023-11"/>
    <d v="2023-11-01T00:00:00"/>
    <s v="November"/>
    <s v="Edo"/>
    <x v="11"/>
    <s v="Maternity"/>
    <s v="Surgery"/>
    <s v="Female"/>
    <n v="8"/>
    <n v="8"/>
    <n v="1"/>
    <n v="2.2000000000000002"/>
    <n v="1"/>
  </r>
  <r>
    <s v="2023-01"/>
    <d v="2023-01-01T00:00:00"/>
    <s v="January"/>
    <s v="Borno"/>
    <x v="13"/>
    <s v="Maternity"/>
    <s v="Delivery"/>
    <s v="Female"/>
    <n v="6"/>
    <n v="6"/>
    <n v="0"/>
    <n v="1.7"/>
    <n v="1"/>
  </r>
  <r>
    <s v="2023-06"/>
    <d v="2023-06-01T00:00:00"/>
    <s v="June"/>
    <s v="Lagos"/>
    <x v="3"/>
    <s v="Pediatrics"/>
    <s v="Admission"/>
    <s v="Female"/>
    <n v="8"/>
    <n v="8"/>
    <n v="0"/>
    <n v="3.1"/>
    <n v="1"/>
  </r>
  <r>
    <s v="2023-10"/>
    <d v="2023-10-01T00:00:00"/>
    <s v="October"/>
    <s v="Edo"/>
    <x v="4"/>
    <s v="Internal Medicine"/>
    <s v="Surgery"/>
    <s v="Female"/>
    <n v="4"/>
    <n v="4"/>
    <n v="0"/>
    <n v="1.7"/>
    <n v="1"/>
  </r>
  <r>
    <s v="2023-10"/>
    <d v="2023-10-01T00:00:00"/>
    <s v="October"/>
    <s v="Rivers"/>
    <x v="18"/>
    <s v="Pediatrics"/>
    <s v="Admission"/>
    <s v="Male"/>
    <n v="6"/>
    <n v="3"/>
    <n v="0"/>
    <n v="3.9"/>
    <n v="0.5"/>
  </r>
  <r>
    <s v="2023-06"/>
    <d v="2023-06-01T00:00:00"/>
    <s v="June"/>
    <s v="Delta"/>
    <x v="0"/>
    <s v="Outpatient"/>
    <s v="Lab Test"/>
    <s v="Female"/>
    <n v="6"/>
    <n v="5"/>
    <n v="1"/>
    <n v="2.5"/>
    <n v="0.83333333333333337"/>
  </r>
  <r>
    <s v="2023-12"/>
    <d v="2023-12-01T00:00:00"/>
    <s v="December"/>
    <s v="FCT"/>
    <x v="1"/>
    <s v="Surgery"/>
    <s v="Medication"/>
    <s v="Female"/>
    <n v="4"/>
    <n v="4"/>
    <n v="0"/>
    <n v="2.6"/>
    <n v="1"/>
  </r>
  <r>
    <s v="2023-09"/>
    <d v="2023-09-01T00:00:00"/>
    <s v="September"/>
    <s v="Oyo"/>
    <x v="17"/>
    <s v="Emergency"/>
    <s v="Admission"/>
    <s v="Female"/>
    <n v="5"/>
    <n v="5"/>
    <n v="1"/>
    <n v="2.6"/>
    <n v="1"/>
  </r>
  <r>
    <s v="2023-11"/>
    <d v="2023-11-01T00:00:00"/>
    <s v="November"/>
    <s v="Edo"/>
    <x v="4"/>
    <s v="Internal Medicine"/>
    <s v="Consultation"/>
    <s v="Female"/>
    <n v="6"/>
    <n v="6"/>
    <n v="0"/>
    <n v="3.5"/>
    <n v="1"/>
  </r>
  <r>
    <s v="2023-10"/>
    <d v="2023-10-01T00:00:00"/>
    <s v="October"/>
    <s v="Kano"/>
    <x v="7"/>
    <s v="Pediatrics"/>
    <s v="Surgery"/>
    <s v="Female"/>
    <n v="2"/>
    <n v="1"/>
    <n v="0"/>
    <n v="3.6"/>
    <n v="0.5"/>
  </r>
  <r>
    <s v="2023-05"/>
    <d v="2023-05-01T00:00:00"/>
    <s v="May"/>
    <s v="Borno"/>
    <x v="13"/>
    <s v="Internal Medicine"/>
    <s v="Delivery"/>
    <s v="Female"/>
    <n v="7"/>
    <n v="7"/>
    <n v="1"/>
    <n v="0.3"/>
    <n v="1"/>
  </r>
  <r>
    <s v="2023-06"/>
    <d v="2023-06-01T00:00:00"/>
    <s v="June"/>
    <s v="Edo"/>
    <x v="4"/>
    <s v="Emergency"/>
    <s v="Consultation"/>
    <s v="Male"/>
    <n v="4"/>
    <n v="4"/>
    <n v="0"/>
    <n v="3"/>
    <n v="1"/>
  </r>
  <r>
    <s v="2023-04"/>
    <d v="2023-04-01T00:00:00"/>
    <s v="April"/>
    <s v="Kano"/>
    <x v="7"/>
    <s v="Internal Medicine"/>
    <s v="Delivery"/>
    <s v="Female"/>
    <n v="6"/>
    <n v="5"/>
    <n v="1"/>
    <n v="2.2000000000000002"/>
    <n v="0.83333333333333337"/>
  </r>
  <r>
    <s v="2023-12"/>
    <d v="2023-12-01T00:00:00"/>
    <s v="December"/>
    <s v="FCT"/>
    <x v="16"/>
    <s v="Maternity"/>
    <s v="Delivery"/>
    <s v="Female"/>
    <n v="4"/>
    <n v="3"/>
    <n v="0"/>
    <n v="3.2"/>
    <n v="0.75"/>
  </r>
  <r>
    <s v="2023-12"/>
    <d v="2023-12-01T00:00:00"/>
    <s v="December"/>
    <s v="Kaduna"/>
    <x v="6"/>
    <s v="Maternity"/>
    <s v="Surgery"/>
    <s v="Female"/>
    <n v="10"/>
    <n v="9"/>
    <n v="1"/>
    <n v="3.1"/>
    <n v="0.9"/>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2023-04"/>
    <d v="2023-04-01T00:00:00"/>
    <x v="0"/>
    <x v="0"/>
    <x v="0"/>
    <x v="0"/>
    <x v="0"/>
    <s v="Female"/>
    <x v="0"/>
    <n v="5"/>
    <n v="1"/>
    <n v="4.5999999999999996"/>
    <n v="1"/>
    <n v="0.2"/>
  </r>
  <r>
    <s v="2023-04"/>
    <d v="2023-04-01T00:00:00"/>
    <x v="0"/>
    <x v="1"/>
    <x v="1"/>
    <x v="0"/>
    <x v="1"/>
    <s v="Male"/>
    <x v="1"/>
    <n v="3"/>
    <n v="0"/>
    <n v="3.8"/>
    <n v="1"/>
    <n v="0"/>
  </r>
  <r>
    <s v="2023-06"/>
    <d v="2023-06-01T00:00:00"/>
    <x v="1"/>
    <x v="1"/>
    <x v="1"/>
    <x v="1"/>
    <x v="2"/>
    <s v="Male"/>
    <x v="0"/>
    <n v="5"/>
    <n v="0"/>
    <n v="4.5"/>
    <n v="1"/>
    <n v="0"/>
  </r>
  <r>
    <s v="2023-10"/>
    <d v="2023-10-01T00:00:00"/>
    <x v="2"/>
    <x v="2"/>
    <x v="2"/>
    <x v="2"/>
    <x v="3"/>
    <s v="Female"/>
    <x v="1"/>
    <n v="3"/>
    <n v="0"/>
    <n v="2.8"/>
    <n v="1"/>
    <n v="0"/>
  </r>
  <r>
    <s v="2023-10"/>
    <d v="2023-10-01T00:00:00"/>
    <x v="2"/>
    <x v="3"/>
    <x v="3"/>
    <x v="1"/>
    <x v="4"/>
    <s v="Female"/>
    <x v="0"/>
    <n v="4"/>
    <n v="0"/>
    <n v="3"/>
    <n v="0.8"/>
    <n v="0"/>
  </r>
  <r>
    <s v="2023-08"/>
    <d v="2023-08-01T00:00:00"/>
    <x v="3"/>
    <x v="3"/>
    <x v="3"/>
    <x v="3"/>
    <x v="0"/>
    <s v="Male"/>
    <x v="1"/>
    <n v="3"/>
    <n v="0"/>
    <n v="1.9"/>
    <n v="1"/>
    <n v="0"/>
  </r>
  <r>
    <s v="2023-01"/>
    <d v="2023-01-01T00:00:00"/>
    <x v="4"/>
    <x v="4"/>
    <x v="4"/>
    <x v="1"/>
    <x v="3"/>
    <s v="Male"/>
    <x v="2"/>
    <n v="8"/>
    <n v="0"/>
    <n v="2"/>
    <n v="1"/>
    <n v="0"/>
  </r>
  <r>
    <s v="2023-03"/>
    <d v="2023-03-01T00:00:00"/>
    <x v="5"/>
    <x v="5"/>
    <x v="5"/>
    <x v="3"/>
    <x v="3"/>
    <s v="Male"/>
    <x v="0"/>
    <n v="4"/>
    <n v="0"/>
    <n v="1.4"/>
    <n v="0.8"/>
    <n v="0"/>
  </r>
  <r>
    <s v="2023-01"/>
    <d v="2023-01-01T00:00:00"/>
    <x v="4"/>
    <x v="5"/>
    <x v="6"/>
    <x v="4"/>
    <x v="0"/>
    <s v="Female"/>
    <x v="1"/>
    <n v="2"/>
    <n v="0"/>
    <n v="3.9"/>
    <n v="0.66666666666666663"/>
    <n v="0"/>
  </r>
  <r>
    <s v="2023-10"/>
    <d v="2023-10-01T00:00:00"/>
    <x v="2"/>
    <x v="6"/>
    <x v="7"/>
    <x v="5"/>
    <x v="3"/>
    <s v="Female"/>
    <x v="3"/>
    <n v="1"/>
    <n v="0"/>
    <n v="3.8"/>
    <n v="0.5"/>
    <n v="0"/>
  </r>
  <r>
    <s v="2023-02"/>
    <d v="2023-02-01T00:00:00"/>
    <x v="6"/>
    <x v="5"/>
    <x v="6"/>
    <x v="0"/>
    <x v="2"/>
    <s v="Male"/>
    <x v="3"/>
    <n v="2"/>
    <n v="0"/>
    <n v="3.8"/>
    <n v="1"/>
    <n v="0"/>
  </r>
  <r>
    <s v="2023-08"/>
    <d v="2023-08-01T00:00:00"/>
    <x v="3"/>
    <x v="6"/>
    <x v="8"/>
    <x v="5"/>
    <x v="1"/>
    <s v="Female"/>
    <x v="4"/>
    <n v="6"/>
    <n v="0"/>
    <n v="3.3"/>
    <n v="1"/>
    <n v="0"/>
  </r>
  <r>
    <s v="2023-04"/>
    <d v="2023-04-01T00:00:00"/>
    <x v="0"/>
    <x v="0"/>
    <x v="0"/>
    <x v="1"/>
    <x v="0"/>
    <s v="Male"/>
    <x v="5"/>
    <n v="1"/>
    <n v="0"/>
    <n v="3.1"/>
    <n v="1"/>
    <n v="0"/>
  </r>
  <r>
    <s v="2023-05"/>
    <d v="2023-05-01T00:00:00"/>
    <x v="7"/>
    <x v="7"/>
    <x v="9"/>
    <x v="0"/>
    <x v="4"/>
    <s v="Male"/>
    <x v="0"/>
    <n v="5"/>
    <n v="0"/>
    <n v="1"/>
    <n v="1"/>
    <n v="0"/>
  </r>
  <r>
    <s v="2023-03"/>
    <d v="2023-03-01T00:00:00"/>
    <x v="5"/>
    <x v="8"/>
    <x v="10"/>
    <x v="3"/>
    <x v="0"/>
    <s v="Female"/>
    <x v="6"/>
    <n v="11"/>
    <n v="0"/>
    <n v="3.3"/>
    <n v="1"/>
    <n v="0"/>
  </r>
  <r>
    <s v="2023-07"/>
    <d v="2023-07-01T00:00:00"/>
    <x v="8"/>
    <x v="4"/>
    <x v="11"/>
    <x v="2"/>
    <x v="1"/>
    <s v="Male"/>
    <x v="5"/>
    <n v="1"/>
    <n v="0"/>
    <n v="3.3"/>
    <n v="1"/>
    <n v="0"/>
  </r>
  <r>
    <s v="2023-10"/>
    <d v="2023-10-01T00:00:00"/>
    <x v="2"/>
    <x v="0"/>
    <x v="12"/>
    <x v="0"/>
    <x v="5"/>
    <s v="Male"/>
    <x v="7"/>
    <n v="3"/>
    <n v="0"/>
    <n v="3"/>
    <n v="0.75"/>
    <n v="0"/>
  </r>
  <r>
    <s v="2023-05"/>
    <d v="2023-05-01T00:00:00"/>
    <x v="7"/>
    <x v="5"/>
    <x v="6"/>
    <x v="1"/>
    <x v="4"/>
    <s v="Female"/>
    <x v="3"/>
    <n v="2"/>
    <n v="0"/>
    <n v="1.3"/>
    <n v="1"/>
    <n v="0"/>
  </r>
  <r>
    <s v="2023-06"/>
    <d v="2023-06-01T00:00:00"/>
    <x v="1"/>
    <x v="4"/>
    <x v="11"/>
    <x v="3"/>
    <x v="3"/>
    <s v="Female"/>
    <x v="1"/>
    <n v="3"/>
    <n v="0"/>
    <n v="4.0999999999999996"/>
    <n v="1"/>
    <n v="0"/>
  </r>
  <r>
    <s v="2023-01"/>
    <d v="2023-01-01T00:00:00"/>
    <x v="4"/>
    <x v="0"/>
    <x v="0"/>
    <x v="4"/>
    <x v="2"/>
    <s v="Male"/>
    <x v="4"/>
    <n v="5"/>
    <n v="0"/>
    <n v="3.8"/>
    <n v="0.83333333333333337"/>
    <n v="0"/>
  </r>
  <r>
    <s v="2023-07"/>
    <d v="2023-07-01T00:00:00"/>
    <x v="8"/>
    <x v="8"/>
    <x v="10"/>
    <x v="2"/>
    <x v="4"/>
    <s v="Male"/>
    <x v="3"/>
    <n v="2"/>
    <n v="0"/>
    <n v="1.4"/>
    <n v="1"/>
    <n v="0"/>
  </r>
  <r>
    <s v="2023-05"/>
    <d v="2023-05-01T00:00:00"/>
    <x v="7"/>
    <x v="8"/>
    <x v="10"/>
    <x v="0"/>
    <x v="2"/>
    <s v="Male"/>
    <x v="0"/>
    <n v="5"/>
    <n v="0"/>
    <n v="3.1"/>
    <n v="1"/>
    <n v="0"/>
  </r>
  <r>
    <s v="2023-06"/>
    <d v="2023-06-01T00:00:00"/>
    <x v="1"/>
    <x v="0"/>
    <x v="0"/>
    <x v="3"/>
    <x v="4"/>
    <s v="Female"/>
    <x v="2"/>
    <n v="6"/>
    <n v="1"/>
    <n v="1.6"/>
    <n v="0.75"/>
    <n v="0.125"/>
  </r>
  <r>
    <s v="2023-07"/>
    <d v="2023-07-01T00:00:00"/>
    <x v="8"/>
    <x v="5"/>
    <x v="6"/>
    <x v="4"/>
    <x v="0"/>
    <s v="Male"/>
    <x v="8"/>
    <n v="5"/>
    <n v="0"/>
    <n v="4.2"/>
    <n v="0.7142857142857143"/>
    <n v="0"/>
  </r>
  <r>
    <s v="2023-05"/>
    <d v="2023-05-01T00:00:00"/>
    <x v="7"/>
    <x v="6"/>
    <x v="8"/>
    <x v="5"/>
    <x v="3"/>
    <s v="Male"/>
    <x v="5"/>
    <n v="1"/>
    <n v="0"/>
    <n v="3.2"/>
    <n v="1"/>
    <n v="0"/>
  </r>
  <r>
    <s v="2023-07"/>
    <d v="2023-07-01T00:00:00"/>
    <x v="8"/>
    <x v="7"/>
    <x v="13"/>
    <x v="4"/>
    <x v="4"/>
    <s v="Male"/>
    <x v="0"/>
    <n v="4"/>
    <n v="0"/>
    <n v="1.8"/>
    <n v="0.8"/>
    <n v="0"/>
  </r>
  <r>
    <s v="2023-02"/>
    <d v="2023-02-01T00:00:00"/>
    <x v="6"/>
    <x v="4"/>
    <x v="11"/>
    <x v="0"/>
    <x v="4"/>
    <s v="Female"/>
    <x v="0"/>
    <n v="5"/>
    <n v="1"/>
    <n v="3.9"/>
    <n v="1"/>
    <n v="0.2"/>
  </r>
  <r>
    <s v="2023-10"/>
    <d v="2023-10-01T00:00:00"/>
    <x v="2"/>
    <x v="5"/>
    <x v="5"/>
    <x v="4"/>
    <x v="3"/>
    <s v="Male"/>
    <x v="8"/>
    <n v="7"/>
    <n v="0"/>
    <n v="2.8"/>
    <n v="1"/>
    <n v="0"/>
  </r>
  <r>
    <s v="2023-06"/>
    <d v="2023-06-01T00:00:00"/>
    <x v="1"/>
    <x v="4"/>
    <x v="11"/>
    <x v="2"/>
    <x v="1"/>
    <s v="Female"/>
    <x v="0"/>
    <n v="3"/>
    <n v="0"/>
    <n v="2.5"/>
    <n v="0.6"/>
    <n v="0"/>
  </r>
  <r>
    <s v="2023-12"/>
    <d v="2023-12-01T00:00:00"/>
    <x v="9"/>
    <x v="7"/>
    <x v="13"/>
    <x v="2"/>
    <x v="5"/>
    <s v="Female"/>
    <x v="4"/>
    <n v="5"/>
    <n v="0"/>
    <n v="3.8"/>
    <n v="0.83333333333333337"/>
    <n v="0"/>
  </r>
  <r>
    <s v="2023-08"/>
    <d v="2023-08-01T00:00:00"/>
    <x v="3"/>
    <x v="1"/>
    <x v="1"/>
    <x v="5"/>
    <x v="2"/>
    <s v="Male"/>
    <x v="2"/>
    <n v="8"/>
    <n v="1"/>
    <n v="3.3"/>
    <n v="1"/>
    <n v="0.125"/>
  </r>
  <r>
    <s v="2023-02"/>
    <d v="2023-02-01T00:00:00"/>
    <x v="6"/>
    <x v="5"/>
    <x v="6"/>
    <x v="3"/>
    <x v="5"/>
    <s v="Female"/>
    <x v="9"/>
    <n v="9"/>
    <n v="0"/>
    <n v="3.3"/>
    <n v="0.9"/>
    <n v="0"/>
  </r>
  <r>
    <s v="2023-05"/>
    <d v="2023-05-01T00:00:00"/>
    <x v="7"/>
    <x v="9"/>
    <x v="14"/>
    <x v="4"/>
    <x v="3"/>
    <s v="Female"/>
    <x v="7"/>
    <n v="4"/>
    <n v="1"/>
    <n v="2.1"/>
    <n v="1"/>
    <n v="0.25"/>
  </r>
  <r>
    <s v="2023-02"/>
    <d v="2023-02-01T00:00:00"/>
    <x v="6"/>
    <x v="1"/>
    <x v="1"/>
    <x v="2"/>
    <x v="5"/>
    <s v="Female"/>
    <x v="7"/>
    <n v="4"/>
    <n v="0"/>
    <n v="2.7"/>
    <n v="1"/>
    <n v="0"/>
  </r>
  <r>
    <s v="2023-10"/>
    <d v="2023-10-01T00:00:00"/>
    <x v="2"/>
    <x v="4"/>
    <x v="4"/>
    <x v="5"/>
    <x v="1"/>
    <s v="Female"/>
    <x v="2"/>
    <n v="8"/>
    <n v="0"/>
    <n v="2.2000000000000002"/>
    <n v="1"/>
    <n v="0"/>
  </r>
  <r>
    <s v="2023-01"/>
    <d v="2023-01-01T00:00:00"/>
    <x v="4"/>
    <x v="5"/>
    <x v="6"/>
    <x v="0"/>
    <x v="2"/>
    <s v="Male"/>
    <x v="1"/>
    <n v="3"/>
    <n v="0"/>
    <n v="4.7"/>
    <n v="1"/>
    <n v="0"/>
  </r>
  <r>
    <s v="2023-07"/>
    <d v="2023-07-01T00:00:00"/>
    <x v="8"/>
    <x v="3"/>
    <x v="15"/>
    <x v="2"/>
    <x v="2"/>
    <s v="Female"/>
    <x v="8"/>
    <n v="6"/>
    <n v="0"/>
    <n v="2.8"/>
    <n v="0.8571428571428571"/>
    <n v="0"/>
  </r>
  <r>
    <s v="2023-09"/>
    <d v="2023-09-01T00:00:00"/>
    <x v="10"/>
    <x v="4"/>
    <x v="11"/>
    <x v="1"/>
    <x v="4"/>
    <s v="Female"/>
    <x v="1"/>
    <n v="3"/>
    <n v="0"/>
    <n v="4.9000000000000004"/>
    <n v="1"/>
    <n v="0"/>
  </r>
  <r>
    <s v="2023-07"/>
    <d v="2023-07-01T00:00:00"/>
    <x v="8"/>
    <x v="7"/>
    <x v="13"/>
    <x v="0"/>
    <x v="0"/>
    <s v="Female"/>
    <x v="1"/>
    <n v="3"/>
    <n v="0"/>
    <n v="3.4"/>
    <n v="1"/>
    <n v="0"/>
  </r>
  <r>
    <s v="2023-08"/>
    <d v="2023-08-01T00:00:00"/>
    <x v="3"/>
    <x v="5"/>
    <x v="6"/>
    <x v="2"/>
    <x v="2"/>
    <s v="Male"/>
    <x v="1"/>
    <n v="3"/>
    <n v="1"/>
    <n v="3.9"/>
    <n v="1"/>
    <n v="0.33333333333333331"/>
  </r>
  <r>
    <s v="2023-10"/>
    <d v="2023-10-01T00:00:00"/>
    <x v="2"/>
    <x v="1"/>
    <x v="16"/>
    <x v="2"/>
    <x v="2"/>
    <s v="Female"/>
    <x v="10"/>
    <n v="9"/>
    <n v="0"/>
    <n v="2.5"/>
    <n v="1"/>
    <n v="0"/>
  </r>
  <r>
    <s v="2023-03"/>
    <d v="2023-03-01T00:00:00"/>
    <x v="5"/>
    <x v="4"/>
    <x v="4"/>
    <x v="2"/>
    <x v="5"/>
    <s v="Male"/>
    <x v="3"/>
    <n v="1"/>
    <n v="0"/>
    <n v="3.2"/>
    <n v="0.5"/>
    <n v="0"/>
  </r>
  <r>
    <s v="2023-04"/>
    <d v="2023-04-01T00:00:00"/>
    <x v="0"/>
    <x v="5"/>
    <x v="5"/>
    <x v="5"/>
    <x v="3"/>
    <s v="Male"/>
    <x v="8"/>
    <n v="6"/>
    <n v="1"/>
    <n v="3"/>
    <n v="0.8571428571428571"/>
    <n v="0.14285714285714285"/>
  </r>
  <r>
    <s v="2023-09"/>
    <d v="2023-09-01T00:00:00"/>
    <x v="10"/>
    <x v="6"/>
    <x v="8"/>
    <x v="4"/>
    <x v="1"/>
    <s v="Female"/>
    <x v="2"/>
    <n v="6"/>
    <n v="0"/>
    <n v="3.1"/>
    <n v="0.75"/>
    <n v="0"/>
  </r>
  <r>
    <s v="2023-04"/>
    <d v="2023-04-01T00:00:00"/>
    <x v="0"/>
    <x v="8"/>
    <x v="10"/>
    <x v="1"/>
    <x v="1"/>
    <s v="Female"/>
    <x v="7"/>
    <n v="3"/>
    <n v="0"/>
    <n v="3.3"/>
    <n v="0.75"/>
    <n v="0"/>
  </r>
  <r>
    <s v="2023-11"/>
    <d v="2023-11-01T00:00:00"/>
    <x v="11"/>
    <x v="9"/>
    <x v="14"/>
    <x v="5"/>
    <x v="3"/>
    <s v="Female"/>
    <x v="2"/>
    <n v="7"/>
    <n v="0"/>
    <n v="2.9"/>
    <n v="0.875"/>
    <n v="0"/>
  </r>
  <r>
    <s v="2023-04"/>
    <d v="2023-04-01T00:00:00"/>
    <x v="0"/>
    <x v="1"/>
    <x v="16"/>
    <x v="3"/>
    <x v="0"/>
    <s v="Female"/>
    <x v="7"/>
    <n v="4"/>
    <n v="0"/>
    <n v="3.4"/>
    <n v="1"/>
    <n v="0"/>
  </r>
  <r>
    <s v="2023-07"/>
    <d v="2023-07-01T00:00:00"/>
    <x v="8"/>
    <x v="0"/>
    <x v="0"/>
    <x v="2"/>
    <x v="4"/>
    <s v="Male"/>
    <x v="3"/>
    <n v="2"/>
    <n v="0"/>
    <n v="2.4"/>
    <n v="1"/>
    <n v="0"/>
  </r>
  <r>
    <s v="2023-12"/>
    <d v="2023-12-01T00:00:00"/>
    <x v="9"/>
    <x v="0"/>
    <x v="12"/>
    <x v="4"/>
    <x v="2"/>
    <s v="Female"/>
    <x v="1"/>
    <n v="1"/>
    <n v="0"/>
    <n v="4.2"/>
    <n v="0.33333333333333331"/>
    <n v="0"/>
  </r>
  <r>
    <s v="2023-12"/>
    <d v="2023-12-01T00:00:00"/>
    <x v="9"/>
    <x v="2"/>
    <x v="2"/>
    <x v="3"/>
    <x v="0"/>
    <s v="Female"/>
    <x v="8"/>
    <n v="5"/>
    <n v="0"/>
    <n v="2.5"/>
    <n v="0.7142857142857143"/>
    <n v="0"/>
  </r>
  <r>
    <s v="2023-04"/>
    <d v="2023-04-01T00:00:00"/>
    <x v="0"/>
    <x v="7"/>
    <x v="9"/>
    <x v="0"/>
    <x v="4"/>
    <s v="Female"/>
    <x v="5"/>
    <n v="1"/>
    <n v="0"/>
    <n v="4.3"/>
    <n v="1"/>
    <n v="0"/>
  </r>
  <r>
    <s v="2023-11"/>
    <d v="2023-11-01T00:00:00"/>
    <x v="11"/>
    <x v="6"/>
    <x v="8"/>
    <x v="0"/>
    <x v="3"/>
    <s v="Female"/>
    <x v="8"/>
    <n v="5"/>
    <n v="0"/>
    <n v="3.8"/>
    <n v="0.7142857142857143"/>
    <n v="0"/>
  </r>
  <r>
    <s v="2023-02"/>
    <d v="2023-02-01T00:00:00"/>
    <x v="6"/>
    <x v="5"/>
    <x v="6"/>
    <x v="2"/>
    <x v="0"/>
    <s v="Female"/>
    <x v="8"/>
    <n v="6"/>
    <n v="0"/>
    <n v="4.2"/>
    <n v="0.8571428571428571"/>
    <n v="0"/>
  </r>
  <r>
    <s v="2023-05"/>
    <d v="2023-05-01T00:00:00"/>
    <x v="7"/>
    <x v="7"/>
    <x v="13"/>
    <x v="1"/>
    <x v="3"/>
    <s v="Female"/>
    <x v="0"/>
    <n v="4"/>
    <n v="0"/>
    <n v="4.8"/>
    <n v="0.8"/>
    <n v="0"/>
  </r>
  <r>
    <s v="2023-02"/>
    <d v="2023-02-01T00:00:00"/>
    <x v="6"/>
    <x v="7"/>
    <x v="9"/>
    <x v="0"/>
    <x v="3"/>
    <s v="Male"/>
    <x v="7"/>
    <n v="2"/>
    <n v="2"/>
    <n v="3.3"/>
    <n v="0.5"/>
    <n v="0.5"/>
  </r>
  <r>
    <s v="2023-12"/>
    <d v="2023-12-01T00:00:00"/>
    <x v="9"/>
    <x v="3"/>
    <x v="3"/>
    <x v="2"/>
    <x v="0"/>
    <s v="Female"/>
    <x v="10"/>
    <n v="7"/>
    <n v="1"/>
    <n v="4.9000000000000004"/>
    <n v="0.77777777777777779"/>
    <n v="0.1111111111111111"/>
  </r>
  <r>
    <s v="2023-05"/>
    <d v="2023-05-01T00:00:00"/>
    <x v="7"/>
    <x v="2"/>
    <x v="2"/>
    <x v="1"/>
    <x v="4"/>
    <s v="Male"/>
    <x v="5"/>
    <n v="1"/>
    <n v="0"/>
    <n v="1.3"/>
    <n v="1"/>
    <n v="0"/>
  </r>
  <r>
    <s v="2023-06"/>
    <d v="2023-06-01T00:00:00"/>
    <x v="1"/>
    <x v="4"/>
    <x v="4"/>
    <x v="2"/>
    <x v="5"/>
    <s v="Female"/>
    <x v="4"/>
    <n v="5"/>
    <n v="1"/>
    <n v="4.4000000000000004"/>
    <n v="0.83333333333333337"/>
    <n v="0.16666666666666666"/>
  </r>
  <r>
    <s v="2023-07"/>
    <d v="2023-07-01T00:00:00"/>
    <x v="8"/>
    <x v="1"/>
    <x v="16"/>
    <x v="1"/>
    <x v="1"/>
    <s v="Male"/>
    <x v="2"/>
    <n v="6"/>
    <n v="0"/>
    <n v="3.7"/>
    <n v="0.75"/>
    <n v="0"/>
  </r>
  <r>
    <s v="2023-12"/>
    <d v="2023-12-01T00:00:00"/>
    <x v="9"/>
    <x v="5"/>
    <x v="5"/>
    <x v="3"/>
    <x v="4"/>
    <s v="Male"/>
    <x v="4"/>
    <n v="5"/>
    <n v="0"/>
    <n v="1.9"/>
    <n v="0.83333333333333337"/>
    <n v="0"/>
  </r>
  <r>
    <s v="2023-08"/>
    <d v="2023-08-01T00:00:00"/>
    <x v="3"/>
    <x v="9"/>
    <x v="14"/>
    <x v="5"/>
    <x v="5"/>
    <s v="Female"/>
    <x v="7"/>
    <n v="3"/>
    <n v="0"/>
    <n v="2"/>
    <n v="0.75"/>
    <n v="0"/>
  </r>
  <r>
    <s v="2023-03"/>
    <d v="2023-03-01T00:00:00"/>
    <x v="5"/>
    <x v="6"/>
    <x v="7"/>
    <x v="3"/>
    <x v="4"/>
    <s v="Female"/>
    <x v="5"/>
    <n v="1"/>
    <n v="0"/>
    <n v="3.7"/>
    <n v="1"/>
    <n v="0"/>
  </r>
  <r>
    <s v="2023-05"/>
    <d v="2023-05-01T00:00:00"/>
    <x v="7"/>
    <x v="5"/>
    <x v="5"/>
    <x v="0"/>
    <x v="2"/>
    <s v="Male"/>
    <x v="8"/>
    <n v="5"/>
    <n v="1"/>
    <n v="1.3"/>
    <n v="0.7142857142857143"/>
    <n v="0.14285714285714285"/>
  </r>
  <r>
    <s v="2023-09"/>
    <d v="2023-09-01T00:00:00"/>
    <x v="10"/>
    <x v="6"/>
    <x v="8"/>
    <x v="5"/>
    <x v="0"/>
    <s v="Female"/>
    <x v="4"/>
    <n v="6"/>
    <n v="0"/>
    <n v="2.9"/>
    <n v="1"/>
    <n v="0"/>
  </r>
  <r>
    <s v="2023-05"/>
    <d v="2023-05-01T00:00:00"/>
    <x v="7"/>
    <x v="3"/>
    <x v="3"/>
    <x v="4"/>
    <x v="3"/>
    <s v="Male"/>
    <x v="1"/>
    <n v="3"/>
    <n v="1"/>
    <n v="5.0999999999999996"/>
    <n v="1"/>
    <n v="0.33333333333333331"/>
  </r>
  <r>
    <s v="2023-02"/>
    <d v="2023-02-01T00:00:00"/>
    <x v="6"/>
    <x v="4"/>
    <x v="11"/>
    <x v="0"/>
    <x v="3"/>
    <s v="Female"/>
    <x v="3"/>
    <n v="2"/>
    <n v="0"/>
    <n v="2.7"/>
    <n v="1"/>
    <n v="0"/>
  </r>
  <r>
    <s v="2023-10"/>
    <d v="2023-10-01T00:00:00"/>
    <x v="2"/>
    <x v="7"/>
    <x v="13"/>
    <x v="4"/>
    <x v="3"/>
    <s v="Female"/>
    <x v="3"/>
    <n v="2"/>
    <n v="0"/>
    <n v="3.1"/>
    <n v="1"/>
    <n v="0"/>
  </r>
  <r>
    <s v="2023-06"/>
    <d v="2023-06-01T00:00:00"/>
    <x v="1"/>
    <x v="4"/>
    <x v="11"/>
    <x v="4"/>
    <x v="1"/>
    <s v="Male"/>
    <x v="7"/>
    <n v="3"/>
    <n v="1"/>
    <n v="0.7"/>
    <n v="0.75"/>
    <n v="0.25"/>
  </r>
  <r>
    <s v="2023-11"/>
    <d v="2023-11-01T00:00:00"/>
    <x v="11"/>
    <x v="7"/>
    <x v="13"/>
    <x v="0"/>
    <x v="1"/>
    <s v="Female"/>
    <x v="7"/>
    <n v="4"/>
    <n v="0"/>
    <n v="5.4"/>
    <n v="1"/>
    <n v="0"/>
  </r>
  <r>
    <s v="2023-04"/>
    <d v="2023-04-01T00:00:00"/>
    <x v="0"/>
    <x v="1"/>
    <x v="1"/>
    <x v="2"/>
    <x v="3"/>
    <s v="Female"/>
    <x v="1"/>
    <n v="3"/>
    <n v="0"/>
    <n v="2.7"/>
    <n v="1"/>
    <n v="0"/>
  </r>
  <r>
    <s v="2023-09"/>
    <d v="2023-09-01T00:00:00"/>
    <x v="10"/>
    <x v="3"/>
    <x v="3"/>
    <x v="5"/>
    <x v="1"/>
    <s v="Male"/>
    <x v="0"/>
    <n v="5"/>
    <n v="0"/>
    <n v="2.8"/>
    <n v="1"/>
    <n v="0"/>
  </r>
  <r>
    <s v="2023-01"/>
    <d v="2023-01-01T00:00:00"/>
    <x v="4"/>
    <x v="7"/>
    <x v="13"/>
    <x v="3"/>
    <x v="2"/>
    <s v="Male"/>
    <x v="1"/>
    <n v="2"/>
    <n v="0"/>
    <n v="3"/>
    <n v="0.66666666666666663"/>
    <n v="0"/>
  </r>
  <r>
    <s v="2023-01"/>
    <d v="2023-01-01T00:00:00"/>
    <x v="4"/>
    <x v="2"/>
    <x v="2"/>
    <x v="1"/>
    <x v="4"/>
    <s v="Female"/>
    <x v="4"/>
    <n v="6"/>
    <n v="0"/>
    <n v="2.1"/>
    <n v="1"/>
    <n v="0"/>
  </r>
  <r>
    <s v="2023-04"/>
    <d v="2023-04-01T00:00:00"/>
    <x v="0"/>
    <x v="3"/>
    <x v="15"/>
    <x v="4"/>
    <x v="3"/>
    <s v="Female"/>
    <x v="4"/>
    <n v="6"/>
    <n v="0"/>
    <n v="1.6"/>
    <n v="1"/>
    <n v="0"/>
  </r>
  <r>
    <s v="2023-11"/>
    <d v="2023-11-01T00:00:00"/>
    <x v="11"/>
    <x v="1"/>
    <x v="1"/>
    <x v="5"/>
    <x v="4"/>
    <s v="Female"/>
    <x v="1"/>
    <n v="2"/>
    <n v="0"/>
    <n v="0.5"/>
    <n v="0.66666666666666663"/>
    <n v="0"/>
  </r>
  <r>
    <s v="2023-05"/>
    <d v="2023-05-01T00:00:00"/>
    <x v="7"/>
    <x v="8"/>
    <x v="10"/>
    <x v="2"/>
    <x v="1"/>
    <s v="Female"/>
    <x v="8"/>
    <n v="6"/>
    <n v="1"/>
    <n v="3.7"/>
    <n v="0.8571428571428571"/>
    <n v="0.14285714285714285"/>
  </r>
  <r>
    <s v="2023-10"/>
    <d v="2023-10-01T00:00:00"/>
    <x v="2"/>
    <x v="3"/>
    <x v="3"/>
    <x v="3"/>
    <x v="2"/>
    <s v="Male"/>
    <x v="0"/>
    <n v="5"/>
    <n v="0"/>
    <n v="2.5"/>
    <n v="1"/>
    <n v="0"/>
  </r>
  <r>
    <s v="2023-05"/>
    <d v="2023-05-01T00:00:00"/>
    <x v="7"/>
    <x v="3"/>
    <x v="15"/>
    <x v="4"/>
    <x v="2"/>
    <s v="Male"/>
    <x v="0"/>
    <n v="5"/>
    <n v="0"/>
    <n v="2.7"/>
    <n v="1"/>
    <n v="0"/>
  </r>
  <r>
    <s v="2023-05"/>
    <d v="2023-05-01T00:00:00"/>
    <x v="7"/>
    <x v="9"/>
    <x v="17"/>
    <x v="0"/>
    <x v="0"/>
    <s v="Female"/>
    <x v="1"/>
    <n v="2"/>
    <n v="0"/>
    <n v="4.0999999999999996"/>
    <n v="0.66666666666666663"/>
    <n v="0"/>
  </r>
  <r>
    <s v="2023-06"/>
    <d v="2023-06-01T00:00:00"/>
    <x v="1"/>
    <x v="9"/>
    <x v="14"/>
    <x v="3"/>
    <x v="2"/>
    <s v="Female"/>
    <x v="8"/>
    <n v="6"/>
    <n v="1"/>
    <n v="3.8"/>
    <n v="0.8571428571428571"/>
    <n v="0.14285714285714285"/>
  </r>
  <r>
    <s v="2023-09"/>
    <d v="2023-09-01T00:00:00"/>
    <x v="10"/>
    <x v="8"/>
    <x v="18"/>
    <x v="4"/>
    <x v="3"/>
    <s v="Male"/>
    <x v="1"/>
    <n v="2"/>
    <n v="0"/>
    <n v="2.4"/>
    <n v="0.66666666666666663"/>
    <n v="0"/>
  </r>
  <r>
    <s v="2023-06"/>
    <d v="2023-06-01T00:00:00"/>
    <x v="1"/>
    <x v="9"/>
    <x v="14"/>
    <x v="3"/>
    <x v="2"/>
    <s v="Male"/>
    <x v="0"/>
    <n v="4"/>
    <n v="0"/>
    <n v="3.6"/>
    <n v="0.8"/>
    <n v="0"/>
  </r>
  <r>
    <s v="2023-04"/>
    <d v="2023-04-01T00:00:00"/>
    <x v="0"/>
    <x v="9"/>
    <x v="17"/>
    <x v="5"/>
    <x v="0"/>
    <s v="Male"/>
    <x v="8"/>
    <n v="5"/>
    <n v="0"/>
    <n v="3.9"/>
    <n v="0.7142857142857143"/>
    <n v="0"/>
  </r>
  <r>
    <s v="2023-12"/>
    <d v="2023-12-01T00:00:00"/>
    <x v="9"/>
    <x v="5"/>
    <x v="6"/>
    <x v="4"/>
    <x v="1"/>
    <s v="Female"/>
    <x v="0"/>
    <n v="4"/>
    <n v="0"/>
    <n v="3.1"/>
    <n v="0.8"/>
    <n v="0"/>
  </r>
  <r>
    <s v="2023-05"/>
    <d v="2023-05-01T00:00:00"/>
    <x v="7"/>
    <x v="6"/>
    <x v="8"/>
    <x v="4"/>
    <x v="5"/>
    <s v="Female"/>
    <x v="0"/>
    <n v="4"/>
    <n v="0"/>
    <n v="4.5"/>
    <n v="0.8"/>
    <n v="0"/>
  </r>
  <r>
    <s v="2023-05"/>
    <d v="2023-05-01T00:00:00"/>
    <x v="7"/>
    <x v="3"/>
    <x v="3"/>
    <x v="0"/>
    <x v="1"/>
    <s v="Male"/>
    <x v="0"/>
    <n v="5"/>
    <n v="1"/>
    <n v="3.4"/>
    <n v="1"/>
    <n v="0.2"/>
  </r>
  <r>
    <s v="2023-10"/>
    <d v="2023-10-01T00:00:00"/>
    <x v="2"/>
    <x v="5"/>
    <x v="6"/>
    <x v="3"/>
    <x v="2"/>
    <s v="Male"/>
    <x v="4"/>
    <n v="6"/>
    <n v="0"/>
    <n v="1.2"/>
    <n v="1"/>
    <n v="0"/>
  </r>
  <r>
    <s v="2023-05"/>
    <d v="2023-05-01T00:00:00"/>
    <x v="7"/>
    <x v="1"/>
    <x v="1"/>
    <x v="3"/>
    <x v="2"/>
    <s v="Male"/>
    <x v="4"/>
    <n v="5"/>
    <n v="1"/>
    <n v="4.5"/>
    <n v="0.83333333333333337"/>
    <n v="0.16666666666666666"/>
  </r>
  <r>
    <s v="2023-09"/>
    <d v="2023-09-01T00:00:00"/>
    <x v="10"/>
    <x v="3"/>
    <x v="3"/>
    <x v="0"/>
    <x v="4"/>
    <s v="Female"/>
    <x v="8"/>
    <n v="6"/>
    <n v="1"/>
    <n v="2.9"/>
    <n v="0.8571428571428571"/>
    <n v="0.14285714285714285"/>
  </r>
  <r>
    <s v="2023-04"/>
    <d v="2023-04-01T00:00:00"/>
    <x v="0"/>
    <x v="6"/>
    <x v="8"/>
    <x v="5"/>
    <x v="1"/>
    <s v="Male"/>
    <x v="4"/>
    <n v="5"/>
    <n v="0"/>
    <n v="3.8"/>
    <n v="0.83333333333333337"/>
    <n v="0"/>
  </r>
  <r>
    <s v="2023-10"/>
    <d v="2023-10-01T00:00:00"/>
    <x v="2"/>
    <x v="4"/>
    <x v="11"/>
    <x v="1"/>
    <x v="3"/>
    <s v="Female"/>
    <x v="1"/>
    <n v="3"/>
    <n v="0"/>
    <n v="3.8"/>
    <n v="1"/>
    <n v="0"/>
  </r>
  <r>
    <s v="2023-01"/>
    <d v="2023-01-01T00:00:00"/>
    <x v="4"/>
    <x v="0"/>
    <x v="0"/>
    <x v="5"/>
    <x v="1"/>
    <s v="Female"/>
    <x v="0"/>
    <n v="5"/>
    <n v="0"/>
    <n v="3.1"/>
    <n v="1"/>
    <n v="0"/>
  </r>
  <r>
    <s v="2023-10"/>
    <d v="2023-10-01T00:00:00"/>
    <x v="2"/>
    <x v="0"/>
    <x v="12"/>
    <x v="0"/>
    <x v="5"/>
    <s v="Female"/>
    <x v="4"/>
    <n v="5"/>
    <n v="0"/>
    <n v="2.2000000000000002"/>
    <n v="0.83333333333333337"/>
    <n v="0"/>
  </r>
  <r>
    <s v="2023-12"/>
    <d v="2023-12-01T00:00:00"/>
    <x v="9"/>
    <x v="1"/>
    <x v="16"/>
    <x v="5"/>
    <x v="0"/>
    <s v="Female"/>
    <x v="0"/>
    <n v="4"/>
    <n v="0"/>
    <n v="2.8"/>
    <n v="0.8"/>
    <n v="0"/>
  </r>
  <r>
    <s v="2023-08"/>
    <d v="2023-08-01T00:00:00"/>
    <x v="3"/>
    <x v="0"/>
    <x v="12"/>
    <x v="0"/>
    <x v="0"/>
    <s v="Male"/>
    <x v="3"/>
    <n v="2"/>
    <n v="0"/>
    <n v="2.7"/>
    <n v="1"/>
    <n v="0"/>
  </r>
  <r>
    <s v="2023-03"/>
    <d v="2023-03-01T00:00:00"/>
    <x v="5"/>
    <x v="4"/>
    <x v="11"/>
    <x v="0"/>
    <x v="4"/>
    <s v="Female"/>
    <x v="0"/>
    <n v="4"/>
    <n v="1"/>
    <n v="4.5"/>
    <n v="0.8"/>
    <n v="0.2"/>
  </r>
  <r>
    <s v="2023-09"/>
    <d v="2023-09-01T00:00:00"/>
    <x v="10"/>
    <x v="8"/>
    <x v="10"/>
    <x v="0"/>
    <x v="1"/>
    <s v="Male"/>
    <x v="7"/>
    <n v="4"/>
    <n v="0"/>
    <n v="2.9"/>
    <n v="1"/>
    <n v="0"/>
  </r>
  <r>
    <s v="2023-11"/>
    <d v="2023-11-01T00:00:00"/>
    <x v="11"/>
    <x v="6"/>
    <x v="7"/>
    <x v="0"/>
    <x v="5"/>
    <s v="Female"/>
    <x v="1"/>
    <n v="3"/>
    <n v="0"/>
    <n v="3"/>
    <n v="1"/>
    <n v="0"/>
  </r>
  <r>
    <s v="2023-12"/>
    <d v="2023-12-01T00:00:00"/>
    <x v="9"/>
    <x v="5"/>
    <x v="6"/>
    <x v="0"/>
    <x v="4"/>
    <s v="Female"/>
    <x v="1"/>
    <n v="3"/>
    <n v="0"/>
    <n v="3.2"/>
    <n v="1"/>
    <n v="0"/>
  </r>
  <r>
    <s v="2023-08"/>
    <d v="2023-08-01T00:00:00"/>
    <x v="3"/>
    <x v="1"/>
    <x v="1"/>
    <x v="1"/>
    <x v="1"/>
    <s v="Male"/>
    <x v="0"/>
    <n v="5"/>
    <n v="0"/>
    <n v="3.3"/>
    <n v="1"/>
    <n v="0"/>
  </r>
  <r>
    <s v="2023-07"/>
    <d v="2023-07-01T00:00:00"/>
    <x v="8"/>
    <x v="4"/>
    <x v="11"/>
    <x v="5"/>
    <x v="5"/>
    <s v="Female"/>
    <x v="5"/>
    <n v="1"/>
    <n v="0"/>
    <n v="1.8"/>
    <n v="1"/>
    <n v="0"/>
  </r>
  <r>
    <s v="2023-09"/>
    <d v="2023-09-01T00:00:00"/>
    <x v="10"/>
    <x v="7"/>
    <x v="13"/>
    <x v="1"/>
    <x v="0"/>
    <s v="Male"/>
    <x v="4"/>
    <n v="6"/>
    <n v="1"/>
    <n v="2.2000000000000002"/>
    <n v="1"/>
    <n v="0.16666666666666666"/>
  </r>
  <r>
    <s v="2023-02"/>
    <d v="2023-02-01T00:00:00"/>
    <x v="6"/>
    <x v="5"/>
    <x v="5"/>
    <x v="3"/>
    <x v="1"/>
    <s v="Male"/>
    <x v="8"/>
    <n v="7"/>
    <n v="0"/>
    <n v="1.7"/>
    <n v="1"/>
    <n v="0"/>
  </r>
  <r>
    <s v="2023-11"/>
    <d v="2023-11-01T00:00:00"/>
    <x v="11"/>
    <x v="9"/>
    <x v="14"/>
    <x v="1"/>
    <x v="3"/>
    <s v="Male"/>
    <x v="0"/>
    <n v="5"/>
    <n v="1"/>
    <n v="3.7"/>
    <n v="1"/>
    <n v="0.2"/>
  </r>
  <r>
    <s v="2023-10"/>
    <d v="2023-10-01T00:00:00"/>
    <x v="2"/>
    <x v="2"/>
    <x v="2"/>
    <x v="2"/>
    <x v="1"/>
    <s v="Female"/>
    <x v="7"/>
    <n v="3"/>
    <n v="0"/>
    <n v="4.5999999999999996"/>
    <n v="0.75"/>
    <n v="0"/>
  </r>
  <r>
    <s v="2023-03"/>
    <d v="2023-03-01T00:00:00"/>
    <x v="5"/>
    <x v="5"/>
    <x v="6"/>
    <x v="3"/>
    <x v="5"/>
    <s v="Male"/>
    <x v="4"/>
    <n v="6"/>
    <n v="1"/>
    <n v="4.5999999999999996"/>
    <n v="1"/>
    <n v="0.16666666666666666"/>
  </r>
  <r>
    <s v="2023-06"/>
    <d v="2023-06-01T00:00:00"/>
    <x v="1"/>
    <x v="5"/>
    <x v="5"/>
    <x v="2"/>
    <x v="0"/>
    <s v="Male"/>
    <x v="1"/>
    <n v="3"/>
    <n v="0"/>
    <n v="2"/>
    <n v="1"/>
    <n v="0"/>
  </r>
  <r>
    <s v="2023-10"/>
    <d v="2023-10-01T00:00:00"/>
    <x v="2"/>
    <x v="9"/>
    <x v="17"/>
    <x v="1"/>
    <x v="3"/>
    <s v="Female"/>
    <x v="4"/>
    <n v="6"/>
    <n v="0"/>
    <n v="4.0999999999999996"/>
    <n v="1"/>
    <n v="0"/>
  </r>
  <r>
    <s v="2023-11"/>
    <d v="2023-11-01T00:00:00"/>
    <x v="11"/>
    <x v="9"/>
    <x v="14"/>
    <x v="0"/>
    <x v="3"/>
    <s v="Female"/>
    <x v="1"/>
    <n v="2"/>
    <n v="0"/>
    <n v="3.2"/>
    <n v="0.66666666666666663"/>
    <n v="0"/>
  </r>
  <r>
    <s v="2023-04"/>
    <d v="2023-04-01T00:00:00"/>
    <x v="0"/>
    <x v="3"/>
    <x v="15"/>
    <x v="0"/>
    <x v="2"/>
    <s v="Male"/>
    <x v="8"/>
    <n v="6"/>
    <n v="0"/>
    <n v="2.7"/>
    <n v="0.8571428571428571"/>
    <n v="0"/>
  </r>
  <r>
    <s v="2023-11"/>
    <d v="2023-11-01T00:00:00"/>
    <x v="11"/>
    <x v="3"/>
    <x v="3"/>
    <x v="0"/>
    <x v="0"/>
    <s v="Female"/>
    <x v="7"/>
    <n v="4"/>
    <n v="0"/>
    <n v="3.4"/>
    <n v="1"/>
    <n v="0"/>
  </r>
  <r>
    <s v="2023-12"/>
    <d v="2023-12-01T00:00:00"/>
    <x v="9"/>
    <x v="5"/>
    <x v="6"/>
    <x v="5"/>
    <x v="0"/>
    <s v="Female"/>
    <x v="10"/>
    <n v="8"/>
    <n v="1"/>
    <n v="3.6"/>
    <n v="0.88888888888888884"/>
    <n v="0.1111111111111111"/>
  </r>
  <r>
    <s v="2023-02"/>
    <d v="2023-02-01T00:00:00"/>
    <x v="6"/>
    <x v="5"/>
    <x v="5"/>
    <x v="5"/>
    <x v="1"/>
    <s v="Female"/>
    <x v="1"/>
    <n v="3"/>
    <n v="0"/>
    <n v="3"/>
    <n v="1"/>
    <n v="0"/>
  </r>
  <r>
    <s v="2023-07"/>
    <d v="2023-07-01T00:00:00"/>
    <x v="8"/>
    <x v="5"/>
    <x v="5"/>
    <x v="2"/>
    <x v="2"/>
    <s v="Female"/>
    <x v="0"/>
    <n v="5"/>
    <n v="0"/>
    <n v="3.7"/>
    <n v="1"/>
    <n v="0"/>
  </r>
  <r>
    <s v="2023-03"/>
    <d v="2023-03-01T00:00:00"/>
    <x v="5"/>
    <x v="9"/>
    <x v="14"/>
    <x v="2"/>
    <x v="0"/>
    <s v="Female"/>
    <x v="7"/>
    <n v="4"/>
    <n v="0"/>
    <n v="2.2999999999999998"/>
    <n v="1"/>
    <n v="0"/>
  </r>
  <r>
    <s v="2023-04"/>
    <d v="2023-04-01T00:00:00"/>
    <x v="0"/>
    <x v="9"/>
    <x v="17"/>
    <x v="5"/>
    <x v="5"/>
    <s v="Male"/>
    <x v="7"/>
    <n v="3"/>
    <n v="0"/>
    <n v="4"/>
    <n v="0.75"/>
    <n v="0"/>
  </r>
  <r>
    <s v="2023-12"/>
    <d v="2023-12-01T00:00:00"/>
    <x v="9"/>
    <x v="0"/>
    <x v="12"/>
    <x v="4"/>
    <x v="0"/>
    <s v="Female"/>
    <x v="11"/>
    <n v="12"/>
    <n v="1"/>
    <n v="2.6"/>
    <n v="0.92307692307692313"/>
    <n v="7.6923076923076927E-2"/>
  </r>
  <r>
    <s v="2023-07"/>
    <d v="2023-07-01T00:00:00"/>
    <x v="8"/>
    <x v="9"/>
    <x v="14"/>
    <x v="4"/>
    <x v="2"/>
    <s v="Male"/>
    <x v="7"/>
    <n v="4"/>
    <n v="2"/>
    <n v="2.7"/>
    <n v="1"/>
    <n v="0.5"/>
  </r>
  <r>
    <s v="2023-06"/>
    <d v="2023-06-01T00:00:00"/>
    <x v="1"/>
    <x v="8"/>
    <x v="10"/>
    <x v="3"/>
    <x v="0"/>
    <s v="Female"/>
    <x v="4"/>
    <n v="6"/>
    <n v="1"/>
    <n v="3"/>
    <n v="1"/>
    <n v="0.16666666666666666"/>
  </r>
  <r>
    <s v="2023-10"/>
    <d v="2023-10-01T00:00:00"/>
    <x v="2"/>
    <x v="0"/>
    <x v="0"/>
    <x v="3"/>
    <x v="5"/>
    <s v="Male"/>
    <x v="8"/>
    <n v="7"/>
    <n v="0"/>
    <n v="3.7"/>
    <n v="1"/>
    <n v="0"/>
  </r>
  <r>
    <s v="2023-04"/>
    <d v="2023-04-01T00:00:00"/>
    <x v="0"/>
    <x v="5"/>
    <x v="5"/>
    <x v="2"/>
    <x v="1"/>
    <s v="Female"/>
    <x v="7"/>
    <n v="2"/>
    <n v="1"/>
    <n v="2.6"/>
    <n v="0.5"/>
    <n v="0.25"/>
  </r>
  <r>
    <s v="2023-12"/>
    <d v="2023-12-01T00:00:00"/>
    <x v="9"/>
    <x v="8"/>
    <x v="10"/>
    <x v="4"/>
    <x v="4"/>
    <s v="Female"/>
    <x v="0"/>
    <n v="5"/>
    <n v="0"/>
    <n v="1.8"/>
    <n v="1"/>
    <n v="0"/>
  </r>
  <r>
    <s v="2023-07"/>
    <d v="2023-07-01T00:00:00"/>
    <x v="8"/>
    <x v="8"/>
    <x v="10"/>
    <x v="2"/>
    <x v="3"/>
    <s v="Male"/>
    <x v="7"/>
    <n v="3"/>
    <n v="1"/>
    <n v="3.3"/>
    <n v="0.75"/>
    <n v="0.25"/>
  </r>
  <r>
    <s v="2023-11"/>
    <d v="2023-11-01T00:00:00"/>
    <x v="11"/>
    <x v="6"/>
    <x v="8"/>
    <x v="1"/>
    <x v="4"/>
    <s v="Male"/>
    <x v="7"/>
    <n v="4"/>
    <n v="0"/>
    <n v="3.3"/>
    <n v="1"/>
    <n v="0"/>
  </r>
  <r>
    <s v="2023-05"/>
    <d v="2023-05-01T00:00:00"/>
    <x v="7"/>
    <x v="6"/>
    <x v="7"/>
    <x v="3"/>
    <x v="2"/>
    <s v="Female"/>
    <x v="1"/>
    <n v="3"/>
    <n v="0"/>
    <n v="-0.5"/>
    <n v="1"/>
    <n v="0"/>
  </r>
  <r>
    <s v="2023-12"/>
    <d v="2023-12-01T00:00:00"/>
    <x v="9"/>
    <x v="3"/>
    <x v="15"/>
    <x v="0"/>
    <x v="2"/>
    <s v="Male"/>
    <x v="9"/>
    <n v="9"/>
    <n v="1"/>
    <n v="2.1"/>
    <n v="0.9"/>
    <n v="0.1"/>
  </r>
  <r>
    <s v="2023-11"/>
    <d v="2023-11-01T00:00:00"/>
    <x v="11"/>
    <x v="4"/>
    <x v="4"/>
    <x v="4"/>
    <x v="1"/>
    <s v="Female"/>
    <x v="8"/>
    <n v="6"/>
    <n v="0"/>
    <n v="4.2"/>
    <n v="0.8571428571428571"/>
    <n v="0"/>
  </r>
  <r>
    <s v="2023-03"/>
    <d v="2023-03-01T00:00:00"/>
    <x v="5"/>
    <x v="7"/>
    <x v="9"/>
    <x v="5"/>
    <x v="0"/>
    <s v="Male"/>
    <x v="7"/>
    <n v="4"/>
    <n v="0"/>
    <n v="2.2000000000000002"/>
    <n v="1"/>
    <n v="0"/>
  </r>
  <r>
    <s v="2023-01"/>
    <d v="2023-01-01T00:00:00"/>
    <x v="4"/>
    <x v="7"/>
    <x v="9"/>
    <x v="2"/>
    <x v="5"/>
    <s v="Female"/>
    <x v="4"/>
    <n v="5"/>
    <n v="0"/>
    <n v="2.9"/>
    <n v="0.83333333333333337"/>
    <n v="0"/>
  </r>
  <r>
    <s v="2023-10"/>
    <d v="2023-10-01T00:00:00"/>
    <x v="2"/>
    <x v="1"/>
    <x v="16"/>
    <x v="4"/>
    <x v="5"/>
    <s v="Male"/>
    <x v="0"/>
    <n v="5"/>
    <n v="0"/>
    <n v="3.3"/>
    <n v="1"/>
    <n v="0"/>
  </r>
  <r>
    <s v="2023-02"/>
    <d v="2023-02-01T00:00:00"/>
    <x v="6"/>
    <x v="3"/>
    <x v="3"/>
    <x v="4"/>
    <x v="2"/>
    <s v="Female"/>
    <x v="7"/>
    <n v="3"/>
    <n v="1"/>
    <n v="3.4"/>
    <n v="0.75"/>
    <n v="0.25"/>
  </r>
  <r>
    <s v="2023-04"/>
    <d v="2023-04-01T00:00:00"/>
    <x v="0"/>
    <x v="0"/>
    <x v="0"/>
    <x v="2"/>
    <x v="4"/>
    <s v="Male"/>
    <x v="5"/>
    <n v="1"/>
    <n v="0"/>
    <n v="2.5"/>
    <n v="1"/>
    <n v="0"/>
  </r>
  <r>
    <s v="2023-05"/>
    <d v="2023-05-01T00:00:00"/>
    <x v="7"/>
    <x v="3"/>
    <x v="15"/>
    <x v="1"/>
    <x v="0"/>
    <s v="Female"/>
    <x v="8"/>
    <n v="6"/>
    <n v="0"/>
    <n v="4.0999999999999996"/>
    <n v="0.8571428571428571"/>
    <n v="0"/>
  </r>
  <r>
    <s v="2023-10"/>
    <d v="2023-10-01T00:00:00"/>
    <x v="2"/>
    <x v="5"/>
    <x v="5"/>
    <x v="0"/>
    <x v="4"/>
    <s v="Male"/>
    <x v="0"/>
    <n v="4"/>
    <n v="0"/>
    <n v="4.3"/>
    <n v="0.8"/>
    <n v="0"/>
  </r>
  <r>
    <s v="2023-11"/>
    <d v="2023-11-01T00:00:00"/>
    <x v="11"/>
    <x v="4"/>
    <x v="11"/>
    <x v="0"/>
    <x v="3"/>
    <s v="Male"/>
    <x v="0"/>
    <n v="5"/>
    <n v="0"/>
    <n v="4"/>
    <n v="1"/>
    <n v="0"/>
  </r>
  <r>
    <s v="2023-09"/>
    <d v="2023-09-01T00:00:00"/>
    <x v="10"/>
    <x v="4"/>
    <x v="4"/>
    <x v="3"/>
    <x v="3"/>
    <s v="Male"/>
    <x v="10"/>
    <n v="9"/>
    <n v="1"/>
    <n v="2.7"/>
    <n v="1"/>
    <n v="0.1111111111111111"/>
  </r>
  <r>
    <s v="2023-12"/>
    <d v="2023-12-01T00:00:00"/>
    <x v="9"/>
    <x v="5"/>
    <x v="5"/>
    <x v="2"/>
    <x v="1"/>
    <s v="Male"/>
    <x v="7"/>
    <n v="3"/>
    <n v="0"/>
    <n v="3"/>
    <n v="0.75"/>
    <n v="0"/>
  </r>
  <r>
    <s v="2023-12"/>
    <d v="2023-12-01T00:00:00"/>
    <x v="9"/>
    <x v="2"/>
    <x v="2"/>
    <x v="2"/>
    <x v="5"/>
    <s v="Male"/>
    <x v="7"/>
    <n v="4"/>
    <n v="0"/>
    <n v="1.6"/>
    <n v="1"/>
    <n v="0"/>
  </r>
  <r>
    <s v="2023-10"/>
    <d v="2023-10-01T00:00:00"/>
    <x v="2"/>
    <x v="3"/>
    <x v="3"/>
    <x v="5"/>
    <x v="5"/>
    <s v="Female"/>
    <x v="7"/>
    <n v="3"/>
    <n v="1"/>
    <n v="2"/>
    <n v="0.75"/>
    <n v="0.25"/>
  </r>
  <r>
    <s v="2023-01"/>
    <d v="2023-01-01T00:00:00"/>
    <x v="4"/>
    <x v="3"/>
    <x v="15"/>
    <x v="4"/>
    <x v="3"/>
    <s v="Male"/>
    <x v="4"/>
    <n v="6"/>
    <n v="0"/>
    <n v="3"/>
    <n v="1"/>
    <n v="0"/>
  </r>
  <r>
    <s v="2023-05"/>
    <d v="2023-05-01T00:00:00"/>
    <x v="7"/>
    <x v="3"/>
    <x v="15"/>
    <x v="2"/>
    <x v="0"/>
    <s v="Male"/>
    <x v="1"/>
    <n v="3"/>
    <n v="0"/>
    <n v="3.2"/>
    <n v="1"/>
    <n v="0"/>
  </r>
  <r>
    <s v="2023-12"/>
    <d v="2023-12-01T00:00:00"/>
    <x v="9"/>
    <x v="3"/>
    <x v="15"/>
    <x v="1"/>
    <x v="1"/>
    <s v="Female"/>
    <x v="7"/>
    <n v="4"/>
    <n v="0"/>
    <n v="1.9"/>
    <n v="1"/>
    <n v="0"/>
  </r>
  <r>
    <s v="2023-11"/>
    <d v="2023-11-01T00:00:00"/>
    <x v="11"/>
    <x v="5"/>
    <x v="6"/>
    <x v="0"/>
    <x v="0"/>
    <s v="Female"/>
    <x v="3"/>
    <n v="2"/>
    <n v="0"/>
    <n v="3.4"/>
    <n v="1"/>
    <n v="0"/>
  </r>
  <r>
    <s v="2023-07"/>
    <d v="2023-07-01T00:00:00"/>
    <x v="8"/>
    <x v="8"/>
    <x v="18"/>
    <x v="5"/>
    <x v="5"/>
    <s v="Male"/>
    <x v="8"/>
    <n v="6"/>
    <n v="0"/>
    <n v="3.7"/>
    <n v="0.8571428571428571"/>
    <n v="0"/>
  </r>
  <r>
    <s v="2023-03"/>
    <d v="2023-03-01T00:00:00"/>
    <x v="5"/>
    <x v="2"/>
    <x v="19"/>
    <x v="1"/>
    <x v="1"/>
    <s v="Male"/>
    <x v="3"/>
    <n v="2"/>
    <n v="0"/>
    <n v="2.7"/>
    <n v="1"/>
    <n v="0"/>
  </r>
  <r>
    <s v="2023-10"/>
    <d v="2023-10-01T00:00:00"/>
    <x v="2"/>
    <x v="7"/>
    <x v="9"/>
    <x v="1"/>
    <x v="4"/>
    <s v="Male"/>
    <x v="8"/>
    <n v="7"/>
    <n v="3"/>
    <n v="3.4"/>
    <n v="1"/>
    <n v="0.42857142857142855"/>
  </r>
  <r>
    <s v="2023-08"/>
    <d v="2023-08-01T00:00:00"/>
    <x v="3"/>
    <x v="2"/>
    <x v="2"/>
    <x v="4"/>
    <x v="0"/>
    <s v="Female"/>
    <x v="7"/>
    <n v="4"/>
    <n v="0"/>
    <n v="4.0999999999999996"/>
    <n v="1"/>
    <n v="0"/>
  </r>
  <r>
    <s v="2023-01"/>
    <d v="2023-01-01T00:00:00"/>
    <x v="4"/>
    <x v="5"/>
    <x v="5"/>
    <x v="4"/>
    <x v="2"/>
    <s v="Female"/>
    <x v="4"/>
    <n v="5"/>
    <n v="0"/>
    <n v="2.9"/>
    <n v="0.83333333333333337"/>
    <n v="0"/>
  </r>
  <r>
    <s v="2023-05"/>
    <d v="2023-05-01T00:00:00"/>
    <x v="7"/>
    <x v="6"/>
    <x v="7"/>
    <x v="0"/>
    <x v="4"/>
    <s v="Female"/>
    <x v="10"/>
    <n v="8"/>
    <n v="1"/>
    <n v="2.4"/>
    <n v="0.88888888888888884"/>
    <n v="0.1111111111111111"/>
  </r>
  <r>
    <s v="2023-11"/>
    <d v="2023-11-01T00:00:00"/>
    <x v="11"/>
    <x v="9"/>
    <x v="14"/>
    <x v="0"/>
    <x v="0"/>
    <s v="Female"/>
    <x v="0"/>
    <n v="4"/>
    <n v="0"/>
    <n v="3.4"/>
    <n v="0.8"/>
    <n v="0"/>
  </r>
  <r>
    <s v="2023-10"/>
    <d v="2023-10-01T00:00:00"/>
    <x v="2"/>
    <x v="5"/>
    <x v="6"/>
    <x v="0"/>
    <x v="1"/>
    <s v="Male"/>
    <x v="4"/>
    <n v="6"/>
    <n v="2"/>
    <n v="3.8"/>
    <n v="1"/>
    <n v="0.33333333333333331"/>
  </r>
  <r>
    <s v="2023-11"/>
    <d v="2023-11-01T00:00:00"/>
    <x v="11"/>
    <x v="9"/>
    <x v="14"/>
    <x v="0"/>
    <x v="5"/>
    <s v="Male"/>
    <x v="0"/>
    <n v="5"/>
    <n v="0"/>
    <n v="1.8"/>
    <n v="1"/>
    <n v="0"/>
  </r>
  <r>
    <s v="2023-01"/>
    <d v="2023-01-01T00:00:00"/>
    <x v="4"/>
    <x v="1"/>
    <x v="16"/>
    <x v="3"/>
    <x v="0"/>
    <s v="Male"/>
    <x v="8"/>
    <n v="7"/>
    <n v="0"/>
    <n v="3.8"/>
    <n v="1"/>
    <n v="0"/>
  </r>
  <r>
    <s v="2023-05"/>
    <d v="2023-05-01T00:00:00"/>
    <x v="7"/>
    <x v="8"/>
    <x v="18"/>
    <x v="3"/>
    <x v="4"/>
    <s v="Male"/>
    <x v="4"/>
    <n v="6"/>
    <n v="0"/>
    <n v="4.2"/>
    <n v="1"/>
    <n v="0"/>
  </r>
  <r>
    <s v="2023-08"/>
    <d v="2023-08-01T00:00:00"/>
    <x v="3"/>
    <x v="0"/>
    <x v="0"/>
    <x v="4"/>
    <x v="1"/>
    <s v="Female"/>
    <x v="1"/>
    <n v="3"/>
    <n v="1"/>
    <n v="3.1"/>
    <n v="1"/>
    <n v="0.33333333333333331"/>
  </r>
  <r>
    <s v="2023-03"/>
    <d v="2023-03-01T00:00:00"/>
    <x v="5"/>
    <x v="7"/>
    <x v="13"/>
    <x v="5"/>
    <x v="3"/>
    <s v="Male"/>
    <x v="5"/>
    <n v="0"/>
    <n v="1"/>
    <n v="1"/>
    <n v="0"/>
    <n v="1"/>
  </r>
  <r>
    <s v="2023-05"/>
    <d v="2023-05-01T00:00:00"/>
    <x v="7"/>
    <x v="3"/>
    <x v="15"/>
    <x v="3"/>
    <x v="5"/>
    <s v="Male"/>
    <x v="12"/>
    <n v="0"/>
    <n v="0"/>
    <n v="2.9"/>
    <n v="0"/>
    <n v="0"/>
  </r>
  <r>
    <s v="2023-01"/>
    <d v="2023-01-01T00:00:00"/>
    <x v="4"/>
    <x v="0"/>
    <x v="12"/>
    <x v="4"/>
    <x v="2"/>
    <s v="Male"/>
    <x v="7"/>
    <n v="4"/>
    <n v="0"/>
    <n v="4.0999999999999996"/>
    <n v="1"/>
    <n v="0"/>
  </r>
  <r>
    <s v="2023-04"/>
    <d v="2023-04-01T00:00:00"/>
    <x v="0"/>
    <x v="7"/>
    <x v="9"/>
    <x v="5"/>
    <x v="4"/>
    <s v="Male"/>
    <x v="0"/>
    <n v="4"/>
    <n v="0"/>
    <n v="3.9"/>
    <n v="0.8"/>
    <n v="0"/>
  </r>
  <r>
    <s v="2023-08"/>
    <d v="2023-08-01T00:00:00"/>
    <x v="3"/>
    <x v="3"/>
    <x v="3"/>
    <x v="5"/>
    <x v="3"/>
    <s v="Male"/>
    <x v="4"/>
    <n v="4"/>
    <n v="0"/>
    <n v="3.5"/>
    <n v="0.66666666666666663"/>
    <n v="0"/>
  </r>
  <r>
    <s v="2023-10"/>
    <d v="2023-10-01T00:00:00"/>
    <x v="2"/>
    <x v="6"/>
    <x v="8"/>
    <x v="1"/>
    <x v="1"/>
    <s v="Male"/>
    <x v="0"/>
    <n v="4"/>
    <n v="3"/>
    <n v="4"/>
    <n v="0.8"/>
    <n v="0.6"/>
  </r>
  <r>
    <s v="2023-09"/>
    <d v="2023-09-01T00:00:00"/>
    <x v="10"/>
    <x v="7"/>
    <x v="9"/>
    <x v="5"/>
    <x v="3"/>
    <s v="Female"/>
    <x v="9"/>
    <n v="8"/>
    <n v="0"/>
    <n v="2.7"/>
    <n v="0.8"/>
    <n v="0"/>
  </r>
  <r>
    <s v="2023-10"/>
    <d v="2023-10-01T00:00:00"/>
    <x v="2"/>
    <x v="4"/>
    <x v="4"/>
    <x v="5"/>
    <x v="3"/>
    <s v="Male"/>
    <x v="5"/>
    <n v="1"/>
    <n v="0"/>
    <n v="4.5999999999999996"/>
    <n v="1"/>
    <n v="0"/>
  </r>
  <r>
    <s v="2023-06"/>
    <d v="2023-06-01T00:00:00"/>
    <x v="1"/>
    <x v="1"/>
    <x v="1"/>
    <x v="3"/>
    <x v="2"/>
    <s v="Male"/>
    <x v="7"/>
    <n v="4"/>
    <n v="0"/>
    <n v="2.2000000000000002"/>
    <n v="1"/>
    <n v="0"/>
  </r>
  <r>
    <s v="2023-08"/>
    <d v="2023-08-01T00:00:00"/>
    <x v="3"/>
    <x v="9"/>
    <x v="14"/>
    <x v="2"/>
    <x v="0"/>
    <s v="Male"/>
    <x v="8"/>
    <n v="7"/>
    <n v="0"/>
    <n v="4.4000000000000004"/>
    <n v="1"/>
    <n v="0"/>
  </r>
  <r>
    <s v="2023-07"/>
    <d v="2023-07-01T00:00:00"/>
    <x v="8"/>
    <x v="3"/>
    <x v="3"/>
    <x v="2"/>
    <x v="4"/>
    <s v="Male"/>
    <x v="4"/>
    <n v="6"/>
    <n v="0"/>
    <n v="1.2"/>
    <n v="1"/>
    <n v="0"/>
  </r>
  <r>
    <s v="2023-02"/>
    <d v="2023-02-01T00:00:00"/>
    <x v="6"/>
    <x v="5"/>
    <x v="5"/>
    <x v="2"/>
    <x v="0"/>
    <s v="Male"/>
    <x v="4"/>
    <n v="6"/>
    <n v="0"/>
    <n v="2.1"/>
    <n v="1"/>
    <n v="0"/>
  </r>
  <r>
    <s v="2023-12"/>
    <d v="2023-12-01T00:00:00"/>
    <x v="9"/>
    <x v="6"/>
    <x v="7"/>
    <x v="5"/>
    <x v="0"/>
    <s v="Male"/>
    <x v="4"/>
    <n v="6"/>
    <n v="0"/>
    <n v="2"/>
    <n v="1"/>
    <n v="0"/>
  </r>
  <r>
    <s v="2023-07"/>
    <d v="2023-07-01T00:00:00"/>
    <x v="8"/>
    <x v="3"/>
    <x v="3"/>
    <x v="4"/>
    <x v="1"/>
    <s v="Female"/>
    <x v="0"/>
    <n v="5"/>
    <n v="0"/>
    <n v="3"/>
    <n v="1"/>
    <n v="0"/>
  </r>
  <r>
    <s v="2023-03"/>
    <d v="2023-03-01T00:00:00"/>
    <x v="5"/>
    <x v="3"/>
    <x v="15"/>
    <x v="4"/>
    <x v="5"/>
    <s v="Female"/>
    <x v="4"/>
    <n v="5"/>
    <n v="0"/>
    <n v="3.6"/>
    <n v="0.83333333333333337"/>
    <n v="0"/>
  </r>
  <r>
    <s v="2023-01"/>
    <d v="2023-01-01T00:00:00"/>
    <x v="4"/>
    <x v="6"/>
    <x v="7"/>
    <x v="4"/>
    <x v="2"/>
    <s v="Female"/>
    <x v="4"/>
    <n v="5"/>
    <n v="0"/>
    <n v="2.7"/>
    <n v="0.83333333333333337"/>
    <n v="0"/>
  </r>
  <r>
    <s v="2023-04"/>
    <d v="2023-04-01T00:00:00"/>
    <x v="0"/>
    <x v="8"/>
    <x v="18"/>
    <x v="0"/>
    <x v="2"/>
    <s v="Male"/>
    <x v="0"/>
    <n v="4"/>
    <n v="1"/>
    <n v="4.2"/>
    <n v="0.8"/>
    <n v="0.2"/>
  </r>
  <r>
    <s v="2023-04"/>
    <d v="2023-04-01T00:00:00"/>
    <x v="0"/>
    <x v="5"/>
    <x v="6"/>
    <x v="2"/>
    <x v="0"/>
    <s v="Female"/>
    <x v="3"/>
    <n v="2"/>
    <n v="0"/>
    <n v="1.5"/>
    <n v="1"/>
    <n v="0"/>
  </r>
  <r>
    <s v="2023-04"/>
    <d v="2023-04-01T00:00:00"/>
    <x v="0"/>
    <x v="4"/>
    <x v="11"/>
    <x v="1"/>
    <x v="0"/>
    <s v="Female"/>
    <x v="4"/>
    <n v="6"/>
    <n v="0"/>
    <n v="3.3"/>
    <n v="1"/>
    <n v="0"/>
  </r>
  <r>
    <s v="2023-01"/>
    <d v="2023-01-01T00:00:00"/>
    <x v="4"/>
    <x v="4"/>
    <x v="11"/>
    <x v="5"/>
    <x v="1"/>
    <s v="Female"/>
    <x v="7"/>
    <n v="4"/>
    <n v="0"/>
    <n v="1.9"/>
    <n v="1"/>
    <n v="0"/>
  </r>
  <r>
    <s v="2023-10"/>
    <d v="2023-10-01T00:00:00"/>
    <x v="2"/>
    <x v="0"/>
    <x v="12"/>
    <x v="3"/>
    <x v="5"/>
    <s v="Male"/>
    <x v="1"/>
    <n v="2"/>
    <n v="0"/>
    <n v="2.2999999999999998"/>
    <n v="0.66666666666666663"/>
    <n v="0"/>
  </r>
  <r>
    <s v="2023-01"/>
    <d v="2023-01-01T00:00:00"/>
    <x v="4"/>
    <x v="6"/>
    <x v="8"/>
    <x v="4"/>
    <x v="4"/>
    <s v="Female"/>
    <x v="10"/>
    <n v="8"/>
    <n v="0"/>
    <n v="3.1"/>
    <n v="0.88888888888888884"/>
    <n v="0"/>
  </r>
  <r>
    <s v="2023-01"/>
    <d v="2023-01-01T00:00:00"/>
    <x v="4"/>
    <x v="6"/>
    <x v="7"/>
    <x v="1"/>
    <x v="1"/>
    <s v="Male"/>
    <x v="0"/>
    <n v="5"/>
    <n v="0"/>
    <n v="2.2999999999999998"/>
    <n v="1"/>
    <n v="0"/>
  </r>
  <r>
    <s v="2023-04"/>
    <d v="2023-04-01T00:00:00"/>
    <x v="0"/>
    <x v="7"/>
    <x v="13"/>
    <x v="0"/>
    <x v="2"/>
    <s v="Male"/>
    <x v="4"/>
    <n v="3"/>
    <n v="1"/>
    <n v="4.2"/>
    <n v="0.5"/>
    <n v="0.16666666666666666"/>
  </r>
  <r>
    <s v="2023-10"/>
    <d v="2023-10-01T00:00:00"/>
    <x v="2"/>
    <x v="8"/>
    <x v="18"/>
    <x v="0"/>
    <x v="5"/>
    <s v="Male"/>
    <x v="7"/>
    <n v="3"/>
    <n v="0"/>
    <n v="3.1"/>
    <n v="0.75"/>
    <n v="0"/>
  </r>
  <r>
    <s v="2023-06"/>
    <d v="2023-06-01T00:00:00"/>
    <x v="1"/>
    <x v="6"/>
    <x v="7"/>
    <x v="0"/>
    <x v="4"/>
    <s v="Female"/>
    <x v="1"/>
    <n v="3"/>
    <n v="0"/>
    <n v="3.1"/>
    <n v="1"/>
    <n v="0"/>
  </r>
  <r>
    <s v="2023-01"/>
    <d v="2023-01-01T00:00:00"/>
    <x v="4"/>
    <x v="2"/>
    <x v="2"/>
    <x v="5"/>
    <x v="4"/>
    <s v="Female"/>
    <x v="2"/>
    <n v="8"/>
    <n v="1"/>
    <n v="3.7"/>
    <n v="1"/>
    <n v="0.125"/>
  </r>
  <r>
    <s v="2023-03"/>
    <d v="2023-03-01T00:00:00"/>
    <x v="5"/>
    <x v="7"/>
    <x v="9"/>
    <x v="4"/>
    <x v="2"/>
    <s v="Female"/>
    <x v="8"/>
    <n v="7"/>
    <n v="0"/>
    <n v="3.5"/>
    <n v="1"/>
    <n v="0"/>
  </r>
  <r>
    <s v="2023-02"/>
    <d v="2023-02-01T00:00:00"/>
    <x v="6"/>
    <x v="5"/>
    <x v="5"/>
    <x v="3"/>
    <x v="4"/>
    <s v="Female"/>
    <x v="2"/>
    <n v="7"/>
    <n v="0"/>
    <n v="2.1"/>
    <n v="0.875"/>
    <n v="0"/>
  </r>
  <r>
    <s v="2023-11"/>
    <d v="2023-11-01T00:00:00"/>
    <x v="11"/>
    <x v="6"/>
    <x v="7"/>
    <x v="3"/>
    <x v="5"/>
    <s v="Female"/>
    <x v="7"/>
    <n v="4"/>
    <n v="0"/>
    <n v="3.1"/>
    <n v="1"/>
    <n v="0"/>
  </r>
  <r>
    <s v="2023-01"/>
    <d v="2023-01-01T00:00:00"/>
    <x v="4"/>
    <x v="8"/>
    <x v="10"/>
    <x v="4"/>
    <x v="3"/>
    <s v="Female"/>
    <x v="0"/>
    <n v="4"/>
    <n v="0"/>
    <n v="3.5"/>
    <n v="0.8"/>
    <n v="0"/>
  </r>
  <r>
    <s v="2023-04"/>
    <d v="2023-04-01T00:00:00"/>
    <x v="0"/>
    <x v="4"/>
    <x v="4"/>
    <x v="4"/>
    <x v="4"/>
    <s v="Female"/>
    <x v="1"/>
    <n v="2"/>
    <n v="0"/>
    <n v="3.1"/>
    <n v="0.66666666666666663"/>
    <n v="0"/>
  </r>
  <r>
    <s v="2023-07"/>
    <d v="2023-07-01T00:00:00"/>
    <x v="8"/>
    <x v="1"/>
    <x v="16"/>
    <x v="1"/>
    <x v="0"/>
    <s v="Female"/>
    <x v="1"/>
    <n v="3"/>
    <n v="0"/>
    <n v="2.7"/>
    <n v="1"/>
    <n v="0"/>
  </r>
  <r>
    <s v="2023-08"/>
    <d v="2023-08-01T00:00:00"/>
    <x v="3"/>
    <x v="0"/>
    <x v="0"/>
    <x v="0"/>
    <x v="2"/>
    <s v="Female"/>
    <x v="4"/>
    <n v="5"/>
    <n v="0"/>
    <n v="2"/>
    <n v="0.83333333333333337"/>
    <n v="0"/>
  </r>
  <r>
    <s v="2023-12"/>
    <d v="2023-12-01T00:00:00"/>
    <x v="9"/>
    <x v="6"/>
    <x v="8"/>
    <x v="2"/>
    <x v="0"/>
    <s v="Male"/>
    <x v="8"/>
    <n v="7"/>
    <n v="0"/>
    <n v="2.8"/>
    <n v="1"/>
    <n v="0"/>
  </r>
  <r>
    <s v="2023-04"/>
    <d v="2023-04-01T00:00:00"/>
    <x v="0"/>
    <x v="9"/>
    <x v="14"/>
    <x v="1"/>
    <x v="0"/>
    <s v="Female"/>
    <x v="3"/>
    <n v="2"/>
    <n v="0"/>
    <n v="1.5"/>
    <n v="1"/>
    <n v="0"/>
  </r>
  <r>
    <s v="2023-09"/>
    <d v="2023-09-01T00:00:00"/>
    <x v="10"/>
    <x v="0"/>
    <x v="0"/>
    <x v="5"/>
    <x v="3"/>
    <s v="Female"/>
    <x v="5"/>
    <n v="0"/>
    <n v="0"/>
    <n v="3.2"/>
    <n v="0"/>
    <n v="0"/>
  </r>
  <r>
    <s v="2023-01"/>
    <d v="2023-01-01T00:00:00"/>
    <x v="4"/>
    <x v="8"/>
    <x v="18"/>
    <x v="1"/>
    <x v="5"/>
    <s v="Male"/>
    <x v="4"/>
    <n v="6"/>
    <n v="0"/>
    <n v="4.2"/>
    <n v="1"/>
    <n v="0"/>
  </r>
  <r>
    <s v="2023-02"/>
    <d v="2023-02-01T00:00:00"/>
    <x v="6"/>
    <x v="4"/>
    <x v="4"/>
    <x v="5"/>
    <x v="1"/>
    <s v="Female"/>
    <x v="2"/>
    <n v="7"/>
    <n v="0"/>
    <n v="2.1"/>
    <n v="0.875"/>
    <n v="0"/>
  </r>
  <r>
    <s v="2023-09"/>
    <d v="2023-09-01T00:00:00"/>
    <x v="10"/>
    <x v="6"/>
    <x v="7"/>
    <x v="0"/>
    <x v="0"/>
    <s v="Male"/>
    <x v="7"/>
    <n v="4"/>
    <n v="0"/>
    <n v="3.3"/>
    <n v="1"/>
    <n v="0"/>
  </r>
  <r>
    <s v="2023-11"/>
    <d v="2023-11-01T00:00:00"/>
    <x v="11"/>
    <x v="2"/>
    <x v="2"/>
    <x v="0"/>
    <x v="3"/>
    <s v="Female"/>
    <x v="1"/>
    <n v="2"/>
    <n v="0"/>
    <n v="3.8"/>
    <n v="0.66666666666666663"/>
    <n v="0"/>
  </r>
  <r>
    <s v="2023-02"/>
    <d v="2023-02-01T00:00:00"/>
    <x v="6"/>
    <x v="6"/>
    <x v="7"/>
    <x v="3"/>
    <x v="2"/>
    <s v="Female"/>
    <x v="3"/>
    <n v="2"/>
    <n v="0"/>
    <n v="1.7"/>
    <n v="1"/>
    <n v="0"/>
  </r>
  <r>
    <s v="2023-05"/>
    <d v="2023-05-01T00:00:00"/>
    <x v="7"/>
    <x v="7"/>
    <x v="9"/>
    <x v="4"/>
    <x v="3"/>
    <s v="Female"/>
    <x v="7"/>
    <n v="4"/>
    <n v="0"/>
    <n v="2"/>
    <n v="1"/>
    <n v="0"/>
  </r>
  <r>
    <s v="2023-02"/>
    <d v="2023-02-01T00:00:00"/>
    <x v="6"/>
    <x v="4"/>
    <x v="11"/>
    <x v="2"/>
    <x v="2"/>
    <s v="Female"/>
    <x v="3"/>
    <n v="2"/>
    <n v="1"/>
    <n v="4"/>
    <n v="1"/>
    <n v="0.5"/>
  </r>
  <r>
    <s v="2023-04"/>
    <d v="2023-04-01T00:00:00"/>
    <x v="0"/>
    <x v="9"/>
    <x v="17"/>
    <x v="5"/>
    <x v="1"/>
    <s v="Female"/>
    <x v="1"/>
    <n v="3"/>
    <n v="0"/>
    <n v="2.2000000000000002"/>
    <n v="1"/>
    <n v="0"/>
  </r>
  <r>
    <s v="2023-10"/>
    <d v="2023-10-01T00:00:00"/>
    <x v="2"/>
    <x v="2"/>
    <x v="19"/>
    <x v="0"/>
    <x v="1"/>
    <s v="Male"/>
    <x v="0"/>
    <n v="3"/>
    <n v="0"/>
    <n v="4.5"/>
    <n v="0.6"/>
    <n v="0"/>
  </r>
  <r>
    <s v="2023-02"/>
    <d v="2023-02-01T00:00:00"/>
    <x v="6"/>
    <x v="6"/>
    <x v="7"/>
    <x v="4"/>
    <x v="0"/>
    <s v="Female"/>
    <x v="0"/>
    <n v="5"/>
    <n v="0"/>
    <n v="3.5"/>
    <n v="1"/>
    <n v="0"/>
  </r>
  <r>
    <s v="2023-07"/>
    <d v="2023-07-01T00:00:00"/>
    <x v="8"/>
    <x v="7"/>
    <x v="13"/>
    <x v="3"/>
    <x v="4"/>
    <s v="Female"/>
    <x v="0"/>
    <n v="4"/>
    <n v="0"/>
    <n v="3.9"/>
    <n v="0.8"/>
    <n v="0"/>
  </r>
  <r>
    <s v="2023-11"/>
    <d v="2023-11-01T00:00:00"/>
    <x v="11"/>
    <x v="6"/>
    <x v="7"/>
    <x v="4"/>
    <x v="5"/>
    <s v="Female"/>
    <x v="9"/>
    <n v="9"/>
    <n v="2"/>
    <n v="2.4"/>
    <n v="0.9"/>
    <n v="0.2"/>
  </r>
  <r>
    <s v="2023-08"/>
    <d v="2023-08-01T00:00:00"/>
    <x v="3"/>
    <x v="8"/>
    <x v="10"/>
    <x v="4"/>
    <x v="2"/>
    <s v="Male"/>
    <x v="3"/>
    <n v="2"/>
    <n v="0"/>
    <n v="2.5"/>
    <n v="1"/>
    <n v="0"/>
  </r>
  <r>
    <s v="2023-10"/>
    <d v="2023-10-01T00:00:00"/>
    <x v="2"/>
    <x v="5"/>
    <x v="5"/>
    <x v="5"/>
    <x v="5"/>
    <s v="Female"/>
    <x v="2"/>
    <n v="6"/>
    <n v="0"/>
    <n v="3.6"/>
    <n v="0.75"/>
    <n v="0"/>
  </r>
  <r>
    <s v="2023-11"/>
    <d v="2023-11-01T00:00:00"/>
    <x v="11"/>
    <x v="9"/>
    <x v="14"/>
    <x v="4"/>
    <x v="1"/>
    <s v="Male"/>
    <x v="1"/>
    <n v="3"/>
    <n v="0"/>
    <n v="4.3"/>
    <n v="1"/>
    <n v="0"/>
  </r>
  <r>
    <s v="2023-10"/>
    <d v="2023-10-01T00:00:00"/>
    <x v="2"/>
    <x v="6"/>
    <x v="8"/>
    <x v="4"/>
    <x v="0"/>
    <s v="Male"/>
    <x v="0"/>
    <n v="4"/>
    <n v="0"/>
    <n v="2.6"/>
    <n v="0.8"/>
    <n v="0"/>
  </r>
  <r>
    <s v="2023-05"/>
    <d v="2023-05-01T00:00:00"/>
    <x v="7"/>
    <x v="6"/>
    <x v="7"/>
    <x v="2"/>
    <x v="3"/>
    <s v="Male"/>
    <x v="12"/>
    <n v="0"/>
    <n v="0"/>
    <n v="2.2000000000000002"/>
    <n v="0"/>
    <n v="0"/>
  </r>
  <r>
    <s v="2023-09"/>
    <d v="2023-09-01T00:00:00"/>
    <x v="10"/>
    <x v="7"/>
    <x v="9"/>
    <x v="2"/>
    <x v="2"/>
    <s v="Female"/>
    <x v="7"/>
    <n v="3"/>
    <n v="2"/>
    <n v="3.6"/>
    <n v="0.75"/>
    <n v="0.5"/>
  </r>
  <r>
    <s v="2023-08"/>
    <d v="2023-08-01T00:00:00"/>
    <x v="3"/>
    <x v="4"/>
    <x v="4"/>
    <x v="3"/>
    <x v="0"/>
    <s v="Male"/>
    <x v="2"/>
    <n v="7"/>
    <n v="0"/>
    <n v="2.4"/>
    <n v="0.875"/>
    <n v="0"/>
  </r>
  <r>
    <s v="2023-09"/>
    <d v="2023-09-01T00:00:00"/>
    <x v="10"/>
    <x v="0"/>
    <x v="0"/>
    <x v="1"/>
    <x v="3"/>
    <s v="Male"/>
    <x v="0"/>
    <n v="4"/>
    <n v="1"/>
    <n v="5.6"/>
    <n v="0.8"/>
    <n v="0.2"/>
  </r>
  <r>
    <s v="2023-10"/>
    <d v="2023-10-01T00:00:00"/>
    <x v="2"/>
    <x v="1"/>
    <x v="1"/>
    <x v="2"/>
    <x v="5"/>
    <s v="Male"/>
    <x v="7"/>
    <n v="4"/>
    <n v="0"/>
    <n v="3.9"/>
    <n v="1"/>
    <n v="0"/>
  </r>
  <r>
    <s v="2023-02"/>
    <d v="2023-02-01T00:00:00"/>
    <x v="6"/>
    <x v="7"/>
    <x v="9"/>
    <x v="5"/>
    <x v="1"/>
    <s v="Male"/>
    <x v="7"/>
    <n v="4"/>
    <n v="0"/>
    <n v="3.7"/>
    <n v="1"/>
    <n v="0"/>
  </r>
  <r>
    <s v="2023-08"/>
    <d v="2023-08-01T00:00:00"/>
    <x v="3"/>
    <x v="1"/>
    <x v="1"/>
    <x v="5"/>
    <x v="2"/>
    <s v="Female"/>
    <x v="2"/>
    <n v="8"/>
    <n v="1"/>
    <n v="4.2"/>
    <n v="1"/>
    <n v="0.125"/>
  </r>
  <r>
    <s v="2023-03"/>
    <d v="2023-03-01T00:00:00"/>
    <x v="5"/>
    <x v="5"/>
    <x v="5"/>
    <x v="1"/>
    <x v="2"/>
    <s v="Male"/>
    <x v="7"/>
    <n v="4"/>
    <n v="1"/>
    <n v="1.1000000000000001"/>
    <n v="1"/>
    <n v="0.25"/>
  </r>
  <r>
    <s v="2023-12"/>
    <d v="2023-12-01T00:00:00"/>
    <x v="9"/>
    <x v="0"/>
    <x v="0"/>
    <x v="5"/>
    <x v="2"/>
    <s v="Female"/>
    <x v="0"/>
    <n v="4"/>
    <n v="1"/>
    <n v="3.5"/>
    <n v="0.8"/>
    <n v="0.2"/>
  </r>
  <r>
    <s v="2023-12"/>
    <d v="2023-12-01T00:00:00"/>
    <x v="9"/>
    <x v="1"/>
    <x v="16"/>
    <x v="0"/>
    <x v="5"/>
    <s v="Male"/>
    <x v="1"/>
    <n v="3"/>
    <n v="0"/>
    <n v="2.5"/>
    <n v="1"/>
    <n v="0"/>
  </r>
  <r>
    <s v="2023-01"/>
    <d v="2023-01-01T00:00:00"/>
    <x v="4"/>
    <x v="2"/>
    <x v="19"/>
    <x v="0"/>
    <x v="1"/>
    <s v="Male"/>
    <x v="0"/>
    <n v="4"/>
    <n v="0"/>
    <n v="2.9"/>
    <n v="0.8"/>
    <n v="0"/>
  </r>
  <r>
    <s v="2023-11"/>
    <d v="2023-11-01T00:00:00"/>
    <x v="11"/>
    <x v="6"/>
    <x v="7"/>
    <x v="2"/>
    <x v="0"/>
    <s v="Female"/>
    <x v="7"/>
    <n v="3"/>
    <n v="0"/>
    <n v="2.8"/>
    <n v="0.75"/>
    <n v="0"/>
  </r>
  <r>
    <s v="2023-04"/>
    <d v="2023-04-01T00:00:00"/>
    <x v="0"/>
    <x v="7"/>
    <x v="13"/>
    <x v="0"/>
    <x v="1"/>
    <s v="Male"/>
    <x v="1"/>
    <n v="3"/>
    <n v="1"/>
    <n v="3.1"/>
    <n v="1"/>
    <n v="0.33333333333333331"/>
  </r>
  <r>
    <s v="2023-05"/>
    <d v="2023-05-01T00:00:00"/>
    <x v="7"/>
    <x v="5"/>
    <x v="5"/>
    <x v="3"/>
    <x v="2"/>
    <s v="Male"/>
    <x v="1"/>
    <n v="3"/>
    <n v="1"/>
    <n v="1.9"/>
    <n v="1"/>
    <n v="0.33333333333333331"/>
  </r>
  <r>
    <s v="2023-11"/>
    <d v="2023-11-01T00:00:00"/>
    <x v="11"/>
    <x v="8"/>
    <x v="18"/>
    <x v="2"/>
    <x v="3"/>
    <s v="Female"/>
    <x v="7"/>
    <n v="3"/>
    <n v="1"/>
    <n v="3.8"/>
    <n v="0.75"/>
    <n v="0.25"/>
  </r>
  <r>
    <s v="2023-11"/>
    <d v="2023-11-01T00:00:00"/>
    <x v="11"/>
    <x v="1"/>
    <x v="16"/>
    <x v="4"/>
    <x v="4"/>
    <s v="Female"/>
    <x v="4"/>
    <n v="6"/>
    <n v="0"/>
    <n v="1.7"/>
    <n v="1"/>
    <n v="0"/>
  </r>
  <r>
    <s v="2023-10"/>
    <d v="2023-10-01T00:00:00"/>
    <x v="2"/>
    <x v="3"/>
    <x v="3"/>
    <x v="1"/>
    <x v="3"/>
    <s v="Male"/>
    <x v="0"/>
    <n v="4"/>
    <n v="0"/>
    <n v="3.4"/>
    <n v="0.8"/>
    <n v="0"/>
  </r>
  <r>
    <s v="2023-01"/>
    <d v="2023-01-01T00:00:00"/>
    <x v="4"/>
    <x v="7"/>
    <x v="13"/>
    <x v="4"/>
    <x v="4"/>
    <s v="Female"/>
    <x v="1"/>
    <n v="2"/>
    <n v="0"/>
    <n v="4.8"/>
    <n v="0.66666666666666663"/>
    <n v="0"/>
  </r>
  <r>
    <s v="2023-11"/>
    <d v="2023-11-01T00:00:00"/>
    <x v="11"/>
    <x v="2"/>
    <x v="2"/>
    <x v="0"/>
    <x v="1"/>
    <s v="Female"/>
    <x v="0"/>
    <n v="5"/>
    <n v="1"/>
    <n v="2.4"/>
    <n v="1"/>
    <n v="0.2"/>
  </r>
  <r>
    <s v="2023-06"/>
    <d v="2023-06-01T00:00:00"/>
    <x v="1"/>
    <x v="7"/>
    <x v="9"/>
    <x v="3"/>
    <x v="2"/>
    <s v="Female"/>
    <x v="7"/>
    <n v="3"/>
    <n v="0"/>
    <n v="2.9"/>
    <n v="0.75"/>
    <n v="0"/>
  </r>
  <r>
    <s v="2023-12"/>
    <d v="2023-12-01T00:00:00"/>
    <x v="9"/>
    <x v="3"/>
    <x v="3"/>
    <x v="4"/>
    <x v="4"/>
    <s v="Female"/>
    <x v="2"/>
    <n v="8"/>
    <n v="0"/>
    <n v="3.1"/>
    <n v="1"/>
    <n v="0"/>
  </r>
  <r>
    <s v="2023-06"/>
    <d v="2023-06-01T00:00:00"/>
    <x v="1"/>
    <x v="8"/>
    <x v="10"/>
    <x v="1"/>
    <x v="4"/>
    <s v="Female"/>
    <x v="8"/>
    <n v="6"/>
    <n v="0"/>
    <n v="3.9"/>
    <n v="0.8571428571428571"/>
    <n v="0"/>
  </r>
  <r>
    <s v="2023-10"/>
    <d v="2023-10-01T00:00:00"/>
    <x v="2"/>
    <x v="9"/>
    <x v="14"/>
    <x v="5"/>
    <x v="2"/>
    <s v="Male"/>
    <x v="2"/>
    <n v="7"/>
    <n v="0"/>
    <n v="2.7"/>
    <n v="0.875"/>
    <n v="0"/>
  </r>
  <r>
    <s v="2023-06"/>
    <d v="2023-06-01T00:00:00"/>
    <x v="1"/>
    <x v="6"/>
    <x v="7"/>
    <x v="0"/>
    <x v="1"/>
    <s v="Female"/>
    <x v="0"/>
    <n v="5"/>
    <n v="1"/>
    <n v="2.6"/>
    <n v="1"/>
    <n v="0.2"/>
  </r>
  <r>
    <s v="2023-12"/>
    <d v="2023-12-01T00:00:00"/>
    <x v="9"/>
    <x v="8"/>
    <x v="10"/>
    <x v="2"/>
    <x v="4"/>
    <s v="Male"/>
    <x v="10"/>
    <n v="9"/>
    <n v="0"/>
    <n v="4.2"/>
    <n v="1"/>
    <n v="0"/>
  </r>
  <r>
    <s v="2023-10"/>
    <d v="2023-10-01T00:00:00"/>
    <x v="2"/>
    <x v="4"/>
    <x v="11"/>
    <x v="5"/>
    <x v="4"/>
    <s v="Female"/>
    <x v="0"/>
    <n v="4"/>
    <n v="0"/>
    <n v="5.6"/>
    <n v="0.8"/>
    <n v="0"/>
  </r>
  <r>
    <s v="2023-07"/>
    <d v="2023-07-01T00:00:00"/>
    <x v="8"/>
    <x v="9"/>
    <x v="14"/>
    <x v="0"/>
    <x v="1"/>
    <s v="Female"/>
    <x v="8"/>
    <n v="7"/>
    <n v="0"/>
    <n v="3.8"/>
    <n v="1"/>
    <n v="0"/>
  </r>
  <r>
    <s v="2023-12"/>
    <d v="2023-12-01T00:00:00"/>
    <x v="9"/>
    <x v="5"/>
    <x v="5"/>
    <x v="4"/>
    <x v="5"/>
    <s v="Female"/>
    <x v="3"/>
    <n v="2"/>
    <n v="0"/>
    <n v="3.5"/>
    <n v="1"/>
    <n v="0"/>
  </r>
  <r>
    <s v="2023-03"/>
    <d v="2023-03-01T00:00:00"/>
    <x v="5"/>
    <x v="6"/>
    <x v="7"/>
    <x v="0"/>
    <x v="3"/>
    <s v="Female"/>
    <x v="2"/>
    <n v="7"/>
    <n v="0"/>
    <n v="2.5"/>
    <n v="0.875"/>
    <n v="0"/>
  </r>
  <r>
    <s v="2023-12"/>
    <d v="2023-12-01T00:00:00"/>
    <x v="9"/>
    <x v="5"/>
    <x v="5"/>
    <x v="4"/>
    <x v="2"/>
    <s v="Female"/>
    <x v="0"/>
    <n v="4"/>
    <n v="0"/>
    <n v="3.2"/>
    <n v="0.8"/>
    <n v="0"/>
  </r>
  <r>
    <s v="2023-05"/>
    <d v="2023-05-01T00:00:00"/>
    <x v="7"/>
    <x v="3"/>
    <x v="15"/>
    <x v="4"/>
    <x v="2"/>
    <s v="Male"/>
    <x v="3"/>
    <n v="2"/>
    <n v="0"/>
    <n v="3.7"/>
    <n v="1"/>
    <n v="0"/>
  </r>
  <r>
    <s v="2023-03"/>
    <d v="2023-03-01T00:00:00"/>
    <x v="5"/>
    <x v="3"/>
    <x v="3"/>
    <x v="2"/>
    <x v="2"/>
    <s v="Female"/>
    <x v="0"/>
    <n v="5"/>
    <n v="0"/>
    <n v="3.7"/>
    <n v="1"/>
    <n v="0"/>
  </r>
  <r>
    <s v="2023-04"/>
    <d v="2023-04-01T00:00:00"/>
    <x v="0"/>
    <x v="7"/>
    <x v="13"/>
    <x v="4"/>
    <x v="4"/>
    <s v="Female"/>
    <x v="4"/>
    <n v="5"/>
    <n v="1"/>
    <n v="3.7"/>
    <n v="0.83333333333333337"/>
    <n v="0.16666666666666666"/>
  </r>
  <r>
    <s v="2023-10"/>
    <d v="2023-10-01T00:00:00"/>
    <x v="2"/>
    <x v="8"/>
    <x v="18"/>
    <x v="1"/>
    <x v="2"/>
    <s v="Female"/>
    <x v="7"/>
    <n v="2"/>
    <n v="0"/>
    <n v="2.6"/>
    <n v="0.5"/>
    <n v="0"/>
  </r>
  <r>
    <s v="2023-02"/>
    <d v="2023-02-01T00:00:00"/>
    <x v="6"/>
    <x v="7"/>
    <x v="13"/>
    <x v="4"/>
    <x v="5"/>
    <s v="Female"/>
    <x v="0"/>
    <n v="5"/>
    <n v="0"/>
    <n v="1.1000000000000001"/>
    <n v="1"/>
    <n v="0"/>
  </r>
  <r>
    <s v="2023-04"/>
    <d v="2023-04-01T00:00:00"/>
    <x v="0"/>
    <x v="1"/>
    <x v="1"/>
    <x v="0"/>
    <x v="5"/>
    <s v="Male"/>
    <x v="7"/>
    <n v="3"/>
    <n v="1"/>
    <n v="2.7"/>
    <n v="0.75"/>
    <n v="0.25"/>
  </r>
  <r>
    <s v="2023-03"/>
    <d v="2023-03-01T00:00:00"/>
    <x v="5"/>
    <x v="6"/>
    <x v="8"/>
    <x v="5"/>
    <x v="4"/>
    <s v="Male"/>
    <x v="7"/>
    <n v="4"/>
    <n v="0"/>
    <n v="3.1"/>
    <n v="1"/>
    <n v="0"/>
  </r>
  <r>
    <s v="2023-03"/>
    <d v="2023-03-01T00:00:00"/>
    <x v="5"/>
    <x v="9"/>
    <x v="17"/>
    <x v="1"/>
    <x v="4"/>
    <s v="Male"/>
    <x v="4"/>
    <n v="6"/>
    <n v="1"/>
    <n v="2.5"/>
    <n v="1"/>
    <n v="0.16666666666666666"/>
  </r>
  <r>
    <s v="2023-12"/>
    <d v="2023-12-01T00:00:00"/>
    <x v="9"/>
    <x v="7"/>
    <x v="9"/>
    <x v="0"/>
    <x v="4"/>
    <s v="Female"/>
    <x v="2"/>
    <n v="7"/>
    <n v="1"/>
    <n v="5.0999999999999996"/>
    <n v="0.875"/>
    <n v="0.125"/>
  </r>
  <r>
    <s v="2023-07"/>
    <d v="2023-07-01T00:00:00"/>
    <x v="8"/>
    <x v="3"/>
    <x v="15"/>
    <x v="5"/>
    <x v="5"/>
    <s v="Female"/>
    <x v="0"/>
    <n v="5"/>
    <n v="0"/>
    <n v="1.9"/>
    <n v="1"/>
    <n v="0"/>
  </r>
  <r>
    <s v="2023-06"/>
    <d v="2023-06-01T00:00:00"/>
    <x v="1"/>
    <x v="2"/>
    <x v="19"/>
    <x v="2"/>
    <x v="3"/>
    <s v="Female"/>
    <x v="4"/>
    <n v="6"/>
    <n v="0"/>
    <n v="2.4"/>
    <n v="1"/>
    <n v="0"/>
  </r>
  <r>
    <s v="2023-06"/>
    <d v="2023-06-01T00:00:00"/>
    <x v="1"/>
    <x v="5"/>
    <x v="6"/>
    <x v="2"/>
    <x v="5"/>
    <s v="Female"/>
    <x v="7"/>
    <n v="4"/>
    <n v="0"/>
    <n v="3"/>
    <n v="1"/>
    <n v="0"/>
  </r>
  <r>
    <s v="2023-06"/>
    <d v="2023-06-01T00:00:00"/>
    <x v="1"/>
    <x v="0"/>
    <x v="0"/>
    <x v="1"/>
    <x v="3"/>
    <s v="Male"/>
    <x v="1"/>
    <n v="3"/>
    <n v="0"/>
    <n v="4.0999999999999996"/>
    <n v="1"/>
    <n v="0"/>
  </r>
  <r>
    <s v="2023-09"/>
    <d v="2023-09-01T00:00:00"/>
    <x v="10"/>
    <x v="5"/>
    <x v="6"/>
    <x v="4"/>
    <x v="4"/>
    <s v="Male"/>
    <x v="0"/>
    <n v="4"/>
    <n v="0"/>
    <n v="2.4"/>
    <n v="0.8"/>
    <n v="0"/>
  </r>
  <r>
    <s v="2023-03"/>
    <d v="2023-03-01T00:00:00"/>
    <x v="5"/>
    <x v="3"/>
    <x v="15"/>
    <x v="2"/>
    <x v="4"/>
    <s v="Female"/>
    <x v="8"/>
    <n v="7"/>
    <n v="0"/>
    <n v="3.8"/>
    <n v="1"/>
    <n v="0"/>
  </r>
  <r>
    <s v="2023-12"/>
    <d v="2023-12-01T00:00:00"/>
    <x v="9"/>
    <x v="5"/>
    <x v="6"/>
    <x v="1"/>
    <x v="0"/>
    <s v="Male"/>
    <x v="4"/>
    <n v="5"/>
    <n v="0"/>
    <n v="2.8"/>
    <n v="0.83333333333333337"/>
    <n v="0"/>
  </r>
  <r>
    <s v="2023-03"/>
    <d v="2023-03-01T00:00:00"/>
    <x v="5"/>
    <x v="2"/>
    <x v="2"/>
    <x v="0"/>
    <x v="3"/>
    <s v="Male"/>
    <x v="1"/>
    <n v="3"/>
    <n v="0"/>
    <n v="0.8"/>
    <n v="1"/>
    <n v="0"/>
  </r>
  <r>
    <s v="2023-02"/>
    <d v="2023-02-01T00:00:00"/>
    <x v="6"/>
    <x v="6"/>
    <x v="8"/>
    <x v="2"/>
    <x v="1"/>
    <s v="Female"/>
    <x v="1"/>
    <n v="3"/>
    <n v="0"/>
    <n v="2.2999999999999998"/>
    <n v="1"/>
    <n v="0"/>
  </r>
  <r>
    <s v="2023-02"/>
    <d v="2023-02-01T00:00:00"/>
    <x v="6"/>
    <x v="9"/>
    <x v="17"/>
    <x v="2"/>
    <x v="3"/>
    <s v="Male"/>
    <x v="0"/>
    <n v="4"/>
    <n v="1"/>
    <n v="4"/>
    <n v="0.8"/>
    <n v="0.2"/>
  </r>
  <r>
    <s v="2023-12"/>
    <d v="2023-12-01T00:00:00"/>
    <x v="9"/>
    <x v="5"/>
    <x v="6"/>
    <x v="3"/>
    <x v="2"/>
    <s v="Male"/>
    <x v="1"/>
    <n v="3"/>
    <n v="0"/>
    <n v="3.3"/>
    <n v="1"/>
    <n v="0"/>
  </r>
  <r>
    <s v="2023-05"/>
    <d v="2023-05-01T00:00:00"/>
    <x v="7"/>
    <x v="4"/>
    <x v="11"/>
    <x v="4"/>
    <x v="4"/>
    <s v="Male"/>
    <x v="5"/>
    <n v="1"/>
    <n v="0"/>
    <n v="2.5"/>
    <n v="1"/>
    <n v="0"/>
  </r>
  <r>
    <s v="2023-07"/>
    <d v="2023-07-01T00:00:00"/>
    <x v="8"/>
    <x v="5"/>
    <x v="6"/>
    <x v="3"/>
    <x v="0"/>
    <s v="Male"/>
    <x v="4"/>
    <n v="6"/>
    <n v="0"/>
    <n v="3.1"/>
    <n v="1"/>
    <n v="0"/>
  </r>
  <r>
    <s v="2023-09"/>
    <d v="2023-09-01T00:00:00"/>
    <x v="10"/>
    <x v="5"/>
    <x v="6"/>
    <x v="2"/>
    <x v="2"/>
    <s v="Female"/>
    <x v="2"/>
    <n v="8"/>
    <n v="0"/>
    <n v="4.3"/>
    <n v="1"/>
    <n v="0"/>
  </r>
  <r>
    <s v="2023-06"/>
    <d v="2023-06-01T00:00:00"/>
    <x v="1"/>
    <x v="9"/>
    <x v="17"/>
    <x v="2"/>
    <x v="3"/>
    <s v="Female"/>
    <x v="0"/>
    <n v="4"/>
    <n v="0"/>
    <n v="1.3"/>
    <n v="0.8"/>
    <n v="0"/>
  </r>
  <r>
    <s v="2023-11"/>
    <d v="2023-11-01T00:00:00"/>
    <x v="11"/>
    <x v="5"/>
    <x v="6"/>
    <x v="0"/>
    <x v="2"/>
    <s v="Female"/>
    <x v="5"/>
    <n v="1"/>
    <n v="0"/>
    <n v="2.4"/>
    <n v="1"/>
    <n v="0"/>
  </r>
  <r>
    <s v="2023-01"/>
    <d v="2023-01-01T00:00:00"/>
    <x v="4"/>
    <x v="6"/>
    <x v="7"/>
    <x v="4"/>
    <x v="2"/>
    <s v="Male"/>
    <x v="0"/>
    <n v="3"/>
    <n v="0"/>
    <n v="2.8"/>
    <n v="0.6"/>
    <n v="0"/>
  </r>
  <r>
    <s v="2023-08"/>
    <d v="2023-08-01T00:00:00"/>
    <x v="3"/>
    <x v="6"/>
    <x v="8"/>
    <x v="3"/>
    <x v="4"/>
    <s v="Male"/>
    <x v="1"/>
    <n v="3"/>
    <n v="1"/>
    <n v="2.6"/>
    <n v="1"/>
    <n v="0.33333333333333331"/>
  </r>
  <r>
    <s v="2023-02"/>
    <d v="2023-02-01T00:00:00"/>
    <x v="6"/>
    <x v="6"/>
    <x v="8"/>
    <x v="5"/>
    <x v="1"/>
    <s v="Female"/>
    <x v="3"/>
    <n v="2"/>
    <n v="0"/>
    <n v="2.9"/>
    <n v="1"/>
    <n v="0"/>
  </r>
  <r>
    <s v="2023-09"/>
    <d v="2023-09-01T00:00:00"/>
    <x v="10"/>
    <x v="7"/>
    <x v="13"/>
    <x v="2"/>
    <x v="4"/>
    <s v="Female"/>
    <x v="0"/>
    <n v="4"/>
    <n v="0"/>
    <n v="1.5"/>
    <n v="0.8"/>
    <n v="0"/>
  </r>
  <r>
    <s v="2023-12"/>
    <d v="2023-12-01T00:00:00"/>
    <x v="9"/>
    <x v="2"/>
    <x v="2"/>
    <x v="2"/>
    <x v="1"/>
    <s v="Male"/>
    <x v="0"/>
    <n v="4"/>
    <n v="0"/>
    <n v="1.5"/>
    <n v="0.8"/>
    <n v="0"/>
  </r>
  <r>
    <s v="2023-08"/>
    <d v="2023-08-01T00:00:00"/>
    <x v="3"/>
    <x v="2"/>
    <x v="2"/>
    <x v="4"/>
    <x v="0"/>
    <s v="Male"/>
    <x v="1"/>
    <n v="3"/>
    <n v="0"/>
    <n v="3.1"/>
    <n v="1"/>
    <n v="0"/>
  </r>
  <r>
    <s v="2023-03"/>
    <d v="2023-03-01T00:00:00"/>
    <x v="5"/>
    <x v="1"/>
    <x v="16"/>
    <x v="0"/>
    <x v="3"/>
    <s v="Female"/>
    <x v="0"/>
    <n v="5"/>
    <n v="2"/>
    <n v="3.5"/>
    <n v="1"/>
    <n v="0.4"/>
  </r>
  <r>
    <s v="2023-06"/>
    <d v="2023-06-01T00:00:00"/>
    <x v="1"/>
    <x v="5"/>
    <x v="5"/>
    <x v="4"/>
    <x v="5"/>
    <s v="Male"/>
    <x v="4"/>
    <n v="6"/>
    <n v="0"/>
    <n v="3.3"/>
    <n v="1"/>
    <n v="0"/>
  </r>
  <r>
    <s v="2023-04"/>
    <d v="2023-04-01T00:00:00"/>
    <x v="0"/>
    <x v="9"/>
    <x v="14"/>
    <x v="0"/>
    <x v="2"/>
    <s v="Female"/>
    <x v="7"/>
    <n v="3"/>
    <n v="0"/>
    <n v="3.5"/>
    <n v="0.75"/>
    <n v="0"/>
  </r>
  <r>
    <s v="2023-11"/>
    <d v="2023-11-01T00:00:00"/>
    <x v="11"/>
    <x v="7"/>
    <x v="13"/>
    <x v="0"/>
    <x v="2"/>
    <s v="Male"/>
    <x v="2"/>
    <n v="8"/>
    <n v="0"/>
    <n v="2.4"/>
    <n v="1"/>
    <n v="0"/>
  </r>
  <r>
    <s v="2023-04"/>
    <d v="2023-04-01T00:00:00"/>
    <x v="0"/>
    <x v="4"/>
    <x v="11"/>
    <x v="4"/>
    <x v="5"/>
    <s v="Female"/>
    <x v="9"/>
    <n v="10"/>
    <n v="1"/>
    <n v="4.4000000000000004"/>
    <n v="1"/>
    <n v="0.1"/>
  </r>
  <r>
    <s v="2023-04"/>
    <d v="2023-04-01T00:00:00"/>
    <x v="0"/>
    <x v="4"/>
    <x v="4"/>
    <x v="1"/>
    <x v="3"/>
    <s v="Male"/>
    <x v="4"/>
    <n v="5"/>
    <n v="1"/>
    <n v="3"/>
    <n v="0.83333333333333337"/>
    <n v="0.16666666666666666"/>
  </r>
  <r>
    <s v="2023-03"/>
    <d v="2023-03-01T00:00:00"/>
    <x v="5"/>
    <x v="3"/>
    <x v="3"/>
    <x v="2"/>
    <x v="5"/>
    <s v="Male"/>
    <x v="0"/>
    <n v="4"/>
    <n v="0"/>
    <n v="2.6"/>
    <n v="0.8"/>
    <n v="0"/>
  </r>
  <r>
    <s v="2023-04"/>
    <d v="2023-04-01T00:00:00"/>
    <x v="0"/>
    <x v="0"/>
    <x v="12"/>
    <x v="1"/>
    <x v="1"/>
    <s v="Female"/>
    <x v="3"/>
    <n v="0"/>
    <n v="0"/>
    <n v="2.5"/>
    <n v="0"/>
    <n v="0"/>
  </r>
  <r>
    <s v="2023-01"/>
    <d v="2023-01-01T00:00:00"/>
    <x v="4"/>
    <x v="0"/>
    <x v="12"/>
    <x v="4"/>
    <x v="3"/>
    <s v="Female"/>
    <x v="1"/>
    <n v="3"/>
    <n v="0"/>
    <n v="3.9"/>
    <n v="1"/>
    <n v="0"/>
  </r>
  <r>
    <s v="2023-02"/>
    <d v="2023-02-01T00:00:00"/>
    <x v="6"/>
    <x v="2"/>
    <x v="19"/>
    <x v="0"/>
    <x v="5"/>
    <s v="Female"/>
    <x v="8"/>
    <n v="7"/>
    <n v="0"/>
    <n v="2.8"/>
    <n v="1"/>
    <n v="0"/>
  </r>
  <r>
    <s v="2023-06"/>
    <d v="2023-06-01T00:00:00"/>
    <x v="1"/>
    <x v="8"/>
    <x v="10"/>
    <x v="5"/>
    <x v="4"/>
    <s v="Female"/>
    <x v="1"/>
    <n v="2"/>
    <n v="0"/>
    <n v="2.5"/>
    <n v="0.66666666666666663"/>
    <n v="0"/>
  </r>
  <r>
    <s v="2023-04"/>
    <d v="2023-04-01T00:00:00"/>
    <x v="0"/>
    <x v="0"/>
    <x v="0"/>
    <x v="1"/>
    <x v="5"/>
    <s v="Female"/>
    <x v="7"/>
    <n v="4"/>
    <n v="0"/>
    <n v="1.4"/>
    <n v="1"/>
    <n v="0"/>
  </r>
  <r>
    <s v="2023-12"/>
    <d v="2023-12-01T00:00:00"/>
    <x v="9"/>
    <x v="4"/>
    <x v="11"/>
    <x v="5"/>
    <x v="2"/>
    <s v="Female"/>
    <x v="4"/>
    <n v="6"/>
    <n v="0"/>
    <n v="2.2000000000000002"/>
    <n v="1"/>
    <n v="0"/>
  </r>
  <r>
    <s v="2023-04"/>
    <d v="2023-04-01T00:00:00"/>
    <x v="0"/>
    <x v="3"/>
    <x v="15"/>
    <x v="2"/>
    <x v="4"/>
    <s v="Male"/>
    <x v="8"/>
    <n v="7"/>
    <n v="0"/>
    <n v="2.4"/>
    <n v="1"/>
    <n v="0"/>
  </r>
  <r>
    <s v="2023-01"/>
    <d v="2023-01-01T00:00:00"/>
    <x v="4"/>
    <x v="6"/>
    <x v="8"/>
    <x v="5"/>
    <x v="0"/>
    <s v="Female"/>
    <x v="8"/>
    <n v="6"/>
    <n v="0"/>
    <n v="3.2"/>
    <n v="0.8571428571428571"/>
    <n v="0"/>
  </r>
  <r>
    <s v="2023-05"/>
    <d v="2023-05-01T00:00:00"/>
    <x v="7"/>
    <x v="7"/>
    <x v="9"/>
    <x v="2"/>
    <x v="1"/>
    <s v="Female"/>
    <x v="7"/>
    <n v="3"/>
    <n v="0"/>
    <n v="3"/>
    <n v="0.75"/>
    <n v="0"/>
  </r>
  <r>
    <s v="2023-06"/>
    <d v="2023-06-01T00:00:00"/>
    <x v="1"/>
    <x v="8"/>
    <x v="18"/>
    <x v="0"/>
    <x v="2"/>
    <s v="Female"/>
    <x v="1"/>
    <n v="2"/>
    <n v="0"/>
    <n v="3"/>
    <n v="0.66666666666666663"/>
    <n v="0"/>
  </r>
  <r>
    <s v="2023-08"/>
    <d v="2023-08-01T00:00:00"/>
    <x v="3"/>
    <x v="5"/>
    <x v="5"/>
    <x v="0"/>
    <x v="5"/>
    <s v="Male"/>
    <x v="1"/>
    <n v="3"/>
    <n v="0"/>
    <n v="2.5"/>
    <n v="1"/>
    <n v="0"/>
  </r>
  <r>
    <s v="2023-12"/>
    <d v="2023-12-01T00:00:00"/>
    <x v="9"/>
    <x v="5"/>
    <x v="5"/>
    <x v="1"/>
    <x v="2"/>
    <s v="Male"/>
    <x v="8"/>
    <n v="6"/>
    <n v="0"/>
    <n v="3.9"/>
    <n v="0.8571428571428571"/>
    <n v="0"/>
  </r>
  <r>
    <s v="2023-09"/>
    <d v="2023-09-01T00:00:00"/>
    <x v="10"/>
    <x v="2"/>
    <x v="2"/>
    <x v="1"/>
    <x v="1"/>
    <s v="Female"/>
    <x v="3"/>
    <n v="2"/>
    <n v="0"/>
    <n v="3.2"/>
    <n v="1"/>
    <n v="0"/>
  </r>
  <r>
    <s v="2023-11"/>
    <d v="2023-11-01T00:00:00"/>
    <x v="11"/>
    <x v="2"/>
    <x v="19"/>
    <x v="4"/>
    <x v="5"/>
    <s v="Male"/>
    <x v="8"/>
    <n v="7"/>
    <n v="2"/>
    <n v="3.1"/>
    <n v="1"/>
    <n v="0.2857142857142857"/>
  </r>
  <r>
    <s v="2023-02"/>
    <d v="2023-02-01T00:00:00"/>
    <x v="6"/>
    <x v="1"/>
    <x v="1"/>
    <x v="2"/>
    <x v="3"/>
    <s v="Female"/>
    <x v="0"/>
    <n v="5"/>
    <n v="0"/>
    <n v="4.2"/>
    <n v="1"/>
    <n v="0"/>
  </r>
  <r>
    <s v="2023-06"/>
    <d v="2023-06-01T00:00:00"/>
    <x v="1"/>
    <x v="8"/>
    <x v="18"/>
    <x v="0"/>
    <x v="0"/>
    <s v="Male"/>
    <x v="8"/>
    <n v="7"/>
    <n v="0"/>
    <n v="2.7"/>
    <n v="1"/>
    <n v="0"/>
  </r>
  <r>
    <s v="2023-06"/>
    <d v="2023-06-01T00:00:00"/>
    <x v="1"/>
    <x v="6"/>
    <x v="8"/>
    <x v="2"/>
    <x v="0"/>
    <s v="Male"/>
    <x v="4"/>
    <n v="4"/>
    <n v="0"/>
    <n v="2.5"/>
    <n v="0.66666666666666663"/>
    <n v="0"/>
  </r>
  <r>
    <s v="2023-04"/>
    <d v="2023-04-01T00:00:00"/>
    <x v="0"/>
    <x v="8"/>
    <x v="10"/>
    <x v="4"/>
    <x v="2"/>
    <s v="Male"/>
    <x v="7"/>
    <n v="4"/>
    <n v="0"/>
    <n v="2.8"/>
    <n v="1"/>
    <n v="0"/>
  </r>
  <r>
    <s v="2023-07"/>
    <d v="2023-07-01T00:00:00"/>
    <x v="8"/>
    <x v="9"/>
    <x v="17"/>
    <x v="1"/>
    <x v="1"/>
    <s v="Female"/>
    <x v="5"/>
    <n v="1"/>
    <n v="0"/>
    <n v="3.8"/>
    <n v="1"/>
    <n v="0"/>
  </r>
  <r>
    <s v="2023-07"/>
    <d v="2023-07-01T00:00:00"/>
    <x v="8"/>
    <x v="5"/>
    <x v="5"/>
    <x v="4"/>
    <x v="2"/>
    <s v="Female"/>
    <x v="5"/>
    <n v="1"/>
    <n v="1"/>
    <n v="0.6"/>
    <n v="1"/>
    <n v="1"/>
  </r>
  <r>
    <s v="2023-07"/>
    <d v="2023-07-01T00:00:00"/>
    <x v="8"/>
    <x v="7"/>
    <x v="13"/>
    <x v="5"/>
    <x v="0"/>
    <s v="Male"/>
    <x v="8"/>
    <n v="7"/>
    <n v="1"/>
    <n v="2.8"/>
    <n v="1"/>
    <n v="0.14285714285714285"/>
  </r>
  <r>
    <s v="2023-01"/>
    <d v="2023-01-01T00:00:00"/>
    <x v="4"/>
    <x v="2"/>
    <x v="2"/>
    <x v="0"/>
    <x v="5"/>
    <s v="Female"/>
    <x v="5"/>
    <n v="1"/>
    <n v="0"/>
    <n v="3.2"/>
    <n v="1"/>
    <n v="0"/>
  </r>
  <r>
    <s v="2023-01"/>
    <d v="2023-01-01T00:00:00"/>
    <x v="4"/>
    <x v="1"/>
    <x v="1"/>
    <x v="0"/>
    <x v="1"/>
    <s v="Male"/>
    <x v="1"/>
    <n v="3"/>
    <n v="0"/>
    <n v="3.7"/>
    <n v="1"/>
    <n v="0"/>
  </r>
  <r>
    <s v="2023-12"/>
    <d v="2023-12-01T00:00:00"/>
    <x v="9"/>
    <x v="7"/>
    <x v="9"/>
    <x v="5"/>
    <x v="2"/>
    <s v="Male"/>
    <x v="1"/>
    <n v="3"/>
    <n v="0"/>
    <n v="3.7"/>
    <n v="1"/>
    <n v="0"/>
  </r>
  <r>
    <s v="2023-05"/>
    <d v="2023-05-01T00:00:00"/>
    <x v="7"/>
    <x v="5"/>
    <x v="6"/>
    <x v="1"/>
    <x v="3"/>
    <s v="Male"/>
    <x v="2"/>
    <n v="5"/>
    <n v="0"/>
    <n v="1.7"/>
    <n v="0.625"/>
    <n v="0"/>
  </r>
  <r>
    <s v="2023-11"/>
    <d v="2023-11-01T00:00:00"/>
    <x v="11"/>
    <x v="2"/>
    <x v="19"/>
    <x v="0"/>
    <x v="0"/>
    <s v="Female"/>
    <x v="0"/>
    <n v="4"/>
    <n v="0"/>
    <n v="2.4"/>
    <n v="0.8"/>
    <n v="0"/>
  </r>
  <r>
    <s v="2023-05"/>
    <d v="2023-05-01T00:00:00"/>
    <x v="7"/>
    <x v="8"/>
    <x v="10"/>
    <x v="5"/>
    <x v="1"/>
    <s v="Male"/>
    <x v="0"/>
    <n v="5"/>
    <n v="1"/>
    <n v="2.7"/>
    <n v="1"/>
    <n v="0.2"/>
  </r>
  <r>
    <s v="2023-02"/>
    <d v="2023-02-01T00:00:00"/>
    <x v="6"/>
    <x v="8"/>
    <x v="18"/>
    <x v="5"/>
    <x v="0"/>
    <s v="Female"/>
    <x v="5"/>
    <n v="1"/>
    <n v="0"/>
    <n v="3.2"/>
    <n v="1"/>
    <n v="0"/>
  </r>
  <r>
    <s v="2023-04"/>
    <d v="2023-04-01T00:00:00"/>
    <x v="0"/>
    <x v="7"/>
    <x v="13"/>
    <x v="5"/>
    <x v="3"/>
    <s v="Female"/>
    <x v="0"/>
    <n v="5"/>
    <n v="0"/>
    <n v="2.8"/>
    <n v="1"/>
    <n v="0"/>
  </r>
  <r>
    <s v="2023-12"/>
    <d v="2023-12-01T00:00:00"/>
    <x v="9"/>
    <x v="5"/>
    <x v="6"/>
    <x v="4"/>
    <x v="2"/>
    <s v="Female"/>
    <x v="1"/>
    <n v="3"/>
    <n v="0"/>
    <n v="4.4000000000000004"/>
    <n v="1"/>
    <n v="0"/>
  </r>
  <r>
    <s v="2023-10"/>
    <d v="2023-10-01T00:00:00"/>
    <x v="2"/>
    <x v="1"/>
    <x v="16"/>
    <x v="1"/>
    <x v="2"/>
    <s v="Female"/>
    <x v="4"/>
    <n v="6"/>
    <n v="1"/>
    <n v="3"/>
    <n v="1"/>
    <n v="0.16666666666666666"/>
  </r>
  <r>
    <s v="2023-07"/>
    <d v="2023-07-01T00:00:00"/>
    <x v="8"/>
    <x v="1"/>
    <x v="1"/>
    <x v="1"/>
    <x v="4"/>
    <s v="Female"/>
    <x v="1"/>
    <n v="3"/>
    <n v="1"/>
    <n v="3.3"/>
    <n v="1"/>
    <n v="0.33333333333333331"/>
  </r>
  <r>
    <s v="2023-06"/>
    <d v="2023-06-01T00:00:00"/>
    <x v="1"/>
    <x v="0"/>
    <x v="0"/>
    <x v="1"/>
    <x v="1"/>
    <s v="Male"/>
    <x v="10"/>
    <n v="8"/>
    <n v="0"/>
    <n v="4.4000000000000004"/>
    <n v="0.88888888888888884"/>
    <n v="0"/>
  </r>
  <r>
    <s v="2023-05"/>
    <d v="2023-05-01T00:00:00"/>
    <x v="7"/>
    <x v="8"/>
    <x v="10"/>
    <x v="3"/>
    <x v="1"/>
    <s v="Male"/>
    <x v="7"/>
    <n v="4"/>
    <n v="0"/>
    <n v="4.2"/>
    <n v="1"/>
    <n v="0"/>
  </r>
  <r>
    <s v="2023-08"/>
    <d v="2023-08-01T00:00:00"/>
    <x v="3"/>
    <x v="3"/>
    <x v="15"/>
    <x v="3"/>
    <x v="1"/>
    <s v="Female"/>
    <x v="4"/>
    <n v="6"/>
    <n v="0"/>
    <n v="3"/>
    <n v="1"/>
    <n v="0"/>
  </r>
  <r>
    <s v="2023-09"/>
    <d v="2023-09-01T00:00:00"/>
    <x v="10"/>
    <x v="4"/>
    <x v="4"/>
    <x v="0"/>
    <x v="0"/>
    <s v="Male"/>
    <x v="4"/>
    <n v="5"/>
    <n v="0"/>
    <n v="2.5"/>
    <n v="0.83333333333333337"/>
    <n v="0"/>
  </r>
  <r>
    <s v="2023-09"/>
    <d v="2023-09-01T00:00:00"/>
    <x v="10"/>
    <x v="4"/>
    <x v="4"/>
    <x v="2"/>
    <x v="4"/>
    <s v="Female"/>
    <x v="2"/>
    <n v="8"/>
    <n v="0"/>
    <n v="2.2999999999999998"/>
    <n v="1"/>
    <n v="0"/>
  </r>
  <r>
    <s v="2023-10"/>
    <d v="2023-10-01T00:00:00"/>
    <x v="2"/>
    <x v="0"/>
    <x v="12"/>
    <x v="0"/>
    <x v="1"/>
    <s v="Female"/>
    <x v="7"/>
    <n v="4"/>
    <n v="0"/>
    <n v="2.4"/>
    <n v="1"/>
    <n v="0"/>
  </r>
  <r>
    <s v="2023-03"/>
    <d v="2023-03-01T00:00:00"/>
    <x v="5"/>
    <x v="8"/>
    <x v="10"/>
    <x v="4"/>
    <x v="3"/>
    <s v="Female"/>
    <x v="2"/>
    <n v="8"/>
    <n v="1"/>
    <n v="4.4000000000000004"/>
    <n v="1"/>
    <n v="0.125"/>
  </r>
  <r>
    <s v="2023-12"/>
    <d v="2023-12-01T00:00:00"/>
    <x v="9"/>
    <x v="4"/>
    <x v="11"/>
    <x v="3"/>
    <x v="1"/>
    <s v="Female"/>
    <x v="7"/>
    <n v="4"/>
    <n v="1"/>
    <n v="2.6"/>
    <n v="1"/>
    <n v="0.25"/>
  </r>
  <r>
    <s v="2023-07"/>
    <d v="2023-07-01T00:00:00"/>
    <x v="8"/>
    <x v="9"/>
    <x v="17"/>
    <x v="0"/>
    <x v="4"/>
    <s v="Female"/>
    <x v="3"/>
    <n v="1"/>
    <n v="0"/>
    <n v="4.3"/>
    <n v="0.5"/>
    <n v="0"/>
  </r>
  <r>
    <s v="2023-06"/>
    <d v="2023-06-01T00:00:00"/>
    <x v="1"/>
    <x v="3"/>
    <x v="15"/>
    <x v="0"/>
    <x v="5"/>
    <s v="Female"/>
    <x v="2"/>
    <n v="8"/>
    <n v="0"/>
    <n v="2.6"/>
    <n v="1"/>
    <n v="0"/>
  </r>
  <r>
    <s v="2023-10"/>
    <d v="2023-10-01T00:00:00"/>
    <x v="2"/>
    <x v="2"/>
    <x v="2"/>
    <x v="5"/>
    <x v="5"/>
    <s v="Female"/>
    <x v="3"/>
    <n v="2"/>
    <n v="0"/>
    <n v="2.2999999999999998"/>
    <n v="1"/>
    <n v="0"/>
  </r>
  <r>
    <s v="2023-11"/>
    <d v="2023-11-01T00:00:00"/>
    <x v="11"/>
    <x v="3"/>
    <x v="15"/>
    <x v="1"/>
    <x v="5"/>
    <s v="Male"/>
    <x v="3"/>
    <n v="2"/>
    <n v="1"/>
    <n v="2"/>
    <n v="1"/>
    <n v="0.5"/>
  </r>
  <r>
    <s v="2023-06"/>
    <d v="2023-06-01T00:00:00"/>
    <x v="1"/>
    <x v="9"/>
    <x v="14"/>
    <x v="2"/>
    <x v="0"/>
    <s v="Female"/>
    <x v="4"/>
    <n v="5"/>
    <n v="1"/>
    <n v="2.5"/>
    <n v="0.83333333333333337"/>
    <n v="0.16666666666666666"/>
  </r>
  <r>
    <s v="2023-04"/>
    <d v="2023-04-01T00:00:00"/>
    <x v="0"/>
    <x v="5"/>
    <x v="6"/>
    <x v="4"/>
    <x v="3"/>
    <s v="Female"/>
    <x v="8"/>
    <n v="6"/>
    <n v="1"/>
    <n v="1.9"/>
    <n v="0.8571428571428571"/>
    <n v="0.14285714285714285"/>
  </r>
  <r>
    <s v="2023-02"/>
    <d v="2023-02-01T00:00:00"/>
    <x v="6"/>
    <x v="0"/>
    <x v="0"/>
    <x v="1"/>
    <x v="1"/>
    <s v="Female"/>
    <x v="7"/>
    <n v="4"/>
    <n v="0"/>
    <n v="4.0999999999999996"/>
    <n v="1"/>
    <n v="0"/>
  </r>
  <r>
    <s v="2023-01"/>
    <d v="2023-01-01T00:00:00"/>
    <x v="4"/>
    <x v="9"/>
    <x v="14"/>
    <x v="4"/>
    <x v="2"/>
    <s v="Female"/>
    <x v="4"/>
    <n v="5"/>
    <n v="0"/>
    <n v="2"/>
    <n v="0.83333333333333337"/>
    <n v="0"/>
  </r>
  <r>
    <s v="2023-12"/>
    <d v="2023-12-01T00:00:00"/>
    <x v="9"/>
    <x v="2"/>
    <x v="2"/>
    <x v="3"/>
    <x v="3"/>
    <s v="Male"/>
    <x v="2"/>
    <n v="8"/>
    <n v="2"/>
    <n v="3.4"/>
    <n v="1"/>
    <n v="0.25"/>
  </r>
  <r>
    <s v="2023-09"/>
    <d v="2023-09-01T00:00:00"/>
    <x v="10"/>
    <x v="2"/>
    <x v="19"/>
    <x v="5"/>
    <x v="5"/>
    <s v="Male"/>
    <x v="2"/>
    <n v="8"/>
    <n v="1"/>
    <n v="3.8"/>
    <n v="1"/>
    <n v="0.125"/>
  </r>
  <r>
    <s v="2023-11"/>
    <d v="2023-11-01T00:00:00"/>
    <x v="11"/>
    <x v="7"/>
    <x v="9"/>
    <x v="2"/>
    <x v="1"/>
    <s v="Female"/>
    <x v="1"/>
    <n v="3"/>
    <n v="0"/>
    <n v="3.2"/>
    <n v="1"/>
    <n v="0"/>
  </r>
  <r>
    <s v="2023-07"/>
    <d v="2023-07-01T00:00:00"/>
    <x v="8"/>
    <x v="7"/>
    <x v="9"/>
    <x v="2"/>
    <x v="5"/>
    <s v="Female"/>
    <x v="0"/>
    <n v="4"/>
    <n v="0"/>
    <n v="4.3"/>
    <n v="0.8"/>
    <n v="0"/>
  </r>
  <r>
    <s v="2023-09"/>
    <d v="2023-09-01T00:00:00"/>
    <x v="10"/>
    <x v="2"/>
    <x v="2"/>
    <x v="5"/>
    <x v="5"/>
    <s v="Female"/>
    <x v="7"/>
    <n v="4"/>
    <n v="1"/>
    <n v="4.0999999999999996"/>
    <n v="1"/>
    <n v="0.25"/>
  </r>
  <r>
    <s v="2023-04"/>
    <d v="2023-04-01T00:00:00"/>
    <x v="0"/>
    <x v="1"/>
    <x v="1"/>
    <x v="5"/>
    <x v="5"/>
    <s v="Female"/>
    <x v="0"/>
    <n v="4"/>
    <n v="0"/>
    <n v="3.6"/>
    <n v="0.8"/>
    <n v="0"/>
  </r>
  <r>
    <s v="2023-08"/>
    <d v="2023-08-01T00:00:00"/>
    <x v="3"/>
    <x v="8"/>
    <x v="18"/>
    <x v="1"/>
    <x v="1"/>
    <s v="Female"/>
    <x v="0"/>
    <n v="4"/>
    <n v="0"/>
    <n v="2.5"/>
    <n v="0.8"/>
    <n v="0"/>
  </r>
  <r>
    <s v="2023-05"/>
    <d v="2023-05-01T00:00:00"/>
    <x v="7"/>
    <x v="4"/>
    <x v="4"/>
    <x v="0"/>
    <x v="3"/>
    <s v="Male"/>
    <x v="1"/>
    <n v="2"/>
    <n v="0"/>
    <n v="1.3"/>
    <n v="0.66666666666666663"/>
    <n v="0"/>
  </r>
  <r>
    <s v="2023-09"/>
    <d v="2023-09-01T00:00:00"/>
    <x v="10"/>
    <x v="8"/>
    <x v="10"/>
    <x v="1"/>
    <x v="3"/>
    <s v="Female"/>
    <x v="0"/>
    <n v="5"/>
    <n v="0"/>
    <n v="3.3"/>
    <n v="1"/>
    <n v="0"/>
  </r>
  <r>
    <s v="2023-09"/>
    <d v="2023-09-01T00:00:00"/>
    <x v="10"/>
    <x v="9"/>
    <x v="17"/>
    <x v="0"/>
    <x v="5"/>
    <s v="Male"/>
    <x v="3"/>
    <n v="1"/>
    <n v="0"/>
    <n v="3"/>
    <n v="0.5"/>
    <n v="0"/>
  </r>
  <r>
    <s v="2023-10"/>
    <d v="2023-10-01T00:00:00"/>
    <x v="2"/>
    <x v="1"/>
    <x v="16"/>
    <x v="1"/>
    <x v="3"/>
    <s v="Female"/>
    <x v="4"/>
    <n v="6"/>
    <n v="0"/>
    <n v="2.1"/>
    <n v="1"/>
    <n v="0"/>
  </r>
  <r>
    <s v="2023-06"/>
    <d v="2023-06-01T00:00:00"/>
    <x v="1"/>
    <x v="7"/>
    <x v="9"/>
    <x v="4"/>
    <x v="2"/>
    <s v="Female"/>
    <x v="7"/>
    <n v="2"/>
    <n v="0"/>
    <n v="2"/>
    <n v="0.5"/>
    <n v="0"/>
  </r>
  <r>
    <s v="2023-02"/>
    <d v="2023-02-01T00:00:00"/>
    <x v="6"/>
    <x v="7"/>
    <x v="13"/>
    <x v="3"/>
    <x v="1"/>
    <s v="Female"/>
    <x v="7"/>
    <n v="4"/>
    <n v="1"/>
    <n v="3.8"/>
    <n v="1"/>
    <n v="0.25"/>
  </r>
  <r>
    <s v="2023-06"/>
    <d v="2023-06-01T00:00:00"/>
    <x v="1"/>
    <x v="6"/>
    <x v="8"/>
    <x v="2"/>
    <x v="0"/>
    <s v="Male"/>
    <x v="8"/>
    <n v="7"/>
    <n v="1"/>
    <n v="1.9"/>
    <n v="1"/>
    <n v="0.14285714285714285"/>
  </r>
  <r>
    <s v="2023-05"/>
    <d v="2023-05-01T00:00:00"/>
    <x v="7"/>
    <x v="9"/>
    <x v="17"/>
    <x v="1"/>
    <x v="2"/>
    <s v="Male"/>
    <x v="8"/>
    <n v="6"/>
    <n v="0"/>
    <n v="3.6"/>
    <n v="0.8571428571428571"/>
    <n v="0"/>
  </r>
  <r>
    <s v="2023-04"/>
    <d v="2023-04-01T00:00:00"/>
    <x v="0"/>
    <x v="4"/>
    <x v="11"/>
    <x v="4"/>
    <x v="5"/>
    <s v="Male"/>
    <x v="0"/>
    <n v="5"/>
    <n v="0"/>
    <n v="2.9"/>
    <n v="1"/>
    <n v="0"/>
  </r>
  <r>
    <s v="2023-12"/>
    <d v="2023-12-01T00:00:00"/>
    <x v="9"/>
    <x v="2"/>
    <x v="2"/>
    <x v="4"/>
    <x v="2"/>
    <s v="Female"/>
    <x v="0"/>
    <n v="4"/>
    <n v="0"/>
    <n v="4.7"/>
    <n v="0.8"/>
    <n v="0"/>
  </r>
  <r>
    <s v="2023-09"/>
    <d v="2023-09-01T00:00:00"/>
    <x v="10"/>
    <x v="1"/>
    <x v="1"/>
    <x v="0"/>
    <x v="5"/>
    <s v="Female"/>
    <x v="7"/>
    <n v="3"/>
    <n v="0"/>
    <n v="4.4000000000000004"/>
    <n v="0.75"/>
    <n v="0"/>
  </r>
  <r>
    <s v="2023-01"/>
    <d v="2023-01-01T00:00:00"/>
    <x v="4"/>
    <x v="2"/>
    <x v="19"/>
    <x v="0"/>
    <x v="3"/>
    <s v="Female"/>
    <x v="5"/>
    <n v="1"/>
    <n v="0"/>
    <n v="4.7"/>
    <n v="1"/>
    <n v="0"/>
  </r>
  <r>
    <s v="2023-07"/>
    <d v="2023-07-01T00:00:00"/>
    <x v="8"/>
    <x v="6"/>
    <x v="7"/>
    <x v="0"/>
    <x v="5"/>
    <s v="Male"/>
    <x v="10"/>
    <n v="8"/>
    <n v="1"/>
    <n v="2.7"/>
    <n v="0.88888888888888884"/>
    <n v="0.1111111111111111"/>
  </r>
  <r>
    <s v="2023-05"/>
    <d v="2023-05-01T00:00:00"/>
    <x v="7"/>
    <x v="0"/>
    <x v="0"/>
    <x v="4"/>
    <x v="5"/>
    <s v="Male"/>
    <x v="0"/>
    <n v="5"/>
    <n v="0"/>
    <n v="3.8"/>
    <n v="1"/>
    <n v="0"/>
  </r>
  <r>
    <s v="2023-01"/>
    <d v="2023-01-01T00:00:00"/>
    <x v="4"/>
    <x v="7"/>
    <x v="9"/>
    <x v="2"/>
    <x v="3"/>
    <s v="Male"/>
    <x v="8"/>
    <n v="6"/>
    <n v="1"/>
    <n v="2.7"/>
    <n v="0.8571428571428571"/>
    <n v="0.14285714285714285"/>
  </r>
  <r>
    <s v="2023-02"/>
    <d v="2023-02-01T00:00:00"/>
    <x v="6"/>
    <x v="2"/>
    <x v="2"/>
    <x v="1"/>
    <x v="4"/>
    <s v="Male"/>
    <x v="7"/>
    <n v="4"/>
    <n v="0"/>
    <n v="3"/>
    <n v="1"/>
    <n v="0"/>
  </r>
  <r>
    <s v="2023-01"/>
    <d v="2023-01-01T00:00:00"/>
    <x v="4"/>
    <x v="2"/>
    <x v="2"/>
    <x v="0"/>
    <x v="2"/>
    <s v="Female"/>
    <x v="0"/>
    <n v="5"/>
    <n v="0"/>
    <n v="2.2999999999999998"/>
    <n v="1"/>
    <n v="0"/>
  </r>
  <r>
    <s v="2023-04"/>
    <d v="2023-04-01T00:00:00"/>
    <x v="0"/>
    <x v="4"/>
    <x v="11"/>
    <x v="4"/>
    <x v="5"/>
    <s v="Female"/>
    <x v="7"/>
    <n v="3"/>
    <n v="0"/>
    <n v="2"/>
    <n v="0.75"/>
    <n v="0"/>
  </r>
  <r>
    <s v="2023-05"/>
    <d v="2023-05-01T00:00:00"/>
    <x v="7"/>
    <x v="0"/>
    <x v="0"/>
    <x v="4"/>
    <x v="3"/>
    <s v="Female"/>
    <x v="4"/>
    <n v="6"/>
    <n v="1"/>
    <n v="1.9"/>
    <n v="1"/>
    <n v="0.16666666666666666"/>
  </r>
  <r>
    <s v="2023-06"/>
    <d v="2023-06-01T00:00:00"/>
    <x v="1"/>
    <x v="6"/>
    <x v="7"/>
    <x v="5"/>
    <x v="5"/>
    <s v="Male"/>
    <x v="4"/>
    <n v="6"/>
    <n v="0"/>
    <n v="1.6"/>
    <n v="1"/>
    <n v="0"/>
  </r>
  <r>
    <s v="2023-07"/>
    <d v="2023-07-01T00:00:00"/>
    <x v="8"/>
    <x v="7"/>
    <x v="9"/>
    <x v="5"/>
    <x v="2"/>
    <s v="Female"/>
    <x v="10"/>
    <n v="8"/>
    <n v="0"/>
    <n v="3"/>
    <n v="0.88888888888888884"/>
    <n v="0"/>
  </r>
  <r>
    <s v="2023-04"/>
    <d v="2023-04-01T00:00:00"/>
    <x v="0"/>
    <x v="5"/>
    <x v="5"/>
    <x v="3"/>
    <x v="2"/>
    <s v="Female"/>
    <x v="3"/>
    <n v="2"/>
    <n v="0"/>
    <n v="1.8"/>
    <n v="1"/>
    <n v="0"/>
  </r>
  <r>
    <s v="2023-12"/>
    <d v="2023-12-01T00:00:00"/>
    <x v="9"/>
    <x v="0"/>
    <x v="12"/>
    <x v="2"/>
    <x v="4"/>
    <s v="Male"/>
    <x v="5"/>
    <n v="1"/>
    <n v="0"/>
    <n v="3.1"/>
    <n v="1"/>
    <n v="0"/>
  </r>
  <r>
    <s v="2023-05"/>
    <d v="2023-05-01T00:00:00"/>
    <x v="7"/>
    <x v="9"/>
    <x v="14"/>
    <x v="5"/>
    <x v="2"/>
    <s v="Female"/>
    <x v="1"/>
    <n v="3"/>
    <n v="0"/>
    <n v="1.6"/>
    <n v="1"/>
    <n v="0"/>
  </r>
  <r>
    <s v="2023-12"/>
    <d v="2023-12-01T00:00:00"/>
    <x v="9"/>
    <x v="5"/>
    <x v="6"/>
    <x v="4"/>
    <x v="2"/>
    <s v="Female"/>
    <x v="8"/>
    <n v="6"/>
    <n v="0"/>
    <n v="2.4"/>
    <n v="0.8571428571428571"/>
    <n v="0"/>
  </r>
  <r>
    <s v="2023-12"/>
    <d v="2023-12-01T00:00:00"/>
    <x v="9"/>
    <x v="7"/>
    <x v="13"/>
    <x v="5"/>
    <x v="0"/>
    <s v="Female"/>
    <x v="4"/>
    <n v="6"/>
    <n v="0"/>
    <n v="3.4"/>
    <n v="1"/>
    <n v="0"/>
  </r>
  <r>
    <s v="2023-01"/>
    <d v="2023-01-01T00:00:00"/>
    <x v="4"/>
    <x v="9"/>
    <x v="17"/>
    <x v="2"/>
    <x v="1"/>
    <s v="Female"/>
    <x v="0"/>
    <n v="5"/>
    <n v="1"/>
    <n v="2.2000000000000002"/>
    <n v="1"/>
    <n v="0.2"/>
  </r>
  <r>
    <s v="2023-06"/>
    <d v="2023-06-01T00:00:00"/>
    <x v="1"/>
    <x v="8"/>
    <x v="10"/>
    <x v="4"/>
    <x v="5"/>
    <s v="Male"/>
    <x v="0"/>
    <n v="5"/>
    <n v="0"/>
    <n v="4.2"/>
    <n v="1"/>
    <n v="0"/>
  </r>
  <r>
    <s v="2023-03"/>
    <d v="2023-03-01T00:00:00"/>
    <x v="5"/>
    <x v="9"/>
    <x v="17"/>
    <x v="0"/>
    <x v="4"/>
    <s v="Female"/>
    <x v="8"/>
    <n v="5"/>
    <n v="0"/>
    <n v="3.1"/>
    <n v="0.7142857142857143"/>
    <n v="0"/>
  </r>
  <r>
    <s v="2023-09"/>
    <d v="2023-09-01T00:00:00"/>
    <x v="10"/>
    <x v="3"/>
    <x v="15"/>
    <x v="0"/>
    <x v="0"/>
    <s v="Male"/>
    <x v="7"/>
    <n v="4"/>
    <n v="1"/>
    <n v="3.8"/>
    <n v="1"/>
    <n v="0.25"/>
  </r>
  <r>
    <s v="2023-05"/>
    <d v="2023-05-01T00:00:00"/>
    <x v="7"/>
    <x v="9"/>
    <x v="17"/>
    <x v="5"/>
    <x v="2"/>
    <s v="Male"/>
    <x v="1"/>
    <n v="3"/>
    <n v="0"/>
    <n v="0.8"/>
    <n v="1"/>
    <n v="0"/>
  </r>
  <r>
    <s v="2023-03"/>
    <d v="2023-03-01T00:00:00"/>
    <x v="5"/>
    <x v="3"/>
    <x v="15"/>
    <x v="1"/>
    <x v="0"/>
    <s v="Male"/>
    <x v="0"/>
    <n v="5"/>
    <n v="0"/>
    <n v="2.4"/>
    <n v="1"/>
    <n v="0"/>
  </r>
  <r>
    <s v="2023-11"/>
    <d v="2023-11-01T00:00:00"/>
    <x v="11"/>
    <x v="7"/>
    <x v="13"/>
    <x v="0"/>
    <x v="1"/>
    <s v="Female"/>
    <x v="1"/>
    <n v="3"/>
    <n v="0"/>
    <n v="0.8"/>
    <n v="1"/>
    <n v="0"/>
  </r>
  <r>
    <s v="2023-02"/>
    <d v="2023-02-01T00:00:00"/>
    <x v="6"/>
    <x v="5"/>
    <x v="5"/>
    <x v="4"/>
    <x v="5"/>
    <s v="Male"/>
    <x v="5"/>
    <n v="1"/>
    <n v="0"/>
    <n v="2.2999999999999998"/>
    <n v="1"/>
    <n v="0"/>
  </r>
  <r>
    <s v="2023-03"/>
    <d v="2023-03-01T00:00:00"/>
    <x v="5"/>
    <x v="0"/>
    <x v="12"/>
    <x v="2"/>
    <x v="2"/>
    <s v="Male"/>
    <x v="2"/>
    <n v="7"/>
    <n v="0"/>
    <n v="3.1"/>
    <n v="0.875"/>
    <n v="0"/>
  </r>
  <r>
    <s v="2023-07"/>
    <d v="2023-07-01T00:00:00"/>
    <x v="8"/>
    <x v="9"/>
    <x v="17"/>
    <x v="3"/>
    <x v="0"/>
    <s v="Male"/>
    <x v="9"/>
    <n v="9"/>
    <n v="1"/>
    <n v="2.2000000000000002"/>
    <n v="0.9"/>
    <n v="0.1"/>
  </r>
  <r>
    <s v="2023-01"/>
    <d v="2023-01-01T00:00:00"/>
    <x v="4"/>
    <x v="5"/>
    <x v="5"/>
    <x v="4"/>
    <x v="2"/>
    <s v="Male"/>
    <x v="7"/>
    <n v="4"/>
    <n v="0"/>
    <n v="2.2999999999999998"/>
    <n v="1"/>
    <n v="0"/>
  </r>
  <r>
    <s v="2023-02"/>
    <d v="2023-02-01T00:00:00"/>
    <x v="6"/>
    <x v="1"/>
    <x v="16"/>
    <x v="1"/>
    <x v="0"/>
    <s v="Female"/>
    <x v="4"/>
    <n v="5"/>
    <n v="0"/>
    <n v="3.2"/>
    <n v="0.83333333333333337"/>
    <n v="0"/>
  </r>
  <r>
    <s v="2023-04"/>
    <d v="2023-04-01T00:00:00"/>
    <x v="0"/>
    <x v="8"/>
    <x v="10"/>
    <x v="1"/>
    <x v="1"/>
    <s v="Female"/>
    <x v="7"/>
    <n v="4"/>
    <n v="0"/>
    <n v="3.6"/>
    <n v="1"/>
    <n v="0"/>
  </r>
  <r>
    <s v="2023-01"/>
    <d v="2023-01-01T00:00:00"/>
    <x v="4"/>
    <x v="2"/>
    <x v="19"/>
    <x v="4"/>
    <x v="1"/>
    <s v="Male"/>
    <x v="0"/>
    <n v="4"/>
    <n v="0"/>
    <n v="2.5"/>
    <n v="0.8"/>
    <n v="0"/>
  </r>
  <r>
    <s v="2023-10"/>
    <d v="2023-10-01T00:00:00"/>
    <x v="2"/>
    <x v="8"/>
    <x v="18"/>
    <x v="4"/>
    <x v="0"/>
    <s v="Female"/>
    <x v="1"/>
    <n v="3"/>
    <n v="0"/>
    <n v="2.9"/>
    <n v="1"/>
    <n v="0"/>
  </r>
  <r>
    <s v="2023-12"/>
    <d v="2023-12-01T00:00:00"/>
    <x v="9"/>
    <x v="7"/>
    <x v="9"/>
    <x v="5"/>
    <x v="5"/>
    <s v="Male"/>
    <x v="9"/>
    <n v="10"/>
    <n v="0"/>
    <n v="3.8"/>
    <n v="1"/>
    <n v="0"/>
  </r>
  <r>
    <s v="2023-11"/>
    <d v="2023-11-01T00:00:00"/>
    <x v="11"/>
    <x v="4"/>
    <x v="11"/>
    <x v="3"/>
    <x v="4"/>
    <s v="Female"/>
    <x v="7"/>
    <n v="4"/>
    <n v="0"/>
    <n v="3.6"/>
    <n v="1"/>
    <n v="0"/>
  </r>
  <r>
    <s v="2023-04"/>
    <d v="2023-04-01T00:00:00"/>
    <x v="0"/>
    <x v="1"/>
    <x v="1"/>
    <x v="3"/>
    <x v="0"/>
    <s v="Male"/>
    <x v="4"/>
    <n v="5"/>
    <n v="0"/>
    <n v="3.4"/>
    <n v="0.83333333333333337"/>
    <n v="0"/>
  </r>
  <r>
    <s v="2023-10"/>
    <d v="2023-10-01T00:00:00"/>
    <x v="2"/>
    <x v="3"/>
    <x v="3"/>
    <x v="0"/>
    <x v="4"/>
    <s v="Female"/>
    <x v="9"/>
    <n v="9"/>
    <n v="2"/>
    <n v="4.0999999999999996"/>
    <n v="0.9"/>
    <n v="0.2"/>
  </r>
  <r>
    <s v="2023-09"/>
    <d v="2023-09-01T00:00:00"/>
    <x v="10"/>
    <x v="2"/>
    <x v="19"/>
    <x v="5"/>
    <x v="3"/>
    <s v="Female"/>
    <x v="9"/>
    <n v="9"/>
    <n v="1"/>
    <n v="1.9"/>
    <n v="0.9"/>
    <n v="0.1"/>
  </r>
  <r>
    <s v="2023-06"/>
    <d v="2023-06-01T00:00:00"/>
    <x v="1"/>
    <x v="4"/>
    <x v="4"/>
    <x v="5"/>
    <x v="1"/>
    <s v="Male"/>
    <x v="8"/>
    <n v="6"/>
    <n v="0"/>
    <n v="4.5"/>
    <n v="0.8571428571428571"/>
    <n v="0"/>
  </r>
  <r>
    <s v="2023-03"/>
    <d v="2023-03-01T00:00:00"/>
    <x v="5"/>
    <x v="5"/>
    <x v="5"/>
    <x v="5"/>
    <x v="2"/>
    <s v="Male"/>
    <x v="0"/>
    <n v="5"/>
    <n v="1"/>
    <n v="4.5999999999999996"/>
    <n v="1"/>
    <n v="0.2"/>
  </r>
  <r>
    <s v="2023-09"/>
    <d v="2023-09-01T00:00:00"/>
    <x v="10"/>
    <x v="0"/>
    <x v="12"/>
    <x v="1"/>
    <x v="4"/>
    <s v="Male"/>
    <x v="8"/>
    <n v="7"/>
    <n v="1"/>
    <n v="3.9"/>
    <n v="1"/>
    <n v="0.14285714285714285"/>
  </r>
  <r>
    <s v="2023-10"/>
    <d v="2023-10-01T00:00:00"/>
    <x v="2"/>
    <x v="0"/>
    <x v="12"/>
    <x v="5"/>
    <x v="5"/>
    <s v="Female"/>
    <x v="1"/>
    <n v="3"/>
    <n v="0"/>
    <n v="3.2"/>
    <n v="1"/>
    <n v="0"/>
  </r>
  <r>
    <s v="2023-06"/>
    <d v="2023-06-01T00:00:00"/>
    <x v="1"/>
    <x v="8"/>
    <x v="18"/>
    <x v="2"/>
    <x v="1"/>
    <s v="Female"/>
    <x v="2"/>
    <n v="7"/>
    <n v="3"/>
    <n v="2.2000000000000002"/>
    <n v="0.875"/>
    <n v="0.375"/>
  </r>
  <r>
    <s v="2023-10"/>
    <d v="2023-10-01T00:00:00"/>
    <x v="2"/>
    <x v="4"/>
    <x v="4"/>
    <x v="3"/>
    <x v="1"/>
    <s v="Female"/>
    <x v="0"/>
    <n v="5"/>
    <n v="0"/>
    <n v="3.3"/>
    <n v="1"/>
    <n v="0"/>
  </r>
  <r>
    <s v="2023-09"/>
    <d v="2023-09-01T00:00:00"/>
    <x v="10"/>
    <x v="1"/>
    <x v="1"/>
    <x v="0"/>
    <x v="1"/>
    <s v="Female"/>
    <x v="1"/>
    <n v="3"/>
    <n v="0"/>
    <n v="3.3"/>
    <n v="1"/>
    <n v="0"/>
  </r>
  <r>
    <s v="2023-04"/>
    <d v="2023-04-01T00:00:00"/>
    <x v="0"/>
    <x v="0"/>
    <x v="12"/>
    <x v="3"/>
    <x v="5"/>
    <s v="Female"/>
    <x v="1"/>
    <n v="3"/>
    <n v="1"/>
    <n v="1.3"/>
    <n v="1"/>
    <n v="0.33333333333333331"/>
  </r>
  <r>
    <s v="2023-03"/>
    <d v="2023-03-01T00:00:00"/>
    <x v="5"/>
    <x v="8"/>
    <x v="10"/>
    <x v="4"/>
    <x v="1"/>
    <s v="Male"/>
    <x v="7"/>
    <n v="4"/>
    <n v="0"/>
    <n v="2.5"/>
    <n v="1"/>
    <n v="0"/>
  </r>
  <r>
    <s v="2023-03"/>
    <d v="2023-03-01T00:00:00"/>
    <x v="5"/>
    <x v="8"/>
    <x v="18"/>
    <x v="2"/>
    <x v="2"/>
    <s v="Female"/>
    <x v="7"/>
    <n v="4"/>
    <n v="1"/>
    <n v="1.1000000000000001"/>
    <n v="1"/>
    <n v="0.25"/>
  </r>
  <r>
    <s v="2023-02"/>
    <d v="2023-02-01T00:00:00"/>
    <x v="6"/>
    <x v="4"/>
    <x v="4"/>
    <x v="2"/>
    <x v="4"/>
    <s v="Male"/>
    <x v="0"/>
    <n v="4"/>
    <n v="0"/>
    <n v="2.8"/>
    <n v="0.8"/>
    <n v="0"/>
  </r>
  <r>
    <s v="2023-03"/>
    <d v="2023-03-01T00:00:00"/>
    <x v="5"/>
    <x v="0"/>
    <x v="12"/>
    <x v="5"/>
    <x v="5"/>
    <s v="Female"/>
    <x v="1"/>
    <n v="2"/>
    <n v="0"/>
    <n v="1.8"/>
    <n v="0.66666666666666663"/>
    <n v="0"/>
  </r>
  <r>
    <s v="2023-09"/>
    <d v="2023-09-01T00:00:00"/>
    <x v="10"/>
    <x v="5"/>
    <x v="5"/>
    <x v="5"/>
    <x v="1"/>
    <s v="Male"/>
    <x v="6"/>
    <n v="10"/>
    <n v="1"/>
    <n v="0.7"/>
    <n v="0.90909090909090906"/>
    <n v="9.0909090909090912E-2"/>
  </r>
  <r>
    <s v="2023-01"/>
    <d v="2023-01-01T00:00:00"/>
    <x v="4"/>
    <x v="8"/>
    <x v="10"/>
    <x v="2"/>
    <x v="0"/>
    <s v="Male"/>
    <x v="8"/>
    <n v="6"/>
    <n v="0"/>
    <n v="3.3"/>
    <n v="0.8571428571428571"/>
    <n v="0"/>
  </r>
  <r>
    <s v="2023-03"/>
    <d v="2023-03-01T00:00:00"/>
    <x v="5"/>
    <x v="8"/>
    <x v="10"/>
    <x v="0"/>
    <x v="1"/>
    <s v="Male"/>
    <x v="4"/>
    <n v="6"/>
    <n v="0"/>
    <n v="1.7"/>
    <n v="1"/>
    <n v="0"/>
  </r>
  <r>
    <s v="2023-12"/>
    <d v="2023-12-01T00:00:00"/>
    <x v="9"/>
    <x v="9"/>
    <x v="17"/>
    <x v="3"/>
    <x v="2"/>
    <s v="Female"/>
    <x v="1"/>
    <n v="2"/>
    <n v="0"/>
    <n v="1.9"/>
    <n v="0.66666666666666663"/>
    <n v="0"/>
  </r>
  <r>
    <s v="2023-03"/>
    <d v="2023-03-01T00:00:00"/>
    <x v="5"/>
    <x v="5"/>
    <x v="5"/>
    <x v="5"/>
    <x v="1"/>
    <s v="Male"/>
    <x v="7"/>
    <n v="3"/>
    <n v="0"/>
    <n v="3.2"/>
    <n v="0.75"/>
    <n v="0"/>
  </r>
  <r>
    <s v="2023-03"/>
    <d v="2023-03-01T00:00:00"/>
    <x v="5"/>
    <x v="5"/>
    <x v="5"/>
    <x v="2"/>
    <x v="0"/>
    <s v="Male"/>
    <x v="1"/>
    <n v="2"/>
    <n v="0"/>
    <n v="3.3"/>
    <n v="0.66666666666666663"/>
    <n v="0"/>
  </r>
  <r>
    <s v="2023-12"/>
    <d v="2023-12-01T00:00:00"/>
    <x v="9"/>
    <x v="3"/>
    <x v="15"/>
    <x v="3"/>
    <x v="4"/>
    <s v="Female"/>
    <x v="0"/>
    <n v="5"/>
    <n v="1"/>
    <n v="3.4"/>
    <n v="1"/>
    <n v="0.2"/>
  </r>
  <r>
    <s v="2023-03"/>
    <d v="2023-03-01T00:00:00"/>
    <x v="5"/>
    <x v="8"/>
    <x v="10"/>
    <x v="4"/>
    <x v="4"/>
    <s v="Male"/>
    <x v="3"/>
    <n v="2"/>
    <n v="1"/>
    <n v="0.8"/>
    <n v="1"/>
    <n v="0.5"/>
  </r>
  <r>
    <s v="2023-10"/>
    <d v="2023-10-01T00:00:00"/>
    <x v="2"/>
    <x v="1"/>
    <x v="1"/>
    <x v="2"/>
    <x v="4"/>
    <s v="Male"/>
    <x v="8"/>
    <n v="6"/>
    <n v="0"/>
    <n v="0.9"/>
    <n v="0.8571428571428571"/>
    <n v="0"/>
  </r>
  <r>
    <s v="2023-08"/>
    <d v="2023-08-01T00:00:00"/>
    <x v="3"/>
    <x v="7"/>
    <x v="9"/>
    <x v="1"/>
    <x v="4"/>
    <s v="Female"/>
    <x v="5"/>
    <n v="1"/>
    <n v="0"/>
    <n v="3.8"/>
    <n v="1"/>
    <n v="0"/>
  </r>
  <r>
    <s v="2023-11"/>
    <d v="2023-11-01T00:00:00"/>
    <x v="11"/>
    <x v="6"/>
    <x v="8"/>
    <x v="5"/>
    <x v="2"/>
    <s v="Female"/>
    <x v="1"/>
    <n v="3"/>
    <n v="0"/>
    <n v="3.2"/>
    <n v="1"/>
    <n v="0"/>
  </r>
  <r>
    <s v="2023-07"/>
    <d v="2023-07-01T00:00:00"/>
    <x v="8"/>
    <x v="8"/>
    <x v="10"/>
    <x v="3"/>
    <x v="1"/>
    <s v="Female"/>
    <x v="3"/>
    <n v="2"/>
    <n v="0"/>
    <n v="3.2"/>
    <n v="1"/>
    <n v="0"/>
  </r>
  <r>
    <s v="2023-05"/>
    <d v="2023-05-01T00:00:00"/>
    <x v="7"/>
    <x v="9"/>
    <x v="17"/>
    <x v="0"/>
    <x v="2"/>
    <s v="Female"/>
    <x v="7"/>
    <n v="3"/>
    <n v="0"/>
    <n v="2.1"/>
    <n v="0.75"/>
    <n v="0"/>
  </r>
  <r>
    <s v="2023-11"/>
    <d v="2023-11-01T00:00:00"/>
    <x v="11"/>
    <x v="4"/>
    <x v="11"/>
    <x v="4"/>
    <x v="1"/>
    <s v="Female"/>
    <x v="4"/>
    <n v="6"/>
    <n v="1"/>
    <n v="4.5"/>
    <n v="1"/>
    <n v="0.16666666666666666"/>
  </r>
  <r>
    <s v="2023-01"/>
    <d v="2023-01-01T00:00:00"/>
    <x v="4"/>
    <x v="5"/>
    <x v="6"/>
    <x v="0"/>
    <x v="1"/>
    <s v="Female"/>
    <x v="3"/>
    <n v="1"/>
    <n v="0"/>
    <n v="3.1"/>
    <n v="0.5"/>
    <n v="0"/>
  </r>
  <r>
    <s v="2023-01"/>
    <d v="2023-01-01T00:00:00"/>
    <x v="4"/>
    <x v="9"/>
    <x v="14"/>
    <x v="3"/>
    <x v="2"/>
    <s v="Male"/>
    <x v="10"/>
    <n v="9"/>
    <n v="2"/>
    <n v="3.9"/>
    <n v="1"/>
    <n v="0.22222222222222221"/>
  </r>
  <r>
    <s v="2023-09"/>
    <d v="2023-09-01T00:00:00"/>
    <x v="10"/>
    <x v="1"/>
    <x v="16"/>
    <x v="0"/>
    <x v="2"/>
    <s v="Female"/>
    <x v="7"/>
    <n v="4"/>
    <n v="0"/>
    <n v="4.5"/>
    <n v="1"/>
    <n v="0"/>
  </r>
  <r>
    <s v="2023-02"/>
    <d v="2023-02-01T00:00:00"/>
    <x v="6"/>
    <x v="5"/>
    <x v="5"/>
    <x v="0"/>
    <x v="2"/>
    <s v="Male"/>
    <x v="0"/>
    <n v="5"/>
    <n v="0"/>
    <n v="1.9"/>
    <n v="1"/>
    <n v="0"/>
  </r>
  <r>
    <s v="2023-12"/>
    <d v="2023-12-01T00:00:00"/>
    <x v="9"/>
    <x v="5"/>
    <x v="6"/>
    <x v="4"/>
    <x v="5"/>
    <s v="Male"/>
    <x v="2"/>
    <n v="6"/>
    <n v="1"/>
    <n v="3.3"/>
    <n v="0.75"/>
    <n v="0.125"/>
  </r>
  <r>
    <s v="2023-04"/>
    <d v="2023-04-01T00:00:00"/>
    <x v="0"/>
    <x v="7"/>
    <x v="13"/>
    <x v="5"/>
    <x v="5"/>
    <s v="Female"/>
    <x v="3"/>
    <n v="2"/>
    <n v="0"/>
    <n v="1.3"/>
    <n v="1"/>
    <n v="0"/>
  </r>
  <r>
    <s v="2023-10"/>
    <d v="2023-10-01T00:00:00"/>
    <x v="2"/>
    <x v="2"/>
    <x v="19"/>
    <x v="5"/>
    <x v="5"/>
    <s v="Female"/>
    <x v="8"/>
    <n v="7"/>
    <n v="0"/>
    <n v="1.4"/>
    <n v="1"/>
    <n v="0"/>
  </r>
  <r>
    <s v="2023-11"/>
    <d v="2023-11-01T00:00:00"/>
    <x v="11"/>
    <x v="9"/>
    <x v="14"/>
    <x v="5"/>
    <x v="5"/>
    <s v="Male"/>
    <x v="0"/>
    <n v="5"/>
    <n v="0"/>
    <n v="1.8"/>
    <n v="1"/>
    <n v="0"/>
  </r>
  <r>
    <s v="2023-06"/>
    <d v="2023-06-01T00:00:00"/>
    <x v="1"/>
    <x v="4"/>
    <x v="4"/>
    <x v="0"/>
    <x v="3"/>
    <s v="Female"/>
    <x v="2"/>
    <n v="7"/>
    <n v="1"/>
    <n v="2.8"/>
    <n v="0.875"/>
    <n v="0.125"/>
  </r>
  <r>
    <s v="2023-11"/>
    <d v="2023-11-01T00:00:00"/>
    <x v="11"/>
    <x v="6"/>
    <x v="7"/>
    <x v="4"/>
    <x v="2"/>
    <s v="Female"/>
    <x v="3"/>
    <n v="1"/>
    <n v="0"/>
    <n v="3.2"/>
    <n v="0.5"/>
    <n v="0"/>
  </r>
  <r>
    <s v="2023-02"/>
    <d v="2023-02-01T00:00:00"/>
    <x v="6"/>
    <x v="1"/>
    <x v="1"/>
    <x v="0"/>
    <x v="2"/>
    <s v="Female"/>
    <x v="7"/>
    <n v="4"/>
    <n v="0"/>
    <n v="2.1"/>
    <n v="1"/>
    <n v="0"/>
  </r>
  <r>
    <s v="2023-06"/>
    <d v="2023-06-01T00:00:00"/>
    <x v="1"/>
    <x v="6"/>
    <x v="8"/>
    <x v="3"/>
    <x v="4"/>
    <s v="Female"/>
    <x v="1"/>
    <n v="3"/>
    <n v="0"/>
    <n v="3.3"/>
    <n v="1"/>
    <n v="0"/>
  </r>
  <r>
    <s v="2023-01"/>
    <d v="2023-01-01T00:00:00"/>
    <x v="4"/>
    <x v="2"/>
    <x v="2"/>
    <x v="5"/>
    <x v="2"/>
    <s v="Male"/>
    <x v="4"/>
    <n v="6"/>
    <n v="0"/>
    <n v="2.8"/>
    <n v="1"/>
    <n v="0"/>
  </r>
  <r>
    <s v="2023-11"/>
    <d v="2023-11-01T00:00:00"/>
    <x v="11"/>
    <x v="1"/>
    <x v="1"/>
    <x v="5"/>
    <x v="4"/>
    <s v="Female"/>
    <x v="0"/>
    <n v="4"/>
    <n v="1"/>
    <n v="0.8"/>
    <n v="0.8"/>
    <n v="0.2"/>
  </r>
  <r>
    <s v="2023-04"/>
    <d v="2023-04-01T00:00:00"/>
    <x v="0"/>
    <x v="9"/>
    <x v="14"/>
    <x v="2"/>
    <x v="4"/>
    <s v="Female"/>
    <x v="7"/>
    <n v="4"/>
    <n v="0"/>
    <n v="2.7"/>
    <n v="1"/>
    <n v="0"/>
  </r>
  <r>
    <s v="2023-06"/>
    <d v="2023-06-01T00:00:00"/>
    <x v="1"/>
    <x v="5"/>
    <x v="5"/>
    <x v="1"/>
    <x v="1"/>
    <s v="Male"/>
    <x v="8"/>
    <n v="5"/>
    <n v="0"/>
    <n v="3.2"/>
    <n v="0.7142857142857143"/>
    <n v="0"/>
  </r>
  <r>
    <s v="2023-06"/>
    <d v="2023-06-01T00:00:00"/>
    <x v="1"/>
    <x v="7"/>
    <x v="13"/>
    <x v="4"/>
    <x v="3"/>
    <s v="Female"/>
    <x v="1"/>
    <n v="3"/>
    <n v="0"/>
    <n v="3.4"/>
    <n v="1"/>
    <n v="0"/>
  </r>
  <r>
    <s v="2023-03"/>
    <d v="2023-03-01T00:00:00"/>
    <x v="5"/>
    <x v="6"/>
    <x v="7"/>
    <x v="2"/>
    <x v="1"/>
    <s v="Female"/>
    <x v="0"/>
    <n v="4"/>
    <n v="1"/>
    <n v="2.4"/>
    <n v="0.8"/>
    <n v="0.2"/>
  </r>
  <r>
    <s v="2023-10"/>
    <d v="2023-10-01T00:00:00"/>
    <x v="2"/>
    <x v="7"/>
    <x v="13"/>
    <x v="0"/>
    <x v="0"/>
    <s v="Male"/>
    <x v="8"/>
    <n v="7"/>
    <n v="0"/>
    <n v="3.2"/>
    <n v="1"/>
    <n v="0"/>
  </r>
  <r>
    <s v="2023-12"/>
    <d v="2023-12-01T00:00:00"/>
    <x v="9"/>
    <x v="8"/>
    <x v="18"/>
    <x v="0"/>
    <x v="1"/>
    <s v="Female"/>
    <x v="7"/>
    <n v="4"/>
    <n v="0"/>
    <n v="1.8"/>
    <n v="1"/>
    <n v="0"/>
  </r>
  <r>
    <s v="2023-05"/>
    <d v="2023-05-01T00:00:00"/>
    <x v="7"/>
    <x v="9"/>
    <x v="14"/>
    <x v="5"/>
    <x v="2"/>
    <s v="Male"/>
    <x v="10"/>
    <n v="8"/>
    <n v="0"/>
    <n v="2.7"/>
    <n v="0.88888888888888884"/>
    <n v="0"/>
  </r>
  <r>
    <s v="2023-10"/>
    <d v="2023-10-01T00:00:00"/>
    <x v="2"/>
    <x v="4"/>
    <x v="4"/>
    <x v="5"/>
    <x v="4"/>
    <s v="Male"/>
    <x v="8"/>
    <n v="6"/>
    <n v="0"/>
    <n v="2.8"/>
    <n v="0.8571428571428571"/>
    <n v="0"/>
  </r>
  <r>
    <s v="2023-04"/>
    <d v="2023-04-01T00:00:00"/>
    <x v="0"/>
    <x v="5"/>
    <x v="5"/>
    <x v="4"/>
    <x v="1"/>
    <s v="Male"/>
    <x v="4"/>
    <n v="5"/>
    <n v="0"/>
    <n v="4.2"/>
    <n v="0.83333333333333337"/>
    <n v="0"/>
  </r>
  <r>
    <s v="2023-02"/>
    <d v="2023-02-01T00:00:00"/>
    <x v="6"/>
    <x v="2"/>
    <x v="2"/>
    <x v="0"/>
    <x v="5"/>
    <s v="Female"/>
    <x v="3"/>
    <n v="1"/>
    <n v="1"/>
    <n v="4.5"/>
    <n v="0.5"/>
    <n v="0.5"/>
  </r>
  <r>
    <s v="2023-01"/>
    <d v="2023-01-01T00:00:00"/>
    <x v="4"/>
    <x v="6"/>
    <x v="8"/>
    <x v="3"/>
    <x v="3"/>
    <s v="Male"/>
    <x v="2"/>
    <n v="7"/>
    <n v="0"/>
    <n v="2.2999999999999998"/>
    <n v="0.875"/>
    <n v="0"/>
  </r>
  <r>
    <s v="2023-02"/>
    <d v="2023-02-01T00:00:00"/>
    <x v="6"/>
    <x v="7"/>
    <x v="13"/>
    <x v="0"/>
    <x v="5"/>
    <s v="Female"/>
    <x v="0"/>
    <n v="5"/>
    <n v="0"/>
    <n v="1.8"/>
    <n v="1"/>
    <n v="0"/>
  </r>
  <r>
    <s v="2023-05"/>
    <d v="2023-05-01T00:00:00"/>
    <x v="7"/>
    <x v="4"/>
    <x v="11"/>
    <x v="1"/>
    <x v="4"/>
    <s v="Male"/>
    <x v="7"/>
    <n v="4"/>
    <n v="0"/>
    <n v="2.7"/>
    <n v="1"/>
    <n v="0"/>
  </r>
  <r>
    <s v="2023-07"/>
    <d v="2023-07-01T00:00:00"/>
    <x v="8"/>
    <x v="2"/>
    <x v="2"/>
    <x v="0"/>
    <x v="1"/>
    <s v="Male"/>
    <x v="3"/>
    <n v="2"/>
    <n v="0"/>
    <n v="3.5"/>
    <n v="1"/>
    <n v="0"/>
  </r>
  <r>
    <s v="2023-03"/>
    <d v="2023-03-01T00:00:00"/>
    <x v="5"/>
    <x v="9"/>
    <x v="17"/>
    <x v="0"/>
    <x v="2"/>
    <s v="Male"/>
    <x v="1"/>
    <n v="3"/>
    <n v="0"/>
    <n v="2.6"/>
    <n v="1"/>
    <n v="0"/>
  </r>
  <r>
    <s v="2023-02"/>
    <d v="2023-02-01T00:00:00"/>
    <x v="6"/>
    <x v="7"/>
    <x v="9"/>
    <x v="3"/>
    <x v="1"/>
    <s v="Female"/>
    <x v="3"/>
    <n v="2"/>
    <n v="0"/>
    <n v="3.1"/>
    <n v="1"/>
    <n v="0"/>
  </r>
  <r>
    <s v="2023-09"/>
    <d v="2023-09-01T00:00:00"/>
    <x v="10"/>
    <x v="5"/>
    <x v="6"/>
    <x v="1"/>
    <x v="5"/>
    <s v="Female"/>
    <x v="8"/>
    <n v="6"/>
    <n v="0"/>
    <n v="2.5"/>
    <n v="0.8571428571428571"/>
    <n v="0"/>
  </r>
  <r>
    <s v="2023-02"/>
    <d v="2023-02-01T00:00:00"/>
    <x v="6"/>
    <x v="9"/>
    <x v="17"/>
    <x v="3"/>
    <x v="3"/>
    <s v="Female"/>
    <x v="8"/>
    <n v="7"/>
    <n v="0"/>
    <n v="3.7"/>
    <n v="1"/>
    <n v="0"/>
  </r>
  <r>
    <s v="2023-02"/>
    <d v="2023-02-01T00:00:00"/>
    <x v="6"/>
    <x v="5"/>
    <x v="6"/>
    <x v="2"/>
    <x v="4"/>
    <s v="Male"/>
    <x v="1"/>
    <n v="3"/>
    <n v="0"/>
    <n v="2.2000000000000002"/>
    <n v="1"/>
    <n v="0"/>
  </r>
  <r>
    <s v="2023-03"/>
    <d v="2023-03-01T00:00:00"/>
    <x v="5"/>
    <x v="3"/>
    <x v="15"/>
    <x v="4"/>
    <x v="2"/>
    <s v="Female"/>
    <x v="0"/>
    <n v="5"/>
    <n v="0"/>
    <n v="4.7"/>
    <n v="1"/>
    <n v="0"/>
  </r>
  <r>
    <s v="2023-10"/>
    <d v="2023-10-01T00:00:00"/>
    <x v="2"/>
    <x v="1"/>
    <x v="1"/>
    <x v="3"/>
    <x v="4"/>
    <s v="Male"/>
    <x v="5"/>
    <n v="1"/>
    <n v="0"/>
    <n v="2.1"/>
    <n v="1"/>
    <n v="0"/>
  </r>
  <r>
    <s v="2023-02"/>
    <d v="2023-02-01T00:00:00"/>
    <x v="6"/>
    <x v="8"/>
    <x v="10"/>
    <x v="3"/>
    <x v="5"/>
    <s v="Female"/>
    <x v="4"/>
    <n v="6"/>
    <n v="0"/>
    <n v="4"/>
    <n v="1"/>
    <n v="0"/>
  </r>
  <r>
    <s v="2023-04"/>
    <d v="2023-04-01T00:00:00"/>
    <x v="0"/>
    <x v="6"/>
    <x v="8"/>
    <x v="2"/>
    <x v="2"/>
    <s v="Male"/>
    <x v="4"/>
    <n v="6"/>
    <n v="0"/>
    <n v="3.5"/>
    <n v="1"/>
    <n v="0"/>
  </r>
  <r>
    <s v="2023-10"/>
    <d v="2023-10-01T00:00:00"/>
    <x v="2"/>
    <x v="9"/>
    <x v="17"/>
    <x v="3"/>
    <x v="1"/>
    <s v="Female"/>
    <x v="10"/>
    <n v="8"/>
    <n v="0"/>
    <n v="1.2"/>
    <n v="0.88888888888888884"/>
    <n v="0"/>
  </r>
  <r>
    <s v="2023-03"/>
    <d v="2023-03-01T00:00:00"/>
    <x v="5"/>
    <x v="6"/>
    <x v="8"/>
    <x v="2"/>
    <x v="0"/>
    <s v="Female"/>
    <x v="2"/>
    <n v="6"/>
    <n v="0"/>
    <n v="2.2000000000000002"/>
    <n v="0.75"/>
    <n v="0"/>
  </r>
  <r>
    <s v="2023-05"/>
    <d v="2023-05-01T00:00:00"/>
    <x v="7"/>
    <x v="8"/>
    <x v="18"/>
    <x v="2"/>
    <x v="5"/>
    <s v="Male"/>
    <x v="8"/>
    <n v="7"/>
    <n v="2"/>
    <n v="3.9"/>
    <n v="1"/>
    <n v="0.2857142857142857"/>
  </r>
  <r>
    <s v="2023-05"/>
    <d v="2023-05-01T00:00:00"/>
    <x v="7"/>
    <x v="1"/>
    <x v="1"/>
    <x v="4"/>
    <x v="3"/>
    <s v="Male"/>
    <x v="8"/>
    <n v="6"/>
    <n v="0"/>
    <n v="3.5"/>
    <n v="0.8571428571428571"/>
    <n v="0"/>
  </r>
  <r>
    <s v="2023-03"/>
    <d v="2023-03-01T00:00:00"/>
    <x v="5"/>
    <x v="8"/>
    <x v="18"/>
    <x v="0"/>
    <x v="5"/>
    <s v="Male"/>
    <x v="0"/>
    <n v="5"/>
    <n v="0"/>
    <n v="2.2000000000000002"/>
    <n v="1"/>
    <n v="0"/>
  </r>
  <r>
    <s v="2023-01"/>
    <d v="2023-01-01T00:00:00"/>
    <x v="4"/>
    <x v="0"/>
    <x v="12"/>
    <x v="1"/>
    <x v="4"/>
    <s v="Female"/>
    <x v="7"/>
    <n v="4"/>
    <n v="0"/>
    <n v="4.2"/>
    <n v="1"/>
    <n v="0"/>
  </r>
  <r>
    <s v="2023-06"/>
    <d v="2023-06-01T00:00:00"/>
    <x v="1"/>
    <x v="8"/>
    <x v="10"/>
    <x v="2"/>
    <x v="2"/>
    <s v="Female"/>
    <x v="1"/>
    <n v="3"/>
    <n v="0"/>
    <n v="3.2"/>
    <n v="1"/>
    <n v="0"/>
  </r>
  <r>
    <s v="2023-03"/>
    <d v="2023-03-01T00:00:00"/>
    <x v="5"/>
    <x v="3"/>
    <x v="3"/>
    <x v="2"/>
    <x v="2"/>
    <s v="Female"/>
    <x v="0"/>
    <n v="5"/>
    <n v="0"/>
    <n v="3.1"/>
    <n v="1"/>
    <n v="0"/>
  </r>
  <r>
    <s v="2023-07"/>
    <d v="2023-07-01T00:00:00"/>
    <x v="8"/>
    <x v="4"/>
    <x v="4"/>
    <x v="2"/>
    <x v="3"/>
    <s v="Female"/>
    <x v="0"/>
    <n v="5"/>
    <n v="0"/>
    <n v="3.1"/>
    <n v="1"/>
    <n v="0"/>
  </r>
  <r>
    <s v="2023-08"/>
    <d v="2023-08-01T00:00:00"/>
    <x v="3"/>
    <x v="7"/>
    <x v="9"/>
    <x v="1"/>
    <x v="2"/>
    <s v="Male"/>
    <x v="7"/>
    <n v="4"/>
    <n v="0"/>
    <n v="3.2"/>
    <n v="1"/>
    <n v="0"/>
  </r>
  <r>
    <s v="2023-01"/>
    <d v="2023-01-01T00:00:00"/>
    <x v="4"/>
    <x v="3"/>
    <x v="3"/>
    <x v="3"/>
    <x v="2"/>
    <s v="Male"/>
    <x v="1"/>
    <n v="3"/>
    <n v="0"/>
    <n v="3.7"/>
    <n v="1"/>
    <n v="0"/>
  </r>
  <r>
    <s v="2023-10"/>
    <d v="2023-10-01T00:00:00"/>
    <x v="2"/>
    <x v="5"/>
    <x v="5"/>
    <x v="1"/>
    <x v="2"/>
    <s v="Female"/>
    <x v="3"/>
    <n v="1"/>
    <n v="1"/>
    <n v="4.9000000000000004"/>
    <n v="0.5"/>
    <n v="0.5"/>
  </r>
  <r>
    <s v="2023-10"/>
    <d v="2023-10-01T00:00:00"/>
    <x v="2"/>
    <x v="4"/>
    <x v="11"/>
    <x v="2"/>
    <x v="3"/>
    <s v="Female"/>
    <x v="0"/>
    <n v="5"/>
    <n v="0"/>
    <n v="1.7"/>
    <n v="1"/>
    <n v="0"/>
  </r>
  <r>
    <s v="2023-02"/>
    <d v="2023-02-01T00:00:00"/>
    <x v="6"/>
    <x v="0"/>
    <x v="0"/>
    <x v="2"/>
    <x v="5"/>
    <s v="Female"/>
    <x v="3"/>
    <n v="1"/>
    <n v="0"/>
    <n v="2.2000000000000002"/>
    <n v="0.5"/>
    <n v="0"/>
  </r>
  <r>
    <s v="2023-11"/>
    <d v="2023-11-01T00:00:00"/>
    <x v="11"/>
    <x v="7"/>
    <x v="13"/>
    <x v="0"/>
    <x v="3"/>
    <s v="Female"/>
    <x v="7"/>
    <n v="4"/>
    <n v="0"/>
    <n v="2.7"/>
    <n v="1"/>
    <n v="0"/>
  </r>
  <r>
    <s v="2023-09"/>
    <d v="2023-09-01T00:00:00"/>
    <x v="10"/>
    <x v="4"/>
    <x v="11"/>
    <x v="0"/>
    <x v="3"/>
    <s v="Male"/>
    <x v="7"/>
    <n v="3"/>
    <n v="2"/>
    <n v="2.4"/>
    <n v="0.75"/>
    <n v="0.5"/>
  </r>
  <r>
    <s v="2023-07"/>
    <d v="2023-07-01T00:00:00"/>
    <x v="8"/>
    <x v="4"/>
    <x v="4"/>
    <x v="0"/>
    <x v="0"/>
    <s v="Female"/>
    <x v="8"/>
    <n v="7"/>
    <n v="0"/>
    <n v="3.2"/>
    <n v="1"/>
    <n v="0"/>
  </r>
  <r>
    <s v="2023-09"/>
    <d v="2023-09-01T00:00:00"/>
    <x v="10"/>
    <x v="0"/>
    <x v="12"/>
    <x v="0"/>
    <x v="2"/>
    <s v="Female"/>
    <x v="2"/>
    <n v="8"/>
    <n v="0"/>
    <n v="2"/>
    <n v="1"/>
    <n v="0"/>
  </r>
  <r>
    <s v="2023-08"/>
    <d v="2023-08-01T00:00:00"/>
    <x v="3"/>
    <x v="4"/>
    <x v="11"/>
    <x v="2"/>
    <x v="3"/>
    <s v="Male"/>
    <x v="0"/>
    <n v="5"/>
    <n v="0"/>
    <n v="2.1"/>
    <n v="1"/>
    <n v="0"/>
  </r>
  <r>
    <s v="2023-01"/>
    <d v="2023-01-01T00:00:00"/>
    <x v="4"/>
    <x v="5"/>
    <x v="5"/>
    <x v="1"/>
    <x v="1"/>
    <s v="Male"/>
    <x v="5"/>
    <n v="1"/>
    <n v="0"/>
    <n v="3.1"/>
    <n v="1"/>
    <n v="0"/>
  </r>
  <r>
    <s v="2023-07"/>
    <d v="2023-07-01T00:00:00"/>
    <x v="8"/>
    <x v="0"/>
    <x v="0"/>
    <x v="1"/>
    <x v="1"/>
    <s v="Male"/>
    <x v="1"/>
    <n v="3"/>
    <n v="0"/>
    <n v="2.2000000000000002"/>
    <n v="1"/>
    <n v="0"/>
  </r>
  <r>
    <s v="2023-04"/>
    <d v="2023-04-01T00:00:00"/>
    <x v="0"/>
    <x v="4"/>
    <x v="4"/>
    <x v="2"/>
    <x v="1"/>
    <s v="Male"/>
    <x v="2"/>
    <n v="7"/>
    <n v="0"/>
    <n v="1.9"/>
    <n v="0.875"/>
    <n v="0"/>
  </r>
  <r>
    <s v="2023-01"/>
    <d v="2023-01-01T00:00:00"/>
    <x v="4"/>
    <x v="7"/>
    <x v="9"/>
    <x v="4"/>
    <x v="2"/>
    <s v="Female"/>
    <x v="1"/>
    <n v="3"/>
    <n v="0"/>
    <n v="2"/>
    <n v="1"/>
    <n v="0"/>
  </r>
  <r>
    <s v="2023-07"/>
    <d v="2023-07-01T00:00:00"/>
    <x v="8"/>
    <x v="9"/>
    <x v="17"/>
    <x v="4"/>
    <x v="3"/>
    <s v="Male"/>
    <x v="8"/>
    <n v="6"/>
    <n v="2"/>
    <n v="4.2"/>
    <n v="0.8571428571428571"/>
    <n v="0.2857142857142857"/>
  </r>
  <r>
    <s v="2023-02"/>
    <d v="2023-02-01T00:00:00"/>
    <x v="6"/>
    <x v="6"/>
    <x v="8"/>
    <x v="3"/>
    <x v="4"/>
    <s v="Female"/>
    <x v="1"/>
    <n v="3"/>
    <n v="0"/>
    <n v="1.8"/>
    <n v="1"/>
    <n v="0"/>
  </r>
  <r>
    <s v="2023-07"/>
    <d v="2023-07-01T00:00:00"/>
    <x v="8"/>
    <x v="7"/>
    <x v="13"/>
    <x v="4"/>
    <x v="5"/>
    <s v="Male"/>
    <x v="0"/>
    <n v="4"/>
    <n v="0"/>
    <n v="1.3"/>
    <n v="0.8"/>
    <n v="0"/>
  </r>
  <r>
    <s v="2023-08"/>
    <d v="2023-08-01T00:00:00"/>
    <x v="3"/>
    <x v="4"/>
    <x v="11"/>
    <x v="4"/>
    <x v="1"/>
    <s v="Female"/>
    <x v="2"/>
    <n v="8"/>
    <n v="0"/>
    <n v="1.9"/>
    <n v="1"/>
    <n v="0"/>
  </r>
  <r>
    <s v="2023-11"/>
    <d v="2023-11-01T00:00:00"/>
    <x v="11"/>
    <x v="8"/>
    <x v="10"/>
    <x v="1"/>
    <x v="5"/>
    <s v="Female"/>
    <x v="1"/>
    <n v="3"/>
    <n v="1"/>
    <n v="2.6"/>
    <n v="1"/>
    <n v="0.33333333333333331"/>
  </r>
  <r>
    <s v="2023-06"/>
    <d v="2023-06-01T00:00:00"/>
    <x v="1"/>
    <x v="8"/>
    <x v="10"/>
    <x v="4"/>
    <x v="5"/>
    <s v="Male"/>
    <x v="0"/>
    <n v="4"/>
    <n v="0"/>
    <n v="2.2000000000000002"/>
    <n v="0.8"/>
    <n v="0"/>
  </r>
  <r>
    <s v="2023-09"/>
    <d v="2023-09-01T00:00:00"/>
    <x v="10"/>
    <x v="8"/>
    <x v="18"/>
    <x v="1"/>
    <x v="5"/>
    <s v="Female"/>
    <x v="1"/>
    <n v="2"/>
    <n v="0"/>
    <n v="2.6"/>
    <n v="0.66666666666666663"/>
    <n v="0"/>
  </r>
  <r>
    <s v="2023-10"/>
    <d v="2023-10-01T00:00:00"/>
    <x v="2"/>
    <x v="4"/>
    <x v="4"/>
    <x v="4"/>
    <x v="1"/>
    <s v="Female"/>
    <x v="8"/>
    <n v="5"/>
    <n v="0"/>
    <n v="3.6"/>
    <n v="0.7142857142857143"/>
    <n v="0"/>
  </r>
  <r>
    <s v="2023-01"/>
    <d v="2023-01-01T00:00:00"/>
    <x v="4"/>
    <x v="9"/>
    <x v="14"/>
    <x v="0"/>
    <x v="3"/>
    <s v="Male"/>
    <x v="1"/>
    <n v="2"/>
    <n v="0"/>
    <n v="2.2000000000000002"/>
    <n v="0.66666666666666663"/>
    <n v="0"/>
  </r>
  <r>
    <s v="2023-10"/>
    <d v="2023-10-01T00:00:00"/>
    <x v="2"/>
    <x v="7"/>
    <x v="9"/>
    <x v="2"/>
    <x v="2"/>
    <s v="Male"/>
    <x v="0"/>
    <n v="4"/>
    <n v="0"/>
    <n v="2.8"/>
    <n v="0.8"/>
    <n v="0"/>
  </r>
  <r>
    <s v="2023-02"/>
    <d v="2023-02-01T00:00:00"/>
    <x v="6"/>
    <x v="5"/>
    <x v="5"/>
    <x v="2"/>
    <x v="2"/>
    <s v="Male"/>
    <x v="0"/>
    <n v="5"/>
    <n v="0"/>
    <n v="1.9"/>
    <n v="1"/>
    <n v="0"/>
  </r>
  <r>
    <s v="2023-05"/>
    <d v="2023-05-01T00:00:00"/>
    <x v="7"/>
    <x v="5"/>
    <x v="6"/>
    <x v="1"/>
    <x v="4"/>
    <s v="Female"/>
    <x v="0"/>
    <n v="5"/>
    <n v="1"/>
    <n v="4.2"/>
    <n v="1"/>
    <n v="0.2"/>
  </r>
  <r>
    <s v="2023-03"/>
    <d v="2023-03-01T00:00:00"/>
    <x v="5"/>
    <x v="9"/>
    <x v="14"/>
    <x v="0"/>
    <x v="3"/>
    <s v="Female"/>
    <x v="8"/>
    <n v="7"/>
    <n v="0"/>
    <n v="3.6"/>
    <n v="1"/>
    <n v="0"/>
  </r>
  <r>
    <s v="2023-12"/>
    <d v="2023-12-01T00:00:00"/>
    <x v="9"/>
    <x v="0"/>
    <x v="12"/>
    <x v="1"/>
    <x v="1"/>
    <s v="Female"/>
    <x v="0"/>
    <n v="5"/>
    <n v="0"/>
    <n v="2.5"/>
    <n v="1"/>
    <n v="0"/>
  </r>
  <r>
    <s v="2023-05"/>
    <d v="2023-05-01T00:00:00"/>
    <x v="7"/>
    <x v="5"/>
    <x v="5"/>
    <x v="4"/>
    <x v="3"/>
    <s v="Male"/>
    <x v="1"/>
    <n v="3"/>
    <n v="0"/>
    <n v="2.5"/>
    <n v="1"/>
    <n v="0"/>
  </r>
  <r>
    <s v="2023-02"/>
    <d v="2023-02-01T00:00:00"/>
    <x v="6"/>
    <x v="5"/>
    <x v="5"/>
    <x v="0"/>
    <x v="2"/>
    <s v="Female"/>
    <x v="1"/>
    <n v="3"/>
    <n v="0"/>
    <n v="4"/>
    <n v="1"/>
    <n v="0"/>
  </r>
  <r>
    <s v="2023-02"/>
    <d v="2023-02-01T00:00:00"/>
    <x v="6"/>
    <x v="9"/>
    <x v="14"/>
    <x v="3"/>
    <x v="5"/>
    <s v="Female"/>
    <x v="1"/>
    <n v="3"/>
    <n v="0"/>
    <n v="3.2"/>
    <n v="1"/>
    <n v="0"/>
  </r>
  <r>
    <s v="2023-05"/>
    <d v="2023-05-01T00:00:00"/>
    <x v="7"/>
    <x v="1"/>
    <x v="1"/>
    <x v="3"/>
    <x v="5"/>
    <s v="Female"/>
    <x v="0"/>
    <n v="5"/>
    <n v="0"/>
    <n v="1.4"/>
    <n v="1"/>
    <n v="0"/>
  </r>
  <r>
    <s v="2023-08"/>
    <d v="2023-08-01T00:00:00"/>
    <x v="3"/>
    <x v="8"/>
    <x v="10"/>
    <x v="0"/>
    <x v="2"/>
    <s v="Male"/>
    <x v="8"/>
    <n v="7"/>
    <n v="0"/>
    <n v="3.1"/>
    <n v="1"/>
    <n v="0"/>
  </r>
  <r>
    <s v="2023-08"/>
    <d v="2023-08-01T00:00:00"/>
    <x v="3"/>
    <x v="8"/>
    <x v="10"/>
    <x v="1"/>
    <x v="4"/>
    <s v="Female"/>
    <x v="7"/>
    <n v="4"/>
    <n v="0"/>
    <n v="4.5"/>
    <n v="1"/>
    <n v="0"/>
  </r>
  <r>
    <s v="2023-11"/>
    <d v="2023-11-01T00:00:00"/>
    <x v="11"/>
    <x v="5"/>
    <x v="5"/>
    <x v="1"/>
    <x v="5"/>
    <s v="Female"/>
    <x v="1"/>
    <n v="3"/>
    <n v="0"/>
    <n v="3.7"/>
    <n v="1"/>
    <n v="0"/>
  </r>
  <r>
    <s v="2023-06"/>
    <d v="2023-06-01T00:00:00"/>
    <x v="1"/>
    <x v="8"/>
    <x v="18"/>
    <x v="3"/>
    <x v="4"/>
    <s v="Female"/>
    <x v="0"/>
    <n v="5"/>
    <n v="1"/>
    <n v="3"/>
    <n v="1"/>
    <n v="0.2"/>
  </r>
  <r>
    <s v="2023-05"/>
    <d v="2023-05-01T00:00:00"/>
    <x v="7"/>
    <x v="7"/>
    <x v="9"/>
    <x v="3"/>
    <x v="0"/>
    <s v="Male"/>
    <x v="7"/>
    <n v="3"/>
    <n v="0"/>
    <n v="3.1"/>
    <n v="0.75"/>
    <n v="0"/>
  </r>
  <r>
    <s v="2023-09"/>
    <d v="2023-09-01T00:00:00"/>
    <x v="10"/>
    <x v="2"/>
    <x v="19"/>
    <x v="0"/>
    <x v="1"/>
    <s v="Female"/>
    <x v="4"/>
    <n v="5"/>
    <n v="0"/>
    <n v="4.3"/>
    <n v="0.83333333333333337"/>
    <n v="0"/>
  </r>
  <r>
    <s v="2023-11"/>
    <d v="2023-11-01T00:00:00"/>
    <x v="11"/>
    <x v="0"/>
    <x v="12"/>
    <x v="5"/>
    <x v="0"/>
    <s v="Female"/>
    <x v="4"/>
    <n v="6"/>
    <n v="1"/>
    <n v="0.8"/>
    <n v="1"/>
    <n v="0.16666666666666666"/>
  </r>
  <r>
    <s v="2023-03"/>
    <d v="2023-03-01T00:00:00"/>
    <x v="5"/>
    <x v="8"/>
    <x v="10"/>
    <x v="0"/>
    <x v="5"/>
    <s v="Female"/>
    <x v="2"/>
    <n v="7"/>
    <n v="0"/>
    <n v="2.9"/>
    <n v="0.875"/>
    <n v="0"/>
  </r>
  <r>
    <s v="2023-12"/>
    <d v="2023-12-01T00:00:00"/>
    <x v="9"/>
    <x v="7"/>
    <x v="9"/>
    <x v="4"/>
    <x v="2"/>
    <s v="Male"/>
    <x v="7"/>
    <n v="4"/>
    <n v="0"/>
    <n v="1.8"/>
    <n v="1"/>
    <n v="0"/>
  </r>
  <r>
    <s v="2023-03"/>
    <d v="2023-03-01T00:00:00"/>
    <x v="5"/>
    <x v="2"/>
    <x v="19"/>
    <x v="5"/>
    <x v="4"/>
    <s v="Female"/>
    <x v="2"/>
    <n v="8"/>
    <n v="0"/>
    <n v="3.3"/>
    <n v="1"/>
    <n v="0"/>
  </r>
  <r>
    <s v="2023-11"/>
    <d v="2023-11-01T00:00:00"/>
    <x v="11"/>
    <x v="1"/>
    <x v="1"/>
    <x v="2"/>
    <x v="1"/>
    <s v="Male"/>
    <x v="5"/>
    <n v="1"/>
    <n v="0"/>
    <n v="5.5"/>
    <n v="1"/>
    <n v="0"/>
  </r>
  <r>
    <s v="2023-08"/>
    <d v="2023-08-01T00:00:00"/>
    <x v="3"/>
    <x v="1"/>
    <x v="1"/>
    <x v="4"/>
    <x v="0"/>
    <s v="Female"/>
    <x v="7"/>
    <n v="4"/>
    <n v="0"/>
    <n v="3.9"/>
    <n v="1"/>
    <n v="0"/>
  </r>
  <r>
    <s v="2023-10"/>
    <d v="2023-10-01T00:00:00"/>
    <x v="2"/>
    <x v="4"/>
    <x v="11"/>
    <x v="5"/>
    <x v="2"/>
    <s v="Male"/>
    <x v="7"/>
    <n v="3"/>
    <n v="0"/>
    <n v="5.0999999999999996"/>
    <n v="0.75"/>
    <n v="0"/>
  </r>
  <r>
    <s v="2023-07"/>
    <d v="2023-07-01T00:00:00"/>
    <x v="8"/>
    <x v="9"/>
    <x v="14"/>
    <x v="0"/>
    <x v="2"/>
    <s v="Female"/>
    <x v="2"/>
    <n v="8"/>
    <n v="0"/>
    <n v="3.5"/>
    <n v="1"/>
    <n v="0"/>
  </r>
  <r>
    <s v="2023-02"/>
    <d v="2023-02-01T00:00:00"/>
    <x v="6"/>
    <x v="0"/>
    <x v="12"/>
    <x v="5"/>
    <x v="1"/>
    <s v="Male"/>
    <x v="7"/>
    <n v="4"/>
    <n v="0"/>
    <n v="1.2"/>
    <n v="1"/>
    <n v="0"/>
  </r>
  <r>
    <s v="2023-01"/>
    <d v="2023-01-01T00:00:00"/>
    <x v="4"/>
    <x v="5"/>
    <x v="5"/>
    <x v="4"/>
    <x v="1"/>
    <s v="Female"/>
    <x v="7"/>
    <n v="4"/>
    <n v="0"/>
    <n v="2.9"/>
    <n v="1"/>
    <n v="0"/>
  </r>
  <r>
    <s v="2023-11"/>
    <d v="2023-11-01T00:00:00"/>
    <x v="11"/>
    <x v="3"/>
    <x v="15"/>
    <x v="3"/>
    <x v="1"/>
    <s v="Male"/>
    <x v="2"/>
    <n v="8"/>
    <n v="1"/>
    <n v="4"/>
    <n v="1"/>
    <n v="0.125"/>
  </r>
  <r>
    <s v="2023-05"/>
    <d v="2023-05-01T00:00:00"/>
    <x v="7"/>
    <x v="3"/>
    <x v="3"/>
    <x v="1"/>
    <x v="2"/>
    <s v="Male"/>
    <x v="1"/>
    <n v="3"/>
    <n v="0"/>
    <n v="3.8"/>
    <n v="1"/>
    <n v="0"/>
  </r>
  <r>
    <s v="2023-04"/>
    <d v="2023-04-01T00:00:00"/>
    <x v="0"/>
    <x v="4"/>
    <x v="11"/>
    <x v="0"/>
    <x v="0"/>
    <s v="Male"/>
    <x v="8"/>
    <n v="6"/>
    <n v="1"/>
    <n v="2.2000000000000002"/>
    <n v="0.8571428571428571"/>
    <n v="0.14285714285714285"/>
  </r>
  <r>
    <s v="2023-04"/>
    <d v="2023-04-01T00:00:00"/>
    <x v="0"/>
    <x v="8"/>
    <x v="18"/>
    <x v="5"/>
    <x v="0"/>
    <s v="Male"/>
    <x v="8"/>
    <n v="6"/>
    <n v="0"/>
    <n v="4.9000000000000004"/>
    <n v="0.8571428571428571"/>
    <n v="0"/>
  </r>
  <r>
    <s v="2023-11"/>
    <d v="2023-11-01T00:00:00"/>
    <x v="11"/>
    <x v="1"/>
    <x v="16"/>
    <x v="2"/>
    <x v="4"/>
    <s v="Male"/>
    <x v="7"/>
    <n v="3"/>
    <n v="1"/>
    <n v="2.1"/>
    <n v="0.75"/>
    <n v="0.25"/>
  </r>
  <r>
    <s v="2023-12"/>
    <d v="2023-12-01T00:00:00"/>
    <x v="9"/>
    <x v="9"/>
    <x v="17"/>
    <x v="4"/>
    <x v="5"/>
    <s v="Female"/>
    <x v="8"/>
    <n v="7"/>
    <n v="0"/>
    <n v="2.7"/>
    <n v="1"/>
    <n v="0"/>
  </r>
  <r>
    <s v="2023-04"/>
    <d v="2023-04-01T00:00:00"/>
    <x v="0"/>
    <x v="6"/>
    <x v="7"/>
    <x v="4"/>
    <x v="1"/>
    <s v="Male"/>
    <x v="8"/>
    <n v="6"/>
    <n v="1"/>
    <n v="2.5"/>
    <n v="0.8571428571428571"/>
    <n v="0.14285714285714285"/>
  </r>
  <r>
    <s v="2023-02"/>
    <d v="2023-02-01T00:00:00"/>
    <x v="6"/>
    <x v="4"/>
    <x v="11"/>
    <x v="1"/>
    <x v="0"/>
    <s v="Male"/>
    <x v="0"/>
    <n v="5"/>
    <n v="1"/>
    <n v="2.9"/>
    <n v="1"/>
    <n v="0.2"/>
  </r>
  <r>
    <s v="2023-12"/>
    <d v="2023-12-01T00:00:00"/>
    <x v="9"/>
    <x v="9"/>
    <x v="17"/>
    <x v="3"/>
    <x v="1"/>
    <s v="Male"/>
    <x v="10"/>
    <n v="9"/>
    <n v="1"/>
    <n v="3.3"/>
    <n v="1"/>
    <n v="0.1111111111111111"/>
  </r>
  <r>
    <s v="2023-04"/>
    <d v="2023-04-01T00:00:00"/>
    <x v="0"/>
    <x v="9"/>
    <x v="17"/>
    <x v="0"/>
    <x v="4"/>
    <s v="Female"/>
    <x v="3"/>
    <n v="2"/>
    <n v="0"/>
    <n v="1.9"/>
    <n v="1"/>
    <n v="0"/>
  </r>
  <r>
    <s v="2023-01"/>
    <d v="2023-01-01T00:00:00"/>
    <x v="4"/>
    <x v="8"/>
    <x v="18"/>
    <x v="3"/>
    <x v="2"/>
    <s v="Female"/>
    <x v="2"/>
    <n v="7"/>
    <n v="0"/>
    <n v="2.6"/>
    <n v="0.875"/>
    <n v="0"/>
  </r>
  <r>
    <s v="2023-05"/>
    <d v="2023-05-01T00:00:00"/>
    <x v="7"/>
    <x v="8"/>
    <x v="10"/>
    <x v="5"/>
    <x v="1"/>
    <s v="Female"/>
    <x v="8"/>
    <n v="5"/>
    <n v="0"/>
    <n v="3.1"/>
    <n v="0.7142857142857143"/>
    <n v="0"/>
  </r>
  <r>
    <s v="2023-03"/>
    <d v="2023-03-01T00:00:00"/>
    <x v="5"/>
    <x v="0"/>
    <x v="12"/>
    <x v="4"/>
    <x v="5"/>
    <s v="Female"/>
    <x v="4"/>
    <n v="6"/>
    <n v="0"/>
    <n v="3.2"/>
    <n v="1"/>
    <n v="0"/>
  </r>
  <r>
    <s v="2023-09"/>
    <d v="2023-09-01T00:00:00"/>
    <x v="10"/>
    <x v="3"/>
    <x v="3"/>
    <x v="3"/>
    <x v="2"/>
    <s v="Male"/>
    <x v="4"/>
    <n v="5"/>
    <n v="0"/>
    <n v="1.9"/>
    <n v="0.83333333333333337"/>
    <n v="0"/>
  </r>
  <r>
    <s v="2023-12"/>
    <d v="2023-12-01T00:00:00"/>
    <x v="9"/>
    <x v="3"/>
    <x v="15"/>
    <x v="2"/>
    <x v="0"/>
    <s v="Female"/>
    <x v="0"/>
    <n v="5"/>
    <n v="1"/>
    <n v="3"/>
    <n v="1"/>
    <n v="0.2"/>
  </r>
  <r>
    <s v="2023-03"/>
    <d v="2023-03-01T00:00:00"/>
    <x v="5"/>
    <x v="4"/>
    <x v="4"/>
    <x v="4"/>
    <x v="0"/>
    <s v="Female"/>
    <x v="0"/>
    <n v="4"/>
    <n v="0"/>
    <n v="3.9"/>
    <n v="0.8"/>
    <n v="0"/>
  </r>
  <r>
    <s v="2023-01"/>
    <d v="2023-01-01T00:00:00"/>
    <x v="4"/>
    <x v="0"/>
    <x v="0"/>
    <x v="5"/>
    <x v="2"/>
    <s v="Female"/>
    <x v="0"/>
    <n v="5"/>
    <n v="0"/>
    <n v="1.3"/>
    <n v="1"/>
    <n v="0"/>
  </r>
  <r>
    <s v="2023-12"/>
    <d v="2023-12-01T00:00:00"/>
    <x v="9"/>
    <x v="6"/>
    <x v="8"/>
    <x v="0"/>
    <x v="4"/>
    <s v="Male"/>
    <x v="12"/>
    <n v="0"/>
    <n v="0"/>
    <n v="2.2999999999999998"/>
    <n v="0"/>
    <n v="0"/>
  </r>
  <r>
    <s v="2023-08"/>
    <d v="2023-08-01T00:00:00"/>
    <x v="3"/>
    <x v="8"/>
    <x v="10"/>
    <x v="0"/>
    <x v="5"/>
    <s v="Male"/>
    <x v="3"/>
    <n v="1"/>
    <n v="0"/>
    <n v="3.5"/>
    <n v="0.5"/>
    <n v="0"/>
  </r>
  <r>
    <s v="2023-06"/>
    <d v="2023-06-01T00:00:00"/>
    <x v="1"/>
    <x v="3"/>
    <x v="3"/>
    <x v="5"/>
    <x v="2"/>
    <s v="Female"/>
    <x v="7"/>
    <n v="3"/>
    <n v="0"/>
    <n v="4.3"/>
    <n v="0.75"/>
    <n v="0"/>
  </r>
  <r>
    <s v="2023-01"/>
    <d v="2023-01-01T00:00:00"/>
    <x v="4"/>
    <x v="4"/>
    <x v="11"/>
    <x v="2"/>
    <x v="0"/>
    <s v="Male"/>
    <x v="4"/>
    <n v="5"/>
    <n v="0"/>
    <n v="2.6"/>
    <n v="0.83333333333333337"/>
    <n v="0"/>
  </r>
  <r>
    <s v="2023-11"/>
    <d v="2023-11-01T00:00:00"/>
    <x v="11"/>
    <x v="3"/>
    <x v="3"/>
    <x v="0"/>
    <x v="0"/>
    <s v="Female"/>
    <x v="2"/>
    <n v="7"/>
    <n v="0"/>
    <n v="3.7"/>
    <n v="0.875"/>
    <n v="0"/>
  </r>
  <r>
    <s v="2023-02"/>
    <d v="2023-02-01T00:00:00"/>
    <x v="6"/>
    <x v="1"/>
    <x v="1"/>
    <x v="4"/>
    <x v="5"/>
    <s v="Male"/>
    <x v="3"/>
    <n v="2"/>
    <n v="0"/>
    <n v="2.4"/>
    <n v="1"/>
    <n v="0"/>
  </r>
  <r>
    <s v="2023-03"/>
    <d v="2023-03-01T00:00:00"/>
    <x v="5"/>
    <x v="2"/>
    <x v="2"/>
    <x v="4"/>
    <x v="2"/>
    <s v="Female"/>
    <x v="3"/>
    <n v="2"/>
    <n v="0"/>
    <n v="1.2"/>
    <n v="1"/>
    <n v="0"/>
  </r>
  <r>
    <s v="2023-04"/>
    <d v="2023-04-01T00:00:00"/>
    <x v="0"/>
    <x v="4"/>
    <x v="11"/>
    <x v="2"/>
    <x v="4"/>
    <s v="Male"/>
    <x v="4"/>
    <n v="6"/>
    <n v="0"/>
    <n v="1.8"/>
    <n v="1"/>
    <n v="0"/>
  </r>
  <r>
    <s v="2023-11"/>
    <d v="2023-11-01T00:00:00"/>
    <x v="11"/>
    <x v="0"/>
    <x v="12"/>
    <x v="2"/>
    <x v="0"/>
    <s v="Male"/>
    <x v="1"/>
    <n v="3"/>
    <n v="0"/>
    <n v="3.5"/>
    <n v="1"/>
    <n v="0"/>
  </r>
  <r>
    <s v="2023-04"/>
    <d v="2023-04-01T00:00:00"/>
    <x v="0"/>
    <x v="1"/>
    <x v="16"/>
    <x v="2"/>
    <x v="3"/>
    <s v="Male"/>
    <x v="0"/>
    <n v="4"/>
    <n v="0"/>
    <n v="2.5"/>
    <n v="0.8"/>
    <n v="0"/>
  </r>
  <r>
    <s v="2023-09"/>
    <d v="2023-09-01T00:00:00"/>
    <x v="10"/>
    <x v="6"/>
    <x v="7"/>
    <x v="3"/>
    <x v="1"/>
    <s v="Female"/>
    <x v="2"/>
    <n v="8"/>
    <n v="0"/>
    <n v="1.8"/>
    <n v="1"/>
    <n v="0"/>
  </r>
  <r>
    <s v="2023-05"/>
    <d v="2023-05-01T00:00:00"/>
    <x v="7"/>
    <x v="2"/>
    <x v="2"/>
    <x v="2"/>
    <x v="0"/>
    <s v="Female"/>
    <x v="8"/>
    <n v="6"/>
    <n v="0"/>
    <n v="3.2"/>
    <n v="0.8571428571428571"/>
    <n v="0"/>
  </r>
  <r>
    <s v="2023-10"/>
    <d v="2023-10-01T00:00:00"/>
    <x v="2"/>
    <x v="6"/>
    <x v="8"/>
    <x v="1"/>
    <x v="3"/>
    <s v="Female"/>
    <x v="3"/>
    <n v="2"/>
    <n v="1"/>
    <n v="2.9"/>
    <n v="1"/>
    <n v="0.5"/>
  </r>
  <r>
    <s v="2023-09"/>
    <d v="2023-09-01T00:00:00"/>
    <x v="10"/>
    <x v="8"/>
    <x v="10"/>
    <x v="2"/>
    <x v="0"/>
    <s v="Female"/>
    <x v="3"/>
    <n v="1"/>
    <n v="0"/>
    <n v="3.4"/>
    <n v="0.5"/>
    <n v="0"/>
  </r>
  <r>
    <s v="2023-12"/>
    <d v="2023-12-01T00:00:00"/>
    <x v="9"/>
    <x v="1"/>
    <x v="1"/>
    <x v="2"/>
    <x v="0"/>
    <s v="Female"/>
    <x v="4"/>
    <n v="6"/>
    <n v="0"/>
    <n v="3.3"/>
    <n v="1"/>
    <n v="0"/>
  </r>
  <r>
    <s v="2023-02"/>
    <d v="2023-02-01T00:00:00"/>
    <x v="6"/>
    <x v="0"/>
    <x v="12"/>
    <x v="4"/>
    <x v="2"/>
    <s v="Female"/>
    <x v="1"/>
    <n v="3"/>
    <n v="0"/>
    <n v="3.9"/>
    <n v="1"/>
    <n v="0"/>
  </r>
  <r>
    <s v="2023-09"/>
    <d v="2023-09-01T00:00:00"/>
    <x v="10"/>
    <x v="4"/>
    <x v="4"/>
    <x v="5"/>
    <x v="4"/>
    <s v="Male"/>
    <x v="7"/>
    <n v="4"/>
    <n v="0"/>
    <n v="4"/>
    <n v="1"/>
    <n v="0"/>
  </r>
  <r>
    <s v="2023-07"/>
    <d v="2023-07-01T00:00:00"/>
    <x v="8"/>
    <x v="3"/>
    <x v="15"/>
    <x v="0"/>
    <x v="2"/>
    <s v="Male"/>
    <x v="8"/>
    <n v="7"/>
    <n v="1"/>
    <n v="1.6"/>
    <n v="1"/>
    <n v="0.14285714285714285"/>
  </r>
  <r>
    <s v="2023-01"/>
    <d v="2023-01-01T00:00:00"/>
    <x v="4"/>
    <x v="7"/>
    <x v="13"/>
    <x v="2"/>
    <x v="0"/>
    <s v="Male"/>
    <x v="3"/>
    <n v="2"/>
    <n v="0"/>
    <n v="3.1"/>
    <n v="1"/>
    <n v="0"/>
  </r>
  <r>
    <s v="2023-08"/>
    <d v="2023-08-01T00:00:00"/>
    <x v="3"/>
    <x v="6"/>
    <x v="7"/>
    <x v="5"/>
    <x v="5"/>
    <s v="Female"/>
    <x v="1"/>
    <n v="3"/>
    <n v="0"/>
    <n v="2.4"/>
    <n v="1"/>
    <n v="0"/>
  </r>
  <r>
    <s v="2023-07"/>
    <d v="2023-07-01T00:00:00"/>
    <x v="8"/>
    <x v="5"/>
    <x v="6"/>
    <x v="1"/>
    <x v="1"/>
    <s v="Female"/>
    <x v="5"/>
    <n v="1"/>
    <n v="0"/>
    <n v="3.5"/>
    <n v="1"/>
    <n v="0"/>
  </r>
  <r>
    <s v="2023-11"/>
    <d v="2023-11-01T00:00:00"/>
    <x v="11"/>
    <x v="4"/>
    <x v="11"/>
    <x v="3"/>
    <x v="5"/>
    <s v="Male"/>
    <x v="4"/>
    <n v="5"/>
    <n v="0"/>
    <n v="2.8"/>
    <n v="0.83333333333333337"/>
    <n v="0"/>
  </r>
  <r>
    <s v="2023-03"/>
    <d v="2023-03-01T00:00:00"/>
    <x v="5"/>
    <x v="0"/>
    <x v="0"/>
    <x v="5"/>
    <x v="0"/>
    <s v="Female"/>
    <x v="0"/>
    <n v="3"/>
    <n v="0"/>
    <n v="4"/>
    <n v="0.6"/>
    <n v="0"/>
  </r>
  <r>
    <s v="2023-03"/>
    <d v="2023-03-01T00:00:00"/>
    <x v="5"/>
    <x v="3"/>
    <x v="15"/>
    <x v="5"/>
    <x v="4"/>
    <s v="Female"/>
    <x v="3"/>
    <n v="2"/>
    <n v="0"/>
    <n v="3.2"/>
    <n v="1"/>
    <n v="0"/>
  </r>
  <r>
    <s v="2023-05"/>
    <d v="2023-05-01T00:00:00"/>
    <x v="7"/>
    <x v="3"/>
    <x v="15"/>
    <x v="3"/>
    <x v="1"/>
    <s v="Male"/>
    <x v="2"/>
    <n v="7"/>
    <n v="1"/>
    <n v="2.2000000000000002"/>
    <n v="0.875"/>
    <n v="0.125"/>
  </r>
  <r>
    <s v="2023-09"/>
    <d v="2023-09-01T00:00:00"/>
    <x v="10"/>
    <x v="2"/>
    <x v="19"/>
    <x v="1"/>
    <x v="5"/>
    <s v="Male"/>
    <x v="10"/>
    <n v="8"/>
    <n v="1"/>
    <n v="1.1000000000000001"/>
    <n v="0.88888888888888884"/>
    <n v="0.1111111111111111"/>
  </r>
  <r>
    <s v="2023-05"/>
    <d v="2023-05-01T00:00:00"/>
    <x v="7"/>
    <x v="5"/>
    <x v="6"/>
    <x v="2"/>
    <x v="5"/>
    <s v="Female"/>
    <x v="4"/>
    <n v="6"/>
    <n v="0"/>
    <n v="2.9"/>
    <n v="1"/>
    <n v="0"/>
  </r>
  <r>
    <s v="2023-07"/>
    <d v="2023-07-01T00:00:00"/>
    <x v="8"/>
    <x v="6"/>
    <x v="8"/>
    <x v="4"/>
    <x v="1"/>
    <s v="Male"/>
    <x v="10"/>
    <n v="8"/>
    <n v="0"/>
    <n v="4.7"/>
    <n v="0.88888888888888884"/>
    <n v="0"/>
  </r>
  <r>
    <s v="2023-09"/>
    <d v="2023-09-01T00:00:00"/>
    <x v="10"/>
    <x v="7"/>
    <x v="13"/>
    <x v="4"/>
    <x v="4"/>
    <s v="Female"/>
    <x v="5"/>
    <n v="1"/>
    <n v="1"/>
    <n v="3.8"/>
    <n v="1"/>
    <n v="1"/>
  </r>
  <r>
    <s v="2023-10"/>
    <d v="2023-10-01T00:00:00"/>
    <x v="2"/>
    <x v="8"/>
    <x v="18"/>
    <x v="4"/>
    <x v="2"/>
    <s v="Male"/>
    <x v="10"/>
    <n v="8"/>
    <n v="0"/>
    <n v="1.8"/>
    <n v="0.88888888888888884"/>
    <n v="0"/>
  </r>
  <r>
    <s v="2023-06"/>
    <d v="2023-06-01T00:00:00"/>
    <x v="1"/>
    <x v="6"/>
    <x v="7"/>
    <x v="3"/>
    <x v="3"/>
    <s v="Male"/>
    <x v="0"/>
    <n v="5"/>
    <n v="1"/>
    <n v="3.9"/>
    <n v="1"/>
    <n v="0.2"/>
  </r>
  <r>
    <s v="2023-11"/>
    <d v="2023-11-01T00:00:00"/>
    <x v="11"/>
    <x v="8"/>
    <x v="18"/>
    <x v="1"/>
    <x v="2"/>
    <s v="Female"/>
    <x v="7"/>
    <n v="4"/>
    <n v="0"/>
    <n v="2.6"/>
    <n v="1"/>
    <n v="0"/>
  </r>
  <r>
    <s v="2023-08"/>
    <d v="2023-08-01T00:00:00"/>
    <x v="3"/>
    <x v="7"/>
    <x v="9"/>
    <x v="2"/>
    <x v="4"/>
    <s v="Female"/>
    <x v="7"/>
    <n v="4"/>
    <n v="0"/>
    <n v="3.4"/>
    <n v="1"/>
    <n v="0"/>
  </r>
  <r>
    <s v="2023-02"/>
    <d v="2023-02-01T00:00:00"/>
    <x v="6"/>
    <x v="3"/>
    <x v="3"/>
    <x v="3"/>
    <x v="5"/>
    <s v="Male"/>
    <x v="4"/>
    <n v="5"/>
    <n v="0"/>
    <n v="3.9"/>
    <n v="0.83333333333333337"/>
    <n v="0"/>
  </r>
  <r>
    <s v="2023-02"/>
    <d v="2023-02-01T00:00:00"/>
    <x v="6"/>
    <x v="9"/>
    <x v="17"/>
    <x v="0"/>
    <x v="1"/>
    <s v="Female"/>
    <x v="0"/>
    <n v="4"/>
    <n v="1"/>
    <n v="3.4"/>
    <n v="0.8"/>
    <n v="0.2"/>
  </r>
  <r>
    <s v="2023-10"/>
    <d v="2023-10-01T00:00:00"/>
    <x v="2"/>
    <x v="0"/>
    <x v="12"/>
    <x v="2"/>
    <x v="4"/>
    <s v="Female"/>
    <x v="8"/>
    <n v="7"/>
    <n v="0"/>
    <n v="3.2"/>
    <n v="1"/>
    <n v="0"/>
  </r>
  <r>
    <s v="2023-03"/>
    <d v="2023-03-01T00:00:00"/>
    <x v="5"/>
    <x v="7"/>
    <x v="9"/>
    <x v="5"/>
    <x v="5"/>
    <s v="Male"/>
    <x v="1"/>
    <n v="3"/>
    <n v="0"/>
    <n v="1.3"/>
    <n v="1"/>
    <n v="0"/>
  </r>
  <r>
    <s v="2023-09"/>
    <d v="2023-09-01T00:00:00"/>
    <x v="10"/>
    <x v="2"/>
    <x v="2"/>
    <x v="5"/>
    <x v="3"/>
    <s v="Male"/>
    <x v="8"/>
    <n v="7"/>
    <n v="0"/>
    <n v="2.5"/>
    <n v="1"/>
    <n v="0"/>
  </r>
  <r>
    <s v="2023-06"/>
    <d v="2023-06-01T00:00:00"/>
    <x v="1"/>
    <x v="4"/>
    <x v="11"/>
    <x v="3"/>
    <x v="1"/>
    <s v="Female"/>
    <x v="3"/>
    <n v="2"/>
    <n v="0"/>
    <n v="5.4"/>
    <n v="1"/>
    <n v="0"/>
  </r>
  <r>
    <s v="2023-06"/>
    <d v="2023-06-01T00:00:00"/>
    <x v="1"/>
    <x v="2"/>
    <x v="19"/>
    <x v="0"/>
    <x v="0"/>
    <s v="Male"/>
    <x v="1"/>
    <n v="3"/>
    <n v="0"/>
    <n v="3.4"/>
    <n v="1"/>
    <n v="0"/>
  </r>
  <r>
    <s v="2023-10"/>
    <d v="2023-10-01T00:00:00"/>
    <x v="2"/>
    <x v="1"/>
    <x v="1"/>
    <x v="2"/>
    <x v="0"/>
    <s v="Male"/>
    <x v="7"/>
    <n v="4"/>
    <n v="0"/>
    <n v="2.9"/>
    <n v="1"/>
    <n v="0"/>
  </r>
  <r>
    <s v="2023-11"/>
    <d v="2023-11-01T00:00:00"/>
    <x v="11"/>
    <x v="0"/>
    <x v="12"/>
    <x v="3"/>
    <x v="5"/>
    <s v="Male"/>
    <x v="1"/>
    <n v="3"/>
    <n v="0"/>
    <n v="2.4"/>
    <n v="1"/>
    <n v="0"/>
  </r>
  <r>
    <s v="2023-11"/>
    <d v="2023-11-01T00:00:00"/>
    <x v="11"/>
    <x v="8"/>
    <x v="18"/>
    <x v="5"/>
    <x v="0"/>
    <s v="Male"/>
    <x v="1"/>
    <n v="3"/>
    <n v="0"/>
    <n v="4.5999999999999996"/>
    <n v="1"/>
    <n v="0"/>
  </r>
  <r>
    <s v="2023-02"/>
    <d v="2023-02-01T00:00:00"/>
    <x v="6"/>
    <x v="6"/>
    <x v="7"/>
    <x v="3"/>
    <x v="1"/>
    <s v="Male"/>
    <x v="4"/>
    <n v="4"/>
    <n v="0"/>
    <n v="3.8"/>
    <n v="0.66666666666666663"/>
    <n v="0"/>
  </r>
  <r>
    <s v="2023-10"/>
    <d v="2023-10-01T00:00:00"/>
    <x v="2"/>
    <x v="2"/>
    <x v="2"/>
    <x v="5"/>
    <x v="1"/>
    <s v="Male"/>
    <x v="8"/>
    <n v="6"/>
    <n v="0"/>
    <n v="4.4000000000000004"/>
    <n v="0.8571428571428571"/>
    <n v="0"/>
  </r>
  <r>
    <s v="2023-04"/>
    <d v="2023-04-01T00:00:00"/>
    <x v="0"/>
    <x v="9"/>
    <x v="17"/>
    <x v="3"/>
    <x v="3"/>
    <s v="Female"/>
    <x v="7"/>
    <n v="4"/>
    <n v="0"/>
    <n v="1.4"/>
    <n v="1"/>
    <n v="0"/>
  </r>
  <r>
    <s v="2023-03"/>
    <d v="2023-03-01T00:00:00"/>
    <x v="5"/>
    <x v="9"/>
    <x v="14"/>
    <x v="1"/>
    <x v="1"/>
    <s v="Female"/>
    <x v="4"/>
    <n v="6"/>
    <n v="1"/>
    <n v="3.8"/>
    <n v="1"/>
    <n v="0.16666666666666666"/>
  </r>
  <r>
    <s v="2023-03"/>
    <d v="2023-03-01T00:00:00"/>
    <x v="5"/>
    <x v="1"/>
    <x v="16"/>
    <x v="5"/>
    <x v="4"/>
    <s v="Male"/>
    <x v="7"/>
    <n v="4"/>
    <n v="0"/>
    <n v="4.0999999999999996"/>
    <n v="1"/>
    <n v="0"/>
  </r>
  <r>
    <s v="2023-06"/>
    <d v="2023-06-01T00:00:00"/>
    <x v="1"/>
    <x v="1"/>
    <x v="1"/>
    <x v="3"/>
    <x v="3"/>
    <s v="Female"/>
    <x v="7"/>
    <n v="4"/>
    <n v="0"/>
    <n v="2.6"/>
    <n v="1"/>
    <n v="0"/>
  </r>
  <r>
    <s v="2023-10"/>
    <d v="2023-10-01T00:00:00"/>
    <x v="2"/>
    <x v="4"/>
    <x v="11"/>
    <x v="2"/>
    <x v="3"/>
    <s v="Male"/>
    <x v="3"/>
    <n v="2"/>
    <n v="0"/>
    <n v="4.5"/>
    <n v="1"/>
    <n v="0"/>
  </r>
  <r>
    <s v="2023-12"/>
    <d v="2023-12-01T00:00:00"/>
    <x v="9"/>
    <x v="1"/>
    <x v="1"/>
    <x v="1"/>
    <x v="3"/>
    <s v="Male"/>
    <x v="4"/>
    <n v="4"/>
    <n v="1"/>
    <n v="3.2"/>
    <n v="0.66666666666666663"/>
    <n v="0.16666666666666666"/>
  </r>
  <r>
    <s v="2023-03"/>
    <d v="2023-03-01T00:00:00"/>
    <x v="5"/>
    <x v="3"/>
    <x v="15"/>
    <x v="1"/>
    <x v="0"/>
    <s v="Female"/>
    <x v="8"/>
    <n v="6"/>
    <n v="1"/>
    <n v="3.4"/>
    <n v="0.8571428571428571"/>
    <n v="0.14285714285714285"/>
  </r>
  <r>
    <s v="2023-08"/>
    <d v="2023-08-01T00:00:00"/>
    <x v="3"/>
    <x v="7"/>
    <x v="13"/>
    <x v="5"/>
    <x v="1"/>
    <s v="Female"/>
    <x v="1"/>
    <n v="1"/>
    <n v="0"/>
    <n v="4.2"/>
    <n v="0.33333333333333331"/>
    <n v="0"/>
  </r>
  <r>
    <s v="2023-10"/>
    <d v="2023-10-01T00:00:00"/>
    <x v="2"/>
    <x v="8"/>
    <x v="10"/>
    <x v="5"/>
    <x v="5"/>
    <s v="Female"/>
    <x v="0"/>
    <n v="4"/>
    <n v="0"/>
    <n v="2.5"/>
    <n v="0.8"/>
    <n v="0"/>
  </r>
  <r>
    <s v="2023-08"/>
    <d v="2023-08-01T00:00:00"/>
    <x v="3"/>
    <x v="1"/>
    <x v="1"/>
    <x v="0"/>
    <x v="0"/>
    <s v="Female"/>
    <x v="7"/>
    <n v="4"/>
    <n v="0"/>
    <n v="2.5"/>
    <n v="1"/>
    <n v="0"/>
  </r>
  <r>
    <s v="2023-08"/>
    <d v="2023-08-01T00:00:00"/>
    <x v="3"/>
    <x v="3"/>
    <x v="15"/>
    <x v="2"/>
    <x v="0"/>
    <s v="Male"/>
    <x v="7"/>
    <n v="4"/>
    <n v="0"/>
    <n v="2"/>
    <n v="1"/>
    <n v="0"/>
  </r>
  <r>
    <s v="2023-01"/>
    <d v="2023-01-01T00:00:00"/>
    <x v="4"/>
    <x v="7"/>
    <x v="9"/>
    <x v="5"/>
    <x v="3"/>
    <s v="Female"/>
    <x v="7"/>
    <n v="3"/>
    <n v="0"/>
    <n v="2.9"/>
    <n v="0.75"/>
    <n v="0"/>
  </r>
  <r>
    <s v="2023-01"/>
    <d v="2023-01-01T00:00:00"/>
    <x v="4"/>
    <x v="9"/>
    <x v="17"/>
    <x v="1"/>
    <x v="5"/>
    <s v="Male"/>
    <x v="9"/>
    <n v="7"/>
    <n v="1"/>
    <n v="2.6"/>
    <n v="0.7"/>
    <n v="0.1"/>
  </r>
  <r>
    <s v="2023-01"/>
    <d v="2023-01-01T00:00:00"/>
    <x v="4"/>
    <x v="8"/>
    <x v="10"/>
    <x v="2"/>
    <x v="2"/>
    <s v="Male"/>
    <x v="1"/>
    <n v="3"/>
    <n v="0"/>
    <n v="2.8"/>
    <n v="1"/>
    <n v="0"/>
  </r>
  <r>
    <s v="2023-04"/>
    <d v="2023-04-01T00:00:00"/>
    <x v="0"/>
    <x v="8"/>
    <x v="10"/>
    <x v="2"/>
    <x v="5"/>
    <s v="Male"/>
    <x v="0"/>
    <n v="5"/>
    <n v="1"/>
    <n v="3.3"/>
    <n v="1"/>
    <n v="0.2"/>
  </r>
  <r>
    <s v="2023-07"/>
    <d v="2023-07-01T00:00:00"/>
    <x v="8"/>
    <x v="5"/>
    <x v="5"/>
    <x v="0"/>
    <x v="0"/>
    <s v="Male"/>
    <x v="1"/>
    <n v="2"/>
    <n v="0"/>
    <n v="2.4"/>
    <n v="0.66666666666666663"/>
    <n v="0"/>
  </r>
  <r>
    <s v="2023-03"/>
    <d v="2023-03-01T00:00:00"/>
    <x v="5"/>
    <x v="7"/>
    <x v="9"/>
    <x v="5"/>
    <x v="0"/>
    <s v="Male"/>
    <x v="8"/>
    <n v="6"/>
    <n v="2"/>
    <n v="2.5"/>
    <n v="0.8571428571428571"/>
    <n v="0.2857142857142857"/>
  </r>
  <r>
    <s v="2023-02"/>
    <d v="2023-02-01T00:00:00"/>
    <x v="6"/>
    <x v="1"/>
    <x v="16"/>
    <x v="4"/>
    <x v="0"/>
    <s v="Male"/>
    <x v="5"/>
    <n v="1"/>
    <n v="0"/>
    <n v="2.9"/>
    <n v="1"/>
    <n v="0"/>
  </r>
  <r>
    <s v="2023-09"/>
    <d v="2023-09-01T00:00:00"/>
    <x v="10"/>
    <x v="6"/>
    <x v="8"/>
    <x v="3"/>
    <x v="5"/>
    <s v="Female"/>
    <x v="1"/>
    <n v="3"/>
    <n v="0"/>
    <n v="1.9"/>
    <n v="1"/>
    <n v="0"/>
  </r>
  <r>
    <s v="2023-05"/>
    <d v="2023-05-01T00:00:00"/>
    <x v="7"/>
    <x v="4"/>
    <x v="4"/>
    <x v="2"/>
    <x v="3"/>
    <s v="Male"/>
    <x v="2"/>
    <n v="6"/>
    <n v="2"/>
    <n v="0"/>
    <n v="0.75"/>
    <n v="0.25"/>
  </r>
  <r>
    <s v="2023-02"/>
    <d v="2023-02-01T00:00:00"/>
    <x v="6"/>
    <x v="8"/>
    <x v="18"/>
    <x v="3"/>
    <x v="0"/>
    <s v="Female"/>
    <x v="7"/>
    <n v="4"/>
    <n v="0"/>
    <n v="3.6"/>
    <n v="1"/>
    <n v="0"/>
  </r>
  <r>
    <s v="2023-06"/>
    <d v="2023-06-01T00:00:00"/>
    <x v="1"/>
    <x v="6"/>
    <x v="7"/>
    <x v="4"/>
    <x v="3"/>
    <s v="Female"/>
    <x v="1"/>
    <n v="3"/>
    <n v="0"/>
    <n v="1.3"/>
    <n v="1"/>
    <n v="0"/>
  </r>
  <r>
    <s v="2023-07"/>
    <d v="2023-07-01T00:00:00"/>
    <x v="8"/>
    <x v="9"/>
    <x v="17"/>
    <x v="0"/>
    <x v="5"/>
    <s v="Male"/>
    <x v="0"/>
    <n v="5"/>
    <n v="1"/>
    <n v="3.1"/>
    <n v="1"/>
    <n v="0.2"/>
  </r>
  <r>
    <s v="2023-03"/>
    <d v="2023-03-01T00:00:00"/>
    <x v="5"/>
    <x v="4"/>
    <x v="11"/>
    <x v="1"/>
    <x v="4"/>
    <s v="Male"/>
    <x v="12"/>
    <n v="0"/>
    <n v="0"/>
    <n v="3"/>
    <n v="0"/>
    <n v="0"/>
  </r>
  <r>
    <s v="2023-12"/>
    <d v="2023-12-01T00:00:00"/>
    <x v="9"/>
    <x v="1"/>
    <x v="16"/>
    <x v="5"/>
    <x v="2"/>
    <s v="Male"/>
    <x v="5"/>
    <n v="1"/>
    <n v="0"/>
    <n v="3.6"/>
    <n v="1"/>
    <n v="0"/>
  </r>
  <r>
    <s v="2023-10"/>
    <d v="2023-10-01T00:00:00"/>
    <x v="2"/>
    <x v="0"/>
    <x v="12"/>
    <x v="1"/>
    <x v="2"/>
    <s v="Male"/>
    <x v="4"/>
    <n v="4"/>
    <n v="1"/>
    <n v="5.5"/>
    <n v="0.66666666666666663"/>
    <n v="0.16666666666666666"/>
  </r>
  <r>
    <s v="2023-08"/>
    <d v="2023-08-01T00:00:00"/>
    <x v="3"/>
    <x v="7"/>
    <x v="9"/>
    <x v="3"/>
    <x v="3"/>
    <s v="Male"/>
    <x v="2"/>
    <n v="8"/>
    <n v="0"/>
    <n v="3"/>
    <n v="1"/>
    <n v="0"/>
  </r>
  <r>
    <s v="2023-05"/>
    <d v="2023-05-01T00:00:00"/>
    <x v="7"/>
    <x v="7"/>
    <x v="9"/>
    <x v="0"/>
    <x v="1"/>
    <s v="Male"/>
    <x v="8"/>
    <n v="7"/>
    <n v="0"/>
    <n v="3.2"/>
    <n v="1"/>
    <n v="0"/>
  </r>
  <r>
    <s v="2023-01"/>
    <d v="2023-01-01T00:00:00"/>
    <x v="4"/>
    <x v="5"/>
    <x v="6"/>
    <x v="1"/>
    <x v="2"/>
    <s v="Female"/>
    <x v="2"/>
    <n v="8"/>
    <n v="0"/>
    <n v="5.2"/>
    <n v="1"/>
    <n v="0"/>
  </r>
  <r>
    <s v="2023-11"/>
    <d v="2023-11-01T00:00:00"/>
    <x v="11"/>
    <x v="5"/>
    <x v="5"/>
    <x v="4"/>
    <x v="5"/>
    <s v="Male"/>
    <x v="8"/>
    <n v="5"/>
    <n v="2"/>
    <n v="1.1000000000000001"/>
    <n v="0.7142857142857143"/>
    <n v="0.2857142857142857"/>
  </r>
  <r>
    <s v="2023-06"/>
    <d v="2023-06-01T00:00:00"/>
    <x v="1"/>
    <x v="5"/>
    <x v="6"/>
    <x v="0"/>
    <x v="5"/>
    <s v="Female"/>
    <x v="7"/>
    <n v="4"/>
    <n v="0"/>
    <n v="2.4"/>
    <n v="1"/>
    <n v="0"/>
  </r>
  <r>
    <s v="2023-01"/>
    <d v="2023-01-01T00:00:00"/>
    <x v="4"/>
    <x v="9"/>
    <x v="17"/>
    <x v="1"/>
    <x v="2"/>
    <s v="Female"/>
    <x v="7"/>
    <n v="4"/>
    <n v="1"/>
    <n v="1.7"/>
    <n v="1"/>
    <n v="0.25"/>
  </r>
  <r>
    <s v="2023-04"/>
    <d v="2023-04-01T00:00:00"/>
    <x v="0"/>
    <x v="7"/>
    <x v="9"/>
    <x v="5"/>
    <x v="3"/>
    <s v="Female"/>
    <x v="4"/>
    <n v="5"/>
    <n v="0"/>
    <n v="0.9"/>
    <n v="0.83333333333333337"/>
    <n v="0"/>
  </r>
  <r>
    <s v="2023-10"/>
    <d v="2023-10-01T00:00:00"/>
    <x v="2"/>
    <x v="8"/>
    <x v="18"/>
    <x v="2"/>
    <x v="2"/>
    <s v="Male"/>
    <x v="7"/>
    <n v="3"/>
    <n v="0"/>
    <n v="2.6"/>
    <n v="0.75"/>
    <n v="0"/>
  </r>
  <r>
    <s v="2023-11"/>
    <d v="2023-11-01T00:00:00"/>
    <x v="11"/>
    <x v="6"/>
    <x v="7"/>
    <x v="2"/>
    <x v="3"/>
    <s v="Male"/>
    <x v="1"/>
    <n v="3"/>
    <n v="0"/>
    <n v="2.7"/>
    <n v="1"/>
    <n v="0"/>
  </r>
  <r>
    <s v="2023-01"/>
    <d v="2023-01-01T00:00:00"/>
    <x v="4"/>
    <x v="8"/>
    <x v="10"/>
    <x v="0"/>
    <x v="3"/>
    <s v="Male"/>
    <x v="1"/>
    <n v="3"/>
    <n v="0"/>
    <n v="2.4"/>
    <n v="1"/>
    <n v="0"/>
  </r>
  <r>
    <s v="2023-01"/>
    <d v="2023-01-01T00:00:00"/>
    <x v="4"/>
    <x v="8"/>
    <x v="18"/>
    <x v="5"/>
    <x v="2"/>
    <s v="Female"/>
    <x v="0"/>
    <n v="5"/>
    <n v="0"/>
    <n v="1.8"/>
    <n v="1"/>
    <n v="0"/>
  </r>
  <r>
    <s v="2023-07"/>
    <d v="2023-07-01T00:00:00"/>
    <x v="8"/>
    <x v="4"/>
    <x v="4"/>
    <x v="5"/>
    <x v="0"/>
    <s v="Female"/>
    <x v="8"/>
    <n v="6"/>
    <n v="0"/>
    <n v="1.3"/>
    <n v="0.8571428571428571"/>
    <n v="0"/>
  </r>
  <r>
    <s v="2023-07"/>
    <d v="2023-07-01T00:00:00"/>
    <x v="8"/>
    <x v="5"/>
    <x v="5"/>
    <x v="1"/>
    <x v="0"/>
    <s v="Male"/>
    <x v="10"/>
    <n v="8"/>
    <n v="0"/>
    <n v="2.1"/>
    <n v="0.88888888888888884"/>
    <n v="0"/>
  </r>
  <r>
    <s v="2023-06"/>
    <d v="2023-06-01T00:00:00"/>
    <x v="1"/>
    <x v="4"/>
    <x v="4"/>
    <x v="0"/>
    <x v="0"/>
    <s v="Male"/>
    <x v="4"/>
    <n v="5"/>
    <n v="1"/>
    <n v="4.9000000000000004"/>
    <n v="0.83333333333333337"/>
    <n v="0.16666666666666666"/>
  </r>
  <r>
    <s v="2023-11"/>
    <d v="2023-11-01T00:00:00"/>
    <x v="11"/>
    <x v="0"/>
    <x v="0"/>
    <x v="5"/>
    <x v="3"/>
    <s v="Female"/>
    <x v="3"/>
    <n v="2"/>
    <n v="0"/>
    <n v="4"/>
    <n v="1"/>
    <n v="0"/>
  </r>
  <r>
    <s v="2023-04"/>
    <d v="2023-04-01T00:00:00"/>
    <x v="0"/>
    <x v="9"/>
    <x v="17"/>
    <x v="1"/>
    <x v="1"/>
    <s v="Female"/>
    <x v="7"/>
    <n v="4"/>
    <n v="1"/>
    <n v="3.4"/>
    <n v="1"/>
    <n v="0.25"/>
  </r>
  <r>
    <s v="2023-06"/>
    <d v="2023-06-01T00:00:00"/>
    <x v="1"/>
    <x v="7"/>
    <x v="13"/>
    <x v="0"/>
    <x v="1"/>
    <s v="Male"/>
    <x v="7"/>
    <n v="4"/>
    <n v="1"/>
    <n v="3.7"/>
    <n v="1"/>
    <n v="0.25"/>
  </r>
  <r>
    <s v="2023-03"/>
    <d v="2023-03-01T00:00:00"/>
    <x v="5"/>
    <x v="9"/>
    <x v="14"/>
    <x v="2"/>
    <x v="3"/>
    <s v="Male"/>
    <x v="7"/>
    <n v="4"/>
    <n v="0"/>
    <n v="1.3"/>
    <n v="1"/>
    <n v="0"/>
  </r>
  <r>
    <s v="2023-07"/>
    <d v="2023-07-01T00:00:00"/>
    <x v="8"/>
    <x v="1"/>
    <x v="1"/>
    <x v="0"/>
    <x v="4"/>
    <s v="Male"/>
    <x v="7"/>
    <n v="4"/>
    <n v="0"/>
    <n v="2.5"/>
    <n v="1"/>
    <n v="0"/>
  </r>
  <r>
    <s v="2023-07"/>
    <d v="2023-07-01T00:00:00"/>
    <x v="8"/>
    <x v="6"/>
    <x v="8"/>
    <x v="2"/>
    <x v="1"/>
    <s v="Female"/>
    <x v="2"/>
    <n v="8"/>
    <n v="0"/>
    <n v="2.4"/>
    <n v="1"/>
    <n v="0"/>
  </r>
  <r>
    <s v="2023-05"/>
    <d v="2023-05-01T00:00:00"/>
    <x v="7"/>
    <x v="7"/>
    <x v="9"/>
    <x v="1"/>
    <x v="4"/>
    <s v="Female"/>
    <x v="4"/>
    <n v="5"/>
    <n v="0"/>
    <n v="2.6"/>
    <n v="0.83333333333333337"/>
    <n v="0"/>
  </r>
  <r>
    <s v="2023-12"/>
    <d v="2023-12-01T00:00:00"/>
    <x v="9"/>
    <x v="7"/>
    <x v="13"/>
    <x v="5"/>
    <x v="2"/>
    <s v="Male"/>
    <x v="4"/>
    <n v="5"/>
    <n v="0"/>
    <n v="3.5"/>
    <n v="0.83333333333333337"/>
    <n v="0"/>
  </r>
  <r>
    <s v="2023-03"/>
    <d v="2023-03-01T00:00:00"/>
    <x v="5"/>
    <x v="7"/>
    <x v="9"/>
    <x v="2"/>
    <x v="3"/>
    <s v="Male"/>
    <x v="4"/>
    <n v="6"/>
    <n v="1"/>
    <n v="4.0999999999999996"/>
    <n v="1"/>
    <n v="0.16666666666666666"/>
  </r>
  <r>
    <s v="2023-08"/>
    <d v="2023-08-01T00:00:00"/>
    <x v="3"/>
    <x v="8"/>
    <x v="18"/>
    <x v="4"/>
    <x v="0"/>
    <s v="Female"/>
    <x v="7"/>
    <n v="3"/>
    <n v="0"/>
    <n v="3.3"/>
    <n v="0.75"/>
    <n v="0"/>
  </r>
  <r>
    <s v="2023-09"/>
    <d v="2023-09-01T00:00:00"/>
    <x v="10"/>
    <x v="1"/>
    <x v="16"/>
    <x v="3"/>
    <x v="4"/>
    <s v="Male"/>
    <x v="7"/>
    <n v="3"/>
    <n v="0"/>
    <n v="1.1000000000000001"/>
    <n v="0.75"/>
    <n v="0"/>
  </r>
  <r>
    <s v="2023-08"/>
    <d v="2023-08-01T00:00:00"/>
    <x v="3"/>
    <x v="6"/>
    <x v="7"/>
    <x v="0"/>
    <x v="5"/>
    <s v="Male"/>
    <x v="7"/>
    <n v="4"/>
    <n v="0"/>
    <n v="1.2"/>
    <n v="1"/>
    <n v="0"/>
  </r>
  <r>
    <s v="2023-03"/>
    <d v="2023-03-01T00:00:00"/>
    <x v="5"/>
    <x v="6"/>
    <x v="8"/>
    <x v="0"/>
    <x v="3"/>
    <s v="Female"/>
    <x v="7"/>
    <n v="3"/>
    <n v="1"/>
    <n v="0.8"/>
    <n v="0.75"/>
    <n v="0.25"/>
  </r>
  <r>
    <s v="2023-08"/>
    <d v="2023-08-01T00:00:00"/>
    <x v="3"/>
    <x v="7"/>
    <x v="13"/>
    <x v="0"/>
    <x v="4"/>
    <s v="Male"/>
    <x v="1"/>
    <n v="2"/>
    <n v="0"/>
    <n v="2.8"/>
    <n v="0.66666666666666663"/>
    <n v="0"/>
  </r>
  <r>
    <s v="2023-05"/>
    <d v="2023-05-01T00:00:00"/>
    <x v="7"/>
    <x v="5"/>
    <x v="6"/>
    <x v="3"/>
    <x v="4"/>
    <s v="Male"/>
    <x v="0"/>
    <n v="5"/>
    <n v="0"/>
    <n v="4.2"/>
    <n v="1"/>
    <n v="0"/>
  </r>
  <r>
    <s v="2023-11"/>
    <d v="2023-11-01T00:00:00"/>
    <x v="11"/>
    <x v="4"/>
    <x v="4"/>
    <x v="1"/>
    <x v="0"/>
    <s v="Male"/>
    <x v="1"/>
    <n v="3"/>
    <n v="0"/>
    <n v="2.5"/>
    <n v="1"/>
    <n v="0"/>
  </r>
  <r>
    <s v="2023-06"/>
    <d v="2023-06-01T00:00:00"/>
    <x v="1"/>
    <x v="8"/>
    <x v="18"/>
    <x v="3"/>
    <x v="3"/>
    <s v="Male"/>
    <x v="1"/>
    <n v="2"/>
    <n v="0"/>
    <n v="4"/>
    <n v="0.66666666666666663"/>
    <n v="0"/>
  </r>
  <r>
    <s v="2023-03"/>
    <d v="2023-03-01T00:00:00"/>
    <x v="5"/>
    <x v="6"/>
    <x v="8"/>
    <x v="0"/>
    <x v="5"/>
    <s v="Male"/>
    <x v="0"/>
    <n v="5"/>
    <n v="0"/>
    <n v="1.9"/>
    <n v="1"/>
    <n v="0"/>
  </r>
  <r>
    <s v="2023-02"/>
    <d v="2023-02-01T00:00:00"/>
    <x v="6"/>
    <x v="8"/>
    <x v="10"/>
    <x v="1"/>
    <x v="4"/>
    <s v="Male"/>
    <x v="8"/>
    <n v="6"/>
    <n v="1"/>
    <n v="3.5"/>
    <n v="0.8571428571428571"/>
    <n v="0.14285714285714285"/>
  </r>
  <r>
    <s v="2023-03"/>
    <d v="2023-03-01T00:00:00"/>
    <x v="5"/>
    <x v="4"/>
    <x v="11"/>
    <x v="4"/>
    <x v="3"/>
    <s v="Male"/>
    <x v="7"/>
    <n v="4"/>
    <n v="0"/>
    <n v="2.2000000000000002"/>
    <n v="1"/>
    <n v="0"/>
  </r>
  <r>
    <s v="2023-06"/>
    <d v="2023-06-01T00:00:00"/>
    <x v="1"/>
    <x v="7"/>
    <x v="9"/>
    <x v="2"/>
    <x v="4"/>
    <s v="Female"/>
    <x v="7"/>
    <n v="3"/>
    <n v="0"/>
    <n v="3.6"/>
    <n v="0.75"/>
    <n v="0"/>
  </r>
  <r>
    <s v="2023-12"/>
    <d v="2023-12-01T00:00:00"/>
    <x v="9"/>
    <x v="1"/>
    <x v="16"/>
    <x v="3"/>
    <x v="1"/>
    <s v="Female"/>
    <x v="7"/>
    <n v="3"/>
    <n v="0"/>
    <n v="2.2000000000000002"/>
    <n v="0.75"/>
    <n v="0"/>
  </r>
  <r>
    <s v="2023-09"/>
    <d v="2023-09-01T00:00:00"/>
    <x v="10"/>
    <x v="8"/>
    <x v="10"/>
    <x v="3"/>
    <x v="0"/>
    <s v="Male"/>
    <x v="0"/>
    <n v="5"/>
    <n v="0"/>
    <n v="4.0999999999999996"/>
    <n v="1"/>
    <n v="0"/>
  </r>
  <r>
    <s v="2023-09"/>
    <d v="2023-09-01T00:00:00"/>
    <x v="10"/>
    <x v="1"/>
    <x v="1"/>
    <x v="4"/>
    <x v="0"/>
    <s v="Male"/>
    <x v="4"/>
    <n v="4"/>
    <n v="0"/>
    <n v="3.2"/>
    <n v="0.66666666666666663"/>
    <n v="0"/>
  </r>
  <r>
    <s v="2023-02"/>
    <d v="2023-02-01T00:00:00"/>
    <x v="6"/>
    <x v="2"/>
    <x v="2"/>
    <x v="4"/>
    <x v="3"/>
    <s v="Male"/>
    <x v="1"/>
    <n v="3"/>
    <n v="0"/>
    <n v="3.4"/>
    <n v="1"/>
    <n v="0"/>
  </r>
  <r>
    <s v="2023-06"/>
    <d v="2023-06-01T00:00:00"/>
    <x v="1"/>
    <x v="7"/>
    <x v="9"/>
    <x v="2"/>
    <x v="1"/>
    <s v="Male"/>
    <x v="1"/>
    <n v="3"/>
    <n v="0"/>
    <n v="4.3"/>
    <n v="1"/>
    <n v="0"/>
  </r>
  <r>
    <s v="2023-06"/>
    <d v="2023-06-01T00:00:00"/>
    <x v="1"/>
    <x v="2"/>
    <x v="2"/>
    <x v="1"/>
    <x v="1"/>
    <s v="Female"/>
    <x v="0"/>
    <n v="5"/>
    <n v="1"/>
    <n v="1.7"/>
    <n v="1"/>
    <n v="0.2"/>
  </r>
  <r>
    <s v="2023-09"/>
    <d v="2023-09-01T00:00:00"/>
    <x v="10"/>
    <x v="0"/>
    <x v="12"/>
    <x v="3"/>
    <x v="0"/>
    <s v="Female"/>
    <x v="10"/>
    <n v="7"/>
    <n v="0"/>
    <n v="3.1"/>
    <n v="0.77777777777777779"/>
    <n v="0"/>
  </r>
  <r>
    <s v="2023-07"/>
    <d v="2023-07-01T00:00:00"/>
    <x v="8"/>
    <x v="7"/>
    <x v="13"/>
    <x v="1"/>
    <x v="3"/>
    <s v="Female"/>
    <x v="2"/>
    <n v="6"/>
    <n v="1"/>
    <n v="3.1"/>
    <n v="0.75"/>
    <n v="0.125"/>
  </r>
  <r>
    <s v="2023-10"/>
    <d v="2023-10-01T00:00:00"/>
    <x v="2"/>
    <x v="6"/>
    <x v="8"/>
    <x v="2"/>
    <x v="2"/>
    <s v="Male"/>
    <x v="3"/>
    <n v="1"/>
    <n v="0"/>
    <n v="2"/>
    <n v="0.5"/>
    <n v="0"/>
  </r>
  <r>
    <s v="2023-12"/>
    <d v="2023-12-01T00:00:00"/>
    <x v="9"/>
    <x v="8"/>
    <x v="10"/>
    <x v="5"/>
    <x v="4"/>
    <s v="Male"/>
    <x v="1"/>
    <n v="3"/>
    <n v="0"/>
    <n v="3.9"/>
    <n v="1"/>
    <n v="0"/>
  </r>
  <r>
    <s v="2023-07"/>
    <d v="2023-07-01T00:00:00"/>
    <x v="8"/>
    <x v="2"/>
    <x v="2"/>
    <x v="5"/>
    <x v="1"/>
    <s v="Male"/>
    <x v="7"/>
    <n v="4"/>
    <n v="1"/>
    <n v="3.8"/>
    <n v="1"/>
    <n v="0.25"/>
  </r>
  <r>
    <s v="2023-09"/>
    <d v="2023-09-01T00:00:00"/>
    <x v="10"/>
    <x v="4"/>
    <x v="4"/>
    <x v="3"/>
    <x v="1"/>
    <s v="Male"/>
    <x v="2"/>
    <n v="5"/>
    <n v="2"/>
    <n v="2.4"/>
    <n v="0.625"/>
    <n v="0.25"/>
  </r>
  <r>
    <s v="2023-08"/>
    <d v="2023-08-01T00:00:00"/>
    <x v="3"/>
    <x v="0"/>
    <x v="0"/>
    <x v="1"/>
    <x v="3"/>
    <s v="Male"/>
    <x v="3"/>
    <n v="2"/>
    <n v="0"/>
    <n v="2.2999999999999998"/>
    <n v="1"/>
    <n v="0"/>
  </r>
  <r>
    <s v="2023-09"/>
    <d v="2023-09-01T00:00:00"/>
    <x v="10"/>
    <x v="6"/>
    <x v="8"/>
    <x v="4"/>
    <x v="4"/>
    <s v="Female"/>
    <x v="8"/>
    <n v="7"/>
    <n v="0"/>
    <n v="2.8"/>
    <n v="1"/>
    <n v="0"/>
  </r>
  <r>
    <s v="2023-05"/>
    <d v="2023-05-01T00:00:00"/>
    <x v="7"/>
    <x v="2"/>
    <x v="19"/>
    <x v="5"/>
    <x v="0"/>
    <s v="Male"/>
    <x v="8"/>
    <n v="7"/>
    <n v="0"/>
    <n v="2.4"/>
    <n v="1"/>
    <n v="0"/>
  </r>
  <r>
    <s v="2023-04"/>
    <d v="2023-04-01T00:00:00"/>
    <x v="0"/>
    <x v="9"/>
    <x v="14"/>
    <x v="2"/>
    <x v="1"/>
    <s v="Male"/>
    <x v="10"/>
    <n v="8"/>
    <n v="0"/>
    <n v="3.2"/>
    <n v="0.88888888888888884"/>
    <n v="0"/>
  </r>
  <r>
    <s v="2023-02"/>
    <d v="2023-02-01T00:00:00"/>
    <x v="6"/>
    <x v="8"/>
    <x v="18"/>
    <x v="4"/>
    <x v="2"/>
    <s v="Male"/>
    <x v="3"/>
    <n v="2"/>
    <n v="0"/>
    <n v="2.2999999999999998"/>
    <n v="1"/>
    <n v="0"/>
  </r>
  <r>
    <s v="2023-01"/>
    <d v="2023-01-01T00:00:00"/>
    <x v="4"/>
    <x v="0"/>
    <x v="12"/>
    <x v="3"/>
    <x v="3"/>
    <s v="Male"/>
    <x v="8"/>
    <n v="6"/>
    <n v="0"/>
    <n v="2.2999999999999998"/>
    <n v="0.8571428571428571"/>
    <n v="0"/>
  </r>
  <r>
    <s v="2023-08"/>
    <d v="2023-08-01T00:00:00"/>
    <x v="3"/>
    <x v="9"/>
    <x v="17"/>
    <x v="4"/>
    <x v="5"/>
    <s v="Female"/>
    <x v="5"/>
    <n v="1"/>
    <n v="0"/>
    <n v="2.8"/>
    <n v="1"/>
    <n v="0"/>
  </r>
  <r>
    <s v="2023-01"/>
    <d v="2023-01-01T00:00:00"/>
    <x v="4"/>
    <x v="1"/>
    <x v="1"/>
    <x v="5"/>
    <x v="3"/>
    <s v="Female"/>
    <x v="8"/>
    <n v="7"/>
    <n v="0"/>
    <n v="3"/>
    <n v="1"/>
    <n v="0"/>
  </r>
  <r>
    <s v="2023-06"/>
    <d v="2023-06-01T00:00:00"/>
    <x v="1"/>
    <x v="4"/>
    <x v="4"/>
    <x v="1"/>
    <x v="1"/>
    <s v="Male"/>
    <x v="8"/>
    <n v="6"/>
    <n v="0"/>
    <n v="3"/>
    <n v="0.8571428571428571"/>
    <n v="0"/>
  </r>
  <r>
    <s v="2023-10"/>
    <d v="2023-10-01T00:00:00"/>
    <x v="2"/>
    <x v="5"/>
    <x v="5"/>
    <x v="2"/>
    <x v="5"/>
    <s v="Male"/>
    <x v="2"/>
    <n v="7"/>
    <n v="0"/>
    <n v="3.2"/>
    <n v="0.875"/>
    <n v="0"/>
  </r>
  <r>
    <s v="2023-02"/>
    <d v="2023-02-01T00:00:00"/>
    <x v="6"/>
    <x v="8"/>
    <x v="10"/>
    <x v="0"/>
    <x v="5"/>
    <s v="Female"/>
    <x v="8"/>
    <n v="7"/>
    <n v="0"/>
    <n v="4.5"/>
    <n v="1"/>
    <n v="0"/>
  </r>
  <r>
    <s v="2023-05"/>
    <d v="2023-05-01T00:00:00"/>
    <x v="7"/>
    <x v="0"/>
    <x v="12"/>
    <x v="1"/>
    <x v="2"/>
    <s v="Male"/>
    <x v="0"/>
    <n v="5"/>
    <n v="0"/>
    <n v="2.7"/>
    <n v="1"/>
    <n v="0"/>
  </r>
  <r>
    <s v="2023-08"/>
    <d v="2023-08-01T00:00:00"/>
    <x v="3"/>
    <x v="9"/>
    <x v="17"/>
    <x v="4"/>
    <x v="1"/>
    <s v="Female"/>
    <x v="4"/>
    <n v="5"/>
    <n v="0"/>
    <n v="3.9"/>
    <n v="0.83333333333333337"/>
    <n v="0"/>
  </r>
  <r>
    <s v="2023-09"/>
    <d v="2023-09-01T00:00:00"/>
    <x v="10"/>
    <x v="4"/>
    <x v="4"/>
    <x v="1"/>
    <x v="2"/>
    <s v="Male"/>
    <x v="0"/>
    <n v="3"/>
    <n v="0"/>
    <n v="3.7"/>
    <n v="0.6"/>
    <n v="0"/>
  </r>
  <r>
    <s v="2023-04"/>
    <d v="2023-04-01T00:00:00"/>
    <x v="0"/>
    <x v="0"/>
    <x v="0"/>
    <x v="5"/>
    <x v="3"/>
    <s v="Male"/>
    <x v="0"/>
    <n v="5"/>
    <n v="0"/>
    <n v="1.7"/>
    <n v="1"/>
    <n v="0"/>
  </r>
  <r>
    <s v="2023-10"/>
    <d v="2023-10-01T00:00:00"/>
    <x v="2"/>
    <x v="1"/>
    <x v="1"/>
    <x v="4"/>
    <x v="4"/>
    <s v="Male"/>
    <x v="5"/>
    <n v="1"/>
    <n v="0"/>
    <n v="1.8"/>
    <n v="1"/>
    <n v="0"/>
  </r>
  <r>
    <s v="2023-07"/>
    <d v="2023-07-01T00:00:00"/>
    <x v="8"/>
    <x v="5"/>
    <x v="6"/>
    <x v="3"/>
    <x v="2"/>
    <s v="Male"/>
    <x v="1"/>
    <n v="3"/>
    <n v="0"/>
    <n v="4.3"/>
    <n v="1"/>
    <n v="0"/>
  </r>
  <r>
    <s v="2023-05"/>
    <d v="2023-05-01T00:00:00"/>
    <x v="7"/>
    <x v="7"/>
    <x v="9"/>
    <x v="5"/>
    <x v="4"/>
    <s v="Female"/>
    <x v="2"/>
    <n v="6"/>
    <n v="1"/>
    <n v="2.4"/>
    <n v="0.75"/>
    <n v="0.125"/>
  </r>
  <r>
    <s v="2023-11"/>
    <d v="2023-11-01T00:00:00"/>
    <x v="11"/>
    <x v="3"/>
    <x v="15"/>
    <x v="2"/>
    <x v="1"/>
    <s v="Female"/>
    <x v="4"/>
    <n v="6"/>
    <n v="0"/>
    <n v="4.9000000000000004"/>
    <n v="1"/>
    <n v="0"/>
  </r>
  <r>
    <s v="2023-11"/>
    <d v="2023-11-01T00:00:00"/>
    <x v="11"/>
    <x v="9"/>
    <x v="14"/>
    <x v="4"/>
    <x v="4"/>
    <s v="Male"/>
    <x v="3"/>
    <n v="2"/>
    <n v="0"/>
    <n v="4"/>
    <n v="1"/>
    <n v="0"/>
  </r>
  <r>
    <s v="2023-01"/>
    <d v="2023-01-01T00:00:00"/>
    <x v="4"/>
    <x v="8"/>
    <x v="18"/>
    <x v="4"/>
    <x v="1"/>
    <s v="Male"/>
    <x v="7"/>
    <n v="4"/>
    <n v="0"/>
    <n v="2.2000000000000002"/>
    <n v="1"/>
    <n v="0"/>
  </r>
  <r>
    <s v="2023-05"/>
    <d v="2023-05-01T00:00:00"/>
    <x v="7"/>
    <x v="3"/>
    <x v="15"/>
    <x v="2"/>
    <x v="2"/>
    <s v="Female"/>
    <x v="4"/>
    <n v="5"/>
    <n v="0"/>
    <n v="3"/>
    <n v="0.83333333333333337"/>
    <n v="0"/>
  </r>
  <r>
    <s v="2023-03"/>
    <d v="2023-03-01T00:00:00"/>
    <x v="5"/>
    <x v="1"/>
    <x v="1"/>
    <x v="2"/>
    <x v="3"/>
    <s v="Female"/>
    <x v="1"/>
    <n v="3"/>
    <n v="0"/>
    <n v="3.5"/>
    <n v="1"/>
    <n v="0"/>
  </r>
  <r>
    <s v="2023-09"/>
    <d v="2023-09-01T00:00:00"/>
    <x v="10"/>
    <x v="1"/>
    <x v="1"/>
    <x v="3"/>
    <x v="5"/>
    <s v="Female"/>
    <x v="4"/>
    <n v="6"/>
    <n v="0"/>
    <n v="3.5"/>
    <n v="1"/>
    <n v="0"/>
  </r>
  <r>
    <s v="2023-01"/>
    <d v="2023-01-01T00:00:00"/>
    <x v="4"/>
    <x v="5"/>
    <x v="5"/>
    <x v="2"/>
    <x v="4"/>
    <s v="Male"/>
    <x v="1"/>
    <n v="3"/>
    <n v="1"/>
    <n v="3.4"/>
    <n v="1"/>
    <n v="0.33333333333333331"/>
  </r>
  <r>
    <s v="2023-09"/>
    <d v="2023-09-01T00:00:00"/>
    <x v="10"/>
    <x v="8"/>
    <x v="10"/>
    <x v="2"/>
    <x v="1"/>
    <s v="Male"/>
    <x v="7"/>
    <n v="4"/>
    <n v="0"/>
    <n v="2.2999999999999998"/>
    <n v="1"/>
    <n v="0"/>
  </r>
  <r>
    <s v="2023-12"/>
    <d v="2023-12-01T00:00:00"/>
    <x v="9"/>
    <x v="3"/>
    <x v="15"/>
    <x v="1"/>
    <x v="4"/>
    <s v="Male"/>
    <x v="0"/>
    <n v="5"/>
    <n v="0"/>
    <n v="4"/>
    <n v="1"/>
    <n v="0"/>
  </r>
  <r>
    <s v="2023-07"/>
    <d v="2023-07-01T00:00:00"/>
    <x v="8"/>
    <x v="7"/>
    <x v="13"/>
    <x v="5"/>
    <x v="3"/>
    <s v="Male"/>
    <x v="8"/>
    <n v="6"/>
    <n v="0"/>
    <n v="3.8"/>
    <n v="0.8571428571428571"/>
    <n v="0"/>
  </r>
  <r>
    <s v="2023-07"/>
    <d v="2023-07-01T00:00:00"/>
    <x v="8"/>
    <x v="0"/>
    <x v="12"/>
    <x v="4"/>
    <x v="4"/>
    <s v="Female"/>
    <x v="8"/>
    <n v="7"/>
    <n v="1"/>
    <n v="0.9"/>
    <n v="1"/>
    <n v="0.14285714285714285"/>
  </r>
  <r>
    <s v="2023-07"/>
    <d v="2023-07-01T00:00:00"/>
    <x v="8"/>
    <x v="9"/>
    <x v="14"/>
    <x v="5"/>
    <x v="4"/>
    <s v="Male"/>
    <x v="7"/>
    <n v="4"/>
    <n v="0"/>
    <n v="2.8"/>
    <n v="1"/>
    <n v="0"/>
  </r>
  <r>
    <s v="2023-06"/>
    <d v="2023-06-01T00:00:00"/>
    <x v="1"/>
    <x v="2"/>
    <x v="19"/>
    <x v="3"/>
    <x v="0"/>
    <s v="Female"/>
    <x v="3"/>
    <n v="2"/>
    <n v="0"/>
    <n v="3.5"/>
    <n v="1"/>
    <n v="0"/>
  </r>
  <r>
    <s v="2023-02"/>
    <d v="2023-02-01T00:00:00"/>
    <x v="6"/>
    <x v="4"/>
    <x v="4"/>
    <x v="5"/>
    <x v="0"/>
    <s v="Male"/>
    <x v="0"/>
    <n v="4"/>
    <n v="0"/>
    <n v="2.9"/>
    <n v="0.8"/>
    <n v="0"/>
  </r>
  <r>
    <s v="2023-07"/>
    <d v="2023-07-01T00:00:00"/>
    <x v="8"/>
    <x v="6"/>
    <x v="8"/>
    <x v="4"/>
    <x v="3"/>
    <s v="Female"/>
    <x v="4"/>
    <n v="5"/>
    <n v="0"/>
    <n v="2.7"/>
    <n v="0.83333333333333337"/>
    <n v="0"/>
  </r>
  <r>
    <s v="2023-07"/>
    <d v="2023-07-01T00:00:00"/>
    <x v="8"/>
    <x v="2"/>
    <x v="2"/>
    <x v="4"/>
    <x v="4"/>
    <s v="Female"/>
    <x v="7"/>
    <n v="4"/>
    <n v="0"/>
    <n v="3.9"/>
    <n v="1"/>
    <n v="0"/>
  </r>
  <r>
    <s v="2023-04"/>
    <d v="2023-04-01T00:00:00"/>
    <x v="0"/>
    <x v="2"/>
    <x v="19"/>
    <x v="5"/>
    <x v="2"/>
    <s v="Female"/>
    <x v="8"/>
    <n v="6"/>
    <n v="2"/>
    <n v="3.9"/>
    <n v="0.8571428571428571"/>
    <n v="0.2857142857142857"/>
  </r>
  <r>
    <s v="2023-09"/>
    <d v="2023-09-01T00:00:00"/>
    <x v="10"/>
    <x v="2"/>
    <x v="19"/>
    <x v="3"/>
    <x v="1"/>
    <s v="Female"/>
    <x v="5"/>
    <n v="1"/>
    <n v="1"/>
    <n v="1.8"/>
    <n v="1"/>
    <n v="1"/>
  </r>
  <r>
    <s v="2023-05"/>
    <d v="2023-05-01T00:00:00"/>
    <x v="7"/>
    <x v="6"/>
    <x v="8"/>
    <x v="3"/>
    <x v="0"/>
    <s v="Male"/>
    <x v="0"/>
    <n v="5"/>
    <n v="0"/>
    <n v="2.2000000000000002"/>
    <n v="1"/>
    <n v="0"/>
  </r>
  <r>
    <s v="2023-04"/>
    <d v="2023-04-01T00:00:00"/>
    <x v="0"/>
    <x v="7"/>
    <x v="13"/>
    <x v="1"/>
    <x v="0"/>
    <s v="Male"/>
    <x v="5"/>
    <n v="1"/>
    <n v="0"/>
    <n v="3.1"/>
    <n v="1"/>
    <n v="0"/>
  </r>
  <r>
    <s v="2023-01"/>
    <d v="2023-01-01T00:00:00"/>
    <x v="4"/>
    <x v="5"/>
    <x v="5"/>
    <x v="0"/>
    <x v="2"/>
    <s v="Female"/>
    <x v="4"/>
    <n v="6"/>
    <n v="0"/>
    <n v="5.3"/>
    <n v="1"/>
    <n v="0"/>
  </r>
  <r>
    <s v="2023-03"/>
    <d v="2023-03-01T00:00:00"/>
    <x v="5"/>
    <x v="2"/>
    <x v="19"/>
    <x v="2"/>
    <x v="1"/>
    <s v="Female"/>
    <x v="7"/>
    <n v="4"/>
    <n v="0"/>
    <n v="2.8"/>
    <n v="1"/>
    <n v="0"/>
  </r>
  <r>
    <s v="2023-12"/>
    <d v="2023-12-01T00:00:00"/>
    <x v="9"/>
    <x v="7"/>
    <x v="13"/>
    <x v="4"/>
    <x v="4"/>
    <s v="Male"/>
    <x v="0"/>
    <n v="5"/>
    <n v="0"/>
    <n v="2.9"/>
    <n v="1"/>
    <n v="0"/>
  </r>
  <r>
    <s v="2023-09"/>
    <d v="2023-09-01T00:00:00"/>
    <x v="10"/>
    <x v="8"/>
    <x v="10"/>
    <x v="4"/>
    <x v="3"/>
    <s v="Female"/>
    <x v="1"/>
    <n v="3"/>
    <n v="0"/>
    <n v="1.3"/>
    <n v="1"/>
    <n v="0"/>
  </r>
  <r>
    <s v="2023-06"/>
    <d v="2023-06-01T00:00:00"/>
    <x v="1"/>
    <x v="2"/>
    <x v="19"/>
    <x v="1"/>
    <x v="3"/>
    <s v="Female"/>
    <x v="0"/>
    <n v="5"/>
    <n v="0"/>
    <n v="1.7"/>
    <n v="1"/>
    <n v="0"/>
  </r>
  <r>
    <s v="2023-09"/>
    <d v="2023-09-01T00:00:00"/>
    <x v="10"/>
    <x v="0"/>
    <x v="0"/>
    <x v="2"/>
    <x v="4"/>
    <s v="Female"/>
    <x v="3"/>
    <n v="2"/>
    <n v="0"/>
    <n v="3.4"/>
    <n v="1"/>
    <n v="0"/>
  </r>
  <r>
    <s v="2023-09"/>
    <d v="2023-09-01T00:00:00"/>
    <x v="10"/>
    <x v="6"/>
    <x v="7"/>
    <x v="4"/>
    <x v="4"/>
    <s v="Male"/>
    <x v="3"/>
    <n v="2"/>
    <n v="0"/>
    <n v="2.1"/>
    <n v="1"/>
    <n v="0"/>
  </r>
  <r>
    <s v="2023-03"/>
    <d v="2023-03-01T00:00:00"/>
    <x v="5"/>
    <x v="9"/>
    <x v="14"/>
    <x v="4"/>
    <x v="3"/>
    <s v="Male"/>
    <x v="1"/>
    <n v="3"/>
    <n v="0"/>
    <n v="3.5"/>
    <n v="1"/>
    <n v="0"/>
  </r>
  <r>
    <s v="2023-10"/>
    <d v="2023-10-01T00:00:00"/>
    <x v="2"/>
    <x v="5"/>
    <x v="6"/>
    <x v="0"/>
    <x v="2"/>
    <s v="Female"/>
    <x v="0"/>
    <n v="5"/>
    <n v="0"/>
    <n v="1.9"/>
    <n v="1"/>
    <n v="0"/>
  </r>
  <r>
    <s v="2023-04"/>
    <d v="2023-04-01T00:00:00"/>
    <x v="0"/>
    <x v="9"/>
    <x v="17"/>
    <x v="5"/>
    <x v="5"/>
    <s v="Female"/>
    <x v="0"/>
    <n v="5"/>
    <n v="0"/>
    <n v="3"/>
    <n v="1"/>
    <n v="0"/>
  </r>
  <r>
    <s v="2023-05"/>
    <d v="2023-05-01T00:00:00"/>
    <x v="7"/>
    <x v="8"/>
    <x v="10"/>
    <x v="5"/>
    <x v="3"/>
    <s v="Male"/>
    <x v="7"/>
    <n v="4"/>
    <n v="0"/>
    <n v="4.3"/>
    <n v="1"/>
    <n v="0"/>
  </r>
  <r>
    <s v="2023-11"/>
    <d v="2023-11-01T00:00:00"/>
    <x v="11"/>
    <x v="1"/>
    <x v="1"/>
    <x v="0"/>
    <x v="1"/>
    <s v="Female"/>
    <x v="9"/>
    <n v="9"/>
    <n v="1"/>
    <n v="1.1000000000000001"/>
    <n v="0.9"/>
    <n v="0.1"/>
  </r>
  <r>
    <s v="2023-04"/>
    <d v="2023-04-01T00:00:00"/>
    <x v="0"/>
    <x v="7"/>
    <x v="13"/>
    <x v="5"/>
    <x v="0"/>
    <s v="Male"/>
    <x v="0"/>
    <n v="5"/>
    <n v="0"/>
    <n v="4.0999999999999996"/>
    <n v="1"/>
    <n v="0"/>
  </r>
  <r>
    <s v="2023-09"/>
    <d v="2023-09-01T00:00:00"/>
    <x v="10"/>
    <x v="4"/>
    <x v="11"/>
    <x v="5"/>
    <x v="2"/>
    <s v="Female"/>
    <x v="4"/>
    <n v="4"/>
    <n v="1"/>
    <n v="0.8"/>
    <n v="0.66666666666666663"/>
    <n v="0.16666666666666666"/>
  </r>
  <r>
    <s v="2023-04"/>
    <d v="2023-04-01T00:00:00"/>
    <x v="0"/>
    <x v="2"/>
    <x v="2"/>
    <x v="3"/>
    <x v="5"/>
    <s v="Male"/>
    <x v="0"/>
    <n v="3"/>
    <n v="0"/>
    <n v="5.2"/>
    <n v="0.6"/>
    <n v="0"/>
  </r>
  <r>
    <s v="2023-07"/>
    <d v="2023-07-01T00:00:00"/>
    <x v="8"/>
    <x v="0"/>
    <x v="0"/>
    <x v="1"/>
    <x v="2"/>
    <s v="Female"/>
    <x v="4"/>
    <n v="5"/>
    <n v="0"/>
    <n v="4.2"/>
    <n v="0.83333333333333337"/>
    <n v="0"/>
  </r>
  <r>
    <s v="2023-03"/>
    <d v="2023-03-01T00:00:00"/>
    <x v="5"/>
    <x v="5"/>
    <x v="6"/>
    <x v="0"/>
    <x v="4"/>
    <s v="Female"/>
    <x v="4"/>
    <n v="6"/>
    <n v="1"/>
    <n v="3.8"/>
    <n v="1"/>
    <n v="0.16666666666666666"/>
  </r>
  <r>
    <s v="2023-06"/>
    <d v="2023-06-01T00:00:00"/>
    <x v="1"/>
    <x v="8"/>
    <x v="18"/>
    <x v="4"/>
    <x v="0"/>
    <s v="Male"/>
    <x v="7"/>
    <n v="3"/>
    <n v="0"/>
    <n v="2.6"/>
    <n v="0.75"/>
    <n v="0"/>
  </r>
  <r>
    <s v="2023-10"/>
    <d v="2023-10-01T00:00:00"/>
    <x v="2"/>
    <x v="2"/>
    <x v="19"/>
    <x v="4"/>
    <x v="4"/>
    <s v="Male"/>
    <x v="4"/>
    <n v="5"/>
    <n v="0"/>
    <n v="5"/>
    <n v="0.83333333333333337"/>
    <n v="0"/>
  </r>
  <r>
    <s v="2023-05"/>
    <d v="2023-05-01T00:00:00"/>
    <x v="7"/>
    <x v="5"/>
    <x v="5"/>
    <x v="5"/>
    <x v="4"/>
    <s v="Male"/>
    <x v="4"/>
    <n v="5"/>
    <n v="0"/>
    <n v="3.3"/>
    <n v="0.83333333333333337"/>
    <n v="0"/>
  </r>
  <r>
    <s v="2023-01"/>
    <d v="2023-01-01T00:00:00"/>
    <x v="4"/>
    <x v="9"/>
    <x v="17"/>
    <x v="5"/>
    <x v="4"/>
    <s v="Female"/>
    <x v="1"/>
    <n v="2"/>
    <n v="0"/>
    <n v="2.2999999999999998"/>
    <n v="0.66666666666666663"/>
    <n v="0"/>
  </r>
  <r>
    <s v="2023-10"/>
    <d v="2023-10-01T00:00:00"/>
    <x v="2"/>
    <x v="0"/>
    <x v="0"/>
    <x v="1"/>
    <x v="2"/>
    <s v="Female"/>
    <x v="7"/>
    <n v="3"/>
    <n v="0"/>
    <n v="3"/>
    <n v="0.75"/>
    <n v="0"/>
  </r>
  <r>
    <s v="2023-03"/>
    <d v="2023-03-01T00:00:00"/>
    <x v="5"/>
    <x v="5"/>
    <x v="5"/>
    <x v="1"/>
    <x v="4"/>
    <s v="Male"/>
    <x v="1"/>
    <n v="3"/>
    <n v="0"/>
    <n v="2.7"/>
    <n v="1"/>
    <n v="0"/>
  </r>
  <r>
    <s v="2023-03"/>
    <d v="2023-03-01T00:00:00"/>
    <x v="5"/>
    <x v="7"/>
    <x v="13"/>
    <x v="2"/>
    <x v="5"/>
    <s v="Female"/>
    <x v="0"/>
    <n v="5"/>
    <n v="0"/>
    <n v="4.2"/>
    <n v="1"/>
    <n v="0"/>
  </r>
  <r>
    <s v="2023-03"/>
    <d v="2023-03-01T00:00:00"/>
    <x v="5"/>
    <x v="4"/>
    <x v="4"/>
    <x v="0"/>
    <x v="0"/>
    <s v="Female"/>
    <x v="8"/>
    <n v="7"/>
    <n v="0"/>
    <n v="0.5"/>
    <n v="1"/>
    <n v="0"/>
  </r>
  <r>
    <s v="2023-05"/>
    <d v="2023-05-01T00:00:00"/>
    <x v="7"/>
    <x v="8"/>
    <x v="10"/>
    <x v="5"/>
    <x v="4"/>
    <s v="Male"/>
    <x v="4"/>
    <n v="4"/>
    <n v="1"/>
    <n v="1.3"/>
    <n v="0.66666666666666663"/>
    <n v="0.16666666666666666"/>
  </r>
  <r>
    <s v="2023-03"/>
    <d v="2023-03-01T00:00:00"/>
    <x v="5"/>
    <x v="4"/>
    <x v="4"/>
    <x v="3"/>
    <x v="4"/>
    <s v="Male"/>
    <x v="3"/>
    <n v="1"/>
    <n v="1"/>
    <n v="3.2"/>
    <n v="0.5"/>
    <n v="0.5"/>
  </r>
  <r>
    <s v="2023-02"/>
    <d v="2023-02-01T00:00:00"/>
    <x v="6"/>
    <x v="8"/>
    <x v="10"/>
    <x v="0"/>
    <x v="5"/>
    <s v="Male"/>
    <x v="3"/>
    <n v="2"/>
    <n v="0"/>
    <n v="3.9"/>
    <n v="1"/>
    <n v="0"/>
  </r>
  <r>
    <s v="2023-04"/>
    <d v="2023-04-01T00:00:00"/>
    <x v="0"/>
    <x v="4"/>
    <x v="11"/>
    <x v="4"/>
    <x v="0"/>
    <s v="Female"/>
    <x v="7"/>
    <n v="4"/>
    <n v="0"/>
    <n v="3"/>
    <n v="1"/>
    <n v="0"/>
  </r>
  <r>
    <s v="2023-04"/>
    <d v="2023-04-01T00:00:00"/>
    <x v="0"/>
    <x v="9"/>
    <x v="17"/>
    <x v="0"/>
    <x v="5"/>
    <s v="Female"/>
    <x v="8"/>
    <n v="5"/>
    <n v="0"/>
    <n v="1.2"/>
    <n v="0.7142857142857143"/>
    <n v="0"/>
  </r>
  <r>
    <s v="2023-05"/>
    <d v="2023-05-01T00:00:00"/>
    <x v="7"/>
    <x v="5"/>
    <x v="6"/>
    <x v="0"/>
    <x v="1"/>
    <s v="Male"/>
    <x v="7"/>
    <n v="3"/>
    <n v="0"/>
    <n v="2.7"/>
    <n v="0.75"/>
    <n v="0"/>
  </r>
  <r>
    <s v="2023-11"/>
    <d v="2023-11-01T00:00:00"/>
    <x v="11"/>
    <x v="8"/>
    <x v="10"/>
    <x v="3"/>
    <x v="4"/>
    <s v="Male"/>
    <x v="4"/>
    <n v="6"/>
    <n v="0"/>
    <n v="1.7"/>
    <n v="1"/>
    <n v="0"/>
  </r>
  <r>
    <s v="2023-07"/>
    <d v="2023-07-01T00:00:00"/>
    <x v="8"/>
    <x v="7"/>
    <x v="13"/>
    <x v="0"/>
    <x v="3"/>
    <s v="Female"/>
    <x v="2"/>
    <n v="7"/>
    <n v="0"/>
    <n v="2"/>
    <n v="0.875"/>
    <n v="0"/>
  </r>
  <r>
    <s v="2023-04"/>
    <d v="2023-04-01T00:00:00"/>
    <x v="0"/>
    <x v="8"/>
    <x v="18"/>
    <x v="0"/>
    <x v="1"/>
    <s v="Female"/>
    <x v="1"/>
    <n v="3"/>
    <n v="0"/>
    <n v="3.1"/>
    <n v="1"/>
    <n v="0"/>
  </r>
  <r>
    <s v="2023-08"/>
    <d v="2023-08-01T00:00:00"/>
    <x v="3"/>
    <x v="5"/>
    <x v="5"/>
    <x v="4"/>
    <x v="0"/>
    <s v="Male"/>
    <x v="0"/>
    <n v="4"/>
    <n v="2"/>
    <n v="1.2"/>
    <n v="0.8"/>
    <n v="0.4"/>
  </r>
  <r>
    <s v="2023-04"/>
    <d v="2023-04-01T00:00:00"/>
    <x v="0"/>
    <x v="3"/>
    <x v="15"/>
    <x v="2"/>
    <x v="3"/>
    <s v="Female"/>
    <x v="7"/>
    <n v="4"/>
    <n v="0"/>
    <n v="2.2999999999999998"/>
    <n v="1"/>
    <n v="0"/>
  </r>
  <r>
    <s v="2023-07"/>
    <d v="2023-07-01T00:00:00"/>
    <x v="8"/>
    <x v="5"/>
    <x v="6"/>
    <x v="1"/>
    <x v="1"/>
    <s v="Male"/>
    <x v="0"/>
    <n v="5"/>
    <n v="1"/>
    <n v="3.7"/>
    <n v="1"/>
    <n v="0.2"/>
  </r>
  <r>
    <s v="2023-09"/>
    <d v="2023-09-01T00:00:00"/>
    <x v="10"/>
    <x v="5"/>
    <x v="5"/>
    <x v="5"/>
    <x v="3"/>
    <s v="Female"/>
    <x v="2"/>
    <n v="7"/>
    <n v="0"/>
    <n v="4.2"/>
    <n v="0.875"/>
    <n v="0"/>
  </r>
  <r>
    <s v="2023-11"/>
    <d v="2023-11-01T00:00:00"/>
    <x v="11"/>
    <x v="9"/>
    <x v="14"/>
    <x v="5"/>
    <x v="5"/>
    <s v="Female"/>
    <x v="5"/>
    <n v="1"/>
    <n v="0"/>
    <n v="2.9"/>
    <n v="1"/>
    <n v="0"/>
  </r>
  <r>
    <s v="2023-05"/>
    <d v="2023-05-01T00:00:00"/>
    <x v="7"/>
    <x v="4"/>
    <x v="4"/>
    <x v="2"/>
    <x v="5"/>
    <s v="Male"/>
    <x v="0"/>
    <n v="3"/>
    <n v="0"/>
    <n v="3.5"/>
    <n v="0.6"/>
    <n v="0"/>
  </r>
  <r>
    <s v="2023-11"/>
    <d v="2023-11-01T00:00:00"/>
    <x v="11"/>
    <x v="0"/>
    <x v="12"/>
    <x v="1"/>
    <x v="0"/>
    <s v="Female"/>
    <x v="3"/>
    <n v="2"/>
    <n v="0"/>
    <n v="2.9"/>
    <n v="1"/>
    <n v="0"/>
  </r>
  <r>
    <s v="2023-08"/>
    <d v="2023-08-01T00:00:00"/>
    <x v="3"/>
    <x v="1"/>
    <x v="16"/>
    <x v="1"/>
    <x v="0"/>
    <s v="Male"/>
    <x v="5"/>
    <n v="1"/>
    <n v="0"/>
    <n v="2.2000000000000002"/>
    <n v="1"/>
    <n v="0"/>
  </r>
  <r>
    <s v="2023-11"/>
    <d v="2023-11-01T00:00:00"/>
    <x v="11"/>
    <x v="0"/>
    <x v="12"/>
    <x v="3"/>
    <x v="5"/>
    <s v="Female"/>
    <x v="2"/>
    <n v="6"/>
    <n v="1"/>
    <n v="2.2999999999999998"/>
    <n v="0.75"/>
    <n v="0.125"/>
  </r>
  <r>
    <s v="2023-04"/>
    <d v="2023-04-01T00:00:00"/>
    <x v="0"/>
    <x v="1"/>
    <x v="16"/>
    <x v="0"/>
    <x v="3"/>
    <s v="Male"/>
    <x v="7"/>
    <n v="3"/>
    <n v="0"/>
    <n v="2.2999999999999998"/>
    <n v="0.75"/>
    <n v="0"/>
  </r>
  <r>
    <s v="2023-07"/>
    <d v="2023-07-01T00:00:00"/>
    <x v="8"/>
    <x v="3"/>
    <x v="3"/>
    <x v="3"/>
    <x v="4"/>
    <s v="Female"/>
    <x v="7"/>
    <n v="4"/>
    <n v="0"/>
    <n v="3.7"/>
    <n v="1"/>
    <n v="0"/>
  </r>
  <r>
    <s v="2023-08"/>
    <d v="2023-08-01T00:00:00"/>
    <x v="3"/>
    <x v="9"/>
    <x v="17"/>
    <x v="1"/>
    <x v="2"/>
    <s v="Female"/>
    <x v="4"/>
    <n v="6"/>
    <n v="0"/>
    <n v="3.3"/>
    <n v="1"/>
    <n v="0"/>
  </r>
  <r>
    <s v="2023-10"/>
    <d v="2023-10-01T00:00:00"/>
    <x v="2"/>
    <x v="2"/>
    <x v="19"/>
    <x v="0"/>
    <x v="2"/>
    <s v="Female"/>
    <x v="7"/>
    <n v="4"/>
    <n v="0"/>
    <n v="3.8"/>
    <n v="1"/>
    <n v="0"/>
  </r>
  <r>
    <s v="2023-09"/>
    <d v="2023-09-01T00:00:00"/>
    <x v="10"/>
    <x v="4"/>
    <x v="11"/>
    <x v="1"/>
    <x v="3"/>
    <s v="Female"/>
    <x v="7"/>
    <n v="4"/>
    <n v="0"/>
    <n v="4"/>
    <n v="1"/>
    <n v="0"/>
  </r>
  <r>
    <s v="2023-05"/>
    <d v="2023-05-01T00:00:00"/>
    <x v="7"/>
    <x v="9"/>
    <x v="14"/>
    <x v="2"/>
    <x v="2"/>
    <s v="Female"/>
    <x v="0"/>
    <n v="5"/>
    <n v="0"/>
    <n v="3.5"/>
    <n v="1"/>
    <n v="0"/>
  </r>
  <r>
    <s v="2023-10"/>
    <d v="2023-10-01T00:00:00"/>
    <x v="2"/>
    <x v="3"/>
    <x v="3"/>
    <x v="1"/>
    <x v="2"/>
    <s v="Male"/>
    <x v="4"/>
    <n v="5"/>
    <n v="0"/>
    <n v="3.2"/>
    <n v="0.83333333333333337"/>
    <n v="0"/>
  </r>
  <r>
    <s v="2023-10"/>
    <d v="2023-10-01T00:00:00"/>
    <x v="2"/>
    <x v="2"/>
    <x v="19"/>
    <x v="5"/>
    <x v="1"/>
    <s v="Male"/>
    <x v="3"/>
    <n v="2"/>
    <n v="0"/>
    <n v="2.1"/>
    <n v="1"/>
    <n v="0"/>
  </r>
  <r>
    <s v="2023-10"/>
    <d v="2023-10-01T00:00:00"/>
    <x v="2"/>
    <x v="6"/>
    <x v="7"/>
    <x v="4"/>
    <x v="5"/>
    <s v="Female"/>
    <x v="7"/>
    <n v="3"/>
    <n v="0"/>
    <n v="1.5"/>
    <n v="0.75"/>
    <n v="0"/>
  </r>
  <r>
    <s v="2023-11"/>
    <d v="2023-11-01T00:00:00"/>
    <x v="11"/>
    <x v="6"/>
    <x v="8"/>
    <x v="2"/>
    <x v="2"/>
    <s v="Male"/>
    <x v="0"/>
    <n v="5"/>
    <n v="0"/>
    <n v="2.8"/>
    <n v="1"/>
    <n v="0"/>
  </r>
  <r>
    <s v="2023-04"/>
    <d v="2023-04-01T00:00:00"/>
    <x v="0"/>
    <x v="6"/>
    <x v="8"/>
    <x v="4"/>
    <x v="2"/>
    <s v="Male"/>
    <x v="1"/>
    <n v="3"/>
    <n v="0"/>
    <n v="3.4"/>
    <n v="1"/>
    <n v="0"/>
  </r>
  <r>
    <s v="2023-08"/>
    <d v="2023-08-01T00:00:00"/>
    <x v="3"/>
    <x v="5"/>
    <x v="5"/>
    <x v="2"/>
    <x v="0"/>
    <s v="Male"/>
    <x v="7"/>
    <n v="4"/>
    <n v="0"/>
    <n v="4.3"/>
    <n v="1"/>
    <n v="0"/>
  </r>
  <r>
    <s v="2023-10"/>
    <d v="2023-10-01T00:00:00"/>
    <x v="2"/>
    <x v="2"/>
    <x v="19"/>
    <x v="4"/>
    <x v="3"/>
    <s v="Female"/>
    <x v="4"/>
    <n v="5"/>
    <n v="0"/>
    <n v="3.2"/>
    <n v="0.83333333333333337"/>
    <n v="0"/>
  </r>
  <r>
    <s v="2023-03"/>
    <d v="2023-03-01T00:00:00"/>
    <x v="5"/>
    <x v="8"/>
    <x v="10"/>
    <x v="4"/>
    <x v="1"/>
    <s v="Male"/>
    <x v="0"/>
    <n v="4"/>
    <n v="1"/>
    <n v="4"/>
    <n v="0.8"/>
    <n v="0.2"/>
  </r>
  <r>
    <s v="2023-01"/>
    <d v="2023-01-01T00:00:00"/>
    <x v="4"/>
    <x v="1"/>
    <x v="16"/>
    <x v="1"/>
    <x v="1"/>
    <s v="Male"/>
    <x v="4"/>
    <n v="5"/>
    <n v="0"/>
    <n v="3"/>
    <n v="0.83333333333333337"/>
    <n v="0"/>
  </r>
  <r>
    <s v="2023-02"/>
    <d v="2023-02-01T00:00:00"/>
    <x v="6"/>
    <x v="2"/>
    <x v="19"/>
    <x v="4"/>
    <x v="5"/>
    <s v="Female"/>
    <x v="1"/>
    <n v="3"/>
    <n v="0"/>
    <n v="3.6"/>
    <n v="1"/>
    <n v="0"/>
  </r>
  <r>
    <s v="2023-10"/>
    <d v="2023-10-01T00:00:00"/>
    <x v="2"/>
    <x v="6"/>
    <x v="7"/>
    <x v="0"/>
    <x v="3"/>
    <s v="Female"/>
    <x v="8"/>
    <n v="7"/>
    <n v="0"/>
    <n v="1.3"/>
    <n v="1"/>
    <n v="0"/>
  </r>
  <r>
    <s v="2023-04"/>
    <d v="2023-04-01T00:00:00"/>
    <x v="0"/>
    <x v="3"/>
    <x v="3"/>
    <x v="5"/>
    <x v="3"/>
    <s v="Female"/>
    <x v="1"/>
    <n v="2"/>
    <n v="0"/>
    <n v="3.4"/>
    <n v="0.66666666666666663"/>
    <n v="0"/>
  </r>
  <r>
    <s v="2023-05"/>
    <d v="2023-05-01T00:00:00"/>
    <x v="7"/>
    <x v="1"/>
    <x v="1"/>
    <x v="4"/>
    <x v="2"/>
    <s v="Male"/>
    <x v="4"/>
    <n v="6"/>
    <n v="0"/>
    <n v="1.4"/>
    <n v="1"/>
    <n v="0"/>
  </r>
  <r>
    <s v="2023-07"/>
    <d v="2023-07-01T00:00:00"/>
    <x v="8"/>
    <x v="8"/>
    <x v="10"/>
    <x v="3"/>
    <x v="5"/>
    <s v="Female"/>
    <x v="7"/>
    <n v="3"/>
    <n v="0"/>
    <n v="3.8"/>
    <n v="0.75"/>
    <n v="0"/>
  </r>
  <r>
    <s v="2023-08"/>
    <d v="2023-08-01T00:00:00"/>
    <x v="3"/>
    <x v="9"/>
    <x v="14"/>
    <x v="1"/>
    <x v="0"/>
    <s v="Female"/>
    <x v="4"/>
    <n v="6"/>
    <n v="1"/>
    <n v="4.2"/>
    <n v="1"/>
    <n v="0.16666666666666666"/>
  </r>
  <r>
    <s v="2023-06"/>
    <d v="2023-06-01T00:00:00"/>
    <x v="1"/>
    <x v="9"/>
    <x v="14"/>
    <x v="1"/>
    <x v="4"/>
    <s v="Female"/>
    <x v="4"/>
    <n v="5"/>
    <n v="1"/>
    <n v="2.2000000000000002"/>
    <n v="0.83333333333333337"/>
    <n v="0.16666666666666666"/>
  </r>
  <r>
    <s v="2023-02"/>
    <d v="2023-02-01T00:00:00"/>
    <x v="6"/>
    <x v="6"/>
    <x v="7"/>
    <x v="0"/>
    <x v="0"/>
    <s v="Male"/>
    <x v="7"/>
    <n v="3"/>
    <n v="0"/>
    <n v="2.8"/>
    <n v="0.75"/>
    <n v="0"/>
  </r>
  <r>
    <s v="2023-11"/>
    <d v="2023-11-01T00:00:00"/>
    <x v="11"/>
    <x v="9"/>
    <x v="17"/>
    <x v="4"/>
    <x v="5"/>
    <s v="Male"/>
    <x v="1"/>
    <n v="2"/>
    <n v="0"/>
    <n v="1.5"/>
    <n v="0.66666666666666663"/>
    <n v="0"/>
  </r>
  <r>
    <s v="2023-11"/>
    <d v="2023-11-01T00:00:00"/>
    <x v="11"/>
    <x v="9"/>
    <x v="14"/>
    <x v="1"/>
    <x v="0"/>
    <s v="Male"/>
    <x v="0"/>
    <n v="5"/>
    <n v="1"/>
    <n v="2.8"/>
    <n v="1"/>
    <n v="0.2"/>
  </r>
  <r>
    <s v="2023-10"/>
    <d v="2023-10-01T00:00:00"/>
    <x v="2"/>
    <x v="4"/>
    <x v="4"/>
    <x v="2"/>
    <x v="0"/>
    <s v="Female"/>
    <x v="7"/>
    <n v="2"/>
    <n v="0"/>
    <n v="1.4"/>
    <n v="0.5"/>
    <n v="0"/>
  </r>
  <r>
    <s v="2023-10"/>
    <d v="2023-10-01T00:00:00"/>
    <x v="2"/>
    <x v="5"/>
    <x v="6"/>
    <x v="3"/>
    <x v="2"/>
    <s v="Female"/>
    <x v="1"/>
    <n v="3"/>
    <n v="0"/>
    <n v="2.2999999999999998"/>
    <n v="1"/>
    <n v="0"/>
  </r>
  <r>
    <s v="2023-01"/>
    <d v="2023-01-01T00:00:00"/>
    <x v="4"/>
    <x v="8"/>
    <x v="18"/>
    <x v="0"/>
    <x v="4"/>
    <s v="Female"/>
    <x v="0"/>
    <n v="5"/>
    <n v="1"/>
    <n v="3.4"/>
    <n v="1"/>
    <n v="0.2"/>
  </r>
  <r>
    <s v="2023-12"/>
    <d v="2023-12-01T00:00:00"/>
    <x v="9"/>
    <x v="2"/>
    <x v="19"/>
    <x v="5"/>
    <x v="3"/>
    <s v="Male"/>
    <x v="7"/>
    <n v="4"/>
    <n v="0"/>
    <n v="2.7"/>
    <n v="1"/>
    <n v="0"/>
  </r>
  <r>
    <s v="2023-02"/>
    <d v="2023-02-01T00:00:00"/>
    <x v="6"/>
    <x v="5"/>
    <x v="5"/>
    <x v="1"/>
    <x v="0"/>
    <s v="Male"/>
    <x v="7"/>
    <n v="4"/>
    <n v="0"/>
    <n v="4.0999999999999996"/>
    <n v="1"/>
    <n v="0"/>
  </r>
  <r>
    <s v="2023-04"/>
    <d v="2023-04-01T00:00:00"/>
    <x v="0"/>
    <x v="5"/>
    <x v="6"/>
    <x v="4"/>
    <x v="4"/>
    <s v="Male"/>
    <x v="10"/>
    <n v="9"/>
    <n v="2"/>
    <n v="2.1"/>
    <n v="1"/>
    <n v="0.22222222222222221"/>
  </r>
  <r>
    <s v="2023-12"/>
    <d v="2023-12-01T00:00:00"/>
    <x v="9"/>
    <x v="4"/>
    <x v="4"/>
    <x v="2"/>
    <x v="0"/>
    <s v="Male"/>
    <x v="1"/>
    <n v="3"/>
    <n v="0"/>
    <n v="0.6"/>
    <n v="1"/>
    <n v="0"/>
  </r>
  <r>
    <s v="2023-10"/>
    <d v="2023-10-01T00:00:00"/>
    <x v="2"/>
    <x v="8"/>
    <x v="10"/>
    <x v="2"/>
    <x v="1"/>
    <s v="Female"/>
    <x v="4"/>
    <n v="6"/>
    <n v="1"/>
    <n v="1.7"/>
    <n v="1"/>
    <n v="0.16666666666666666"/>
  </r>
  <r>
    <s v="2023-02"/>
    <d v="2023-02-01T00:00:00"/>
    <x v="6"/>
    <x v="2"/>
    <x v="2"/>
    <x v="5"/>
    <x v="4"/>
    <s v="Female"/>
    <x v="4"/>
    <n v="6"/>
    <n v="2"/>
    <n v="2.5"/>
    <n v="1"/>
    <n v="0.33333333333333331"/>
  </r>
  <r>
    <s v="2023-03"/>
    <d v="2023-03-01T00:00:00"/>
    <x v="5"/>
    <x v="3"/>
    <x v="3"/>
    <x v="1"/>
    <x v="4"/>
    <s v="Female"/>
    <x v="7"/>
    <n v="4"/>
    <n v="1"/>
    <n v="3.5"/>
    <n v="1"/>
    <n v="0.25"/>
  </r>
  <r>
    <s v="2023-10"/>
    <d v="2023-10-01T00:00:00"/>
    <x v="2"/>
    <x v="0"/>
    <x v="12"/>
    <x v="3"/>
    <x v="1"/>
    <s v="Female"/>
    <x v="7"/>
    <n v="2"/>
    <n v="1"/>
    <n v="2.6"/>
    <n v="0.5"/>
    <n v="0.25"/>
  </r>
  <r>
    <s v="2023-04"/>
    <d v="2023-04-01T00:00:00"/>
    <x v="0"/>
    <x v="7"/>
    <x v="9"/>
    <x v="2"/>
    <x v="0"/>
    <s v="Female"/>
    <x v="1"/>
    <n v="2"/>
    <n v="1"/>
    <n v="1.7"/>
    <n v="0.66666666666666663"/>
    <n v="0.33333333333333331"/>
  </r>
  <r>
    <s v="2023-12"/>
    <d v="2023-12-01T00:00:00"/>
    <x v="9"/>
    <x v="8"/>
    <x v="18"/>
    <x v="0"/>
    <x v="2"/>
    <s v="Female"/>
    <x v="3"/>
    <n v="2"/>
    <n v="0"/>
    <n v="3.2"/>
    <n v="1"/>
    <n v="0"/>
  </r>
  <r>
    <s v="2023-07"/>
    <d v="2023-07-01T00:00:00"/>
    <x v="8"/>
    <x v="6"/>
    <x v="8"/>
    <x v="2"/>
    <x v="0"/>
    <s v="Female"/>
    <x v="1"/>
    <n v="3"/>
    <n v="0"/>
    <n v="3.7"/>
    <n v="1"/>
    <n v="0"/>
  </r>
  <r>
    <s v="2023-11"/>
    <d v="2023-11-01T00:00:00"/>
    <x v="11"/>
    <x v="7"/>
    <x v="9"/>
    <x v="2"/>
    <x v="2"/>
    <s v="Female"/>
    <x v="0"/>
    <n v="4"/>
    <n v="0"/>
    <n v="2.8"/>
    <n v="0.8"/>
    <n v="0"/>
  </r>
  <r>
    <s v="2023-04"/>
    <d v="2023-04-01T00:00:00"/>
    <x v="0"/>
    <x v="3"/>
    <x v="15"/>
    <x v="4"/>
    <x v="5"/>
    <s v="Female"/>
    <x v="7"/>
    <n v="4"/>
    <n v="0"/>
    <n v="4.0999999999999996"/>
    <n v="1"/>
    <n v="0"/>
  </r>
  <r>
    <s v="2023-09"/>
    <d v="2023-09-01T00:00:00"/>
    <x v="10"/>
    <x v="1"/>
    <x v="1"/>
    <x v="0"/>
    <x v="3"/>
    <s v="Female"/>
    <x v="0"/>
    <n v="5"/>
    <n v="0"/>
    <n v="2.8"/>
    <n v="1"/>
    <n v="0"/>
  </r>
  <r>
    <s v="2023-01"/>
    <d v="2023-01-01T00:00:00"/>
    <x v="4"/>
    <x v="6"/>
    <x v="7"/>
    <x v="3"/>
    <x v="2"/>
    <s v="Female"/>
    <x v="3"/>
    <n v="2"/>
    <n v="0"/>
    <n v="0.6"/>
    <n v="1"/>
    <n v="0"/>
  </r>
  <r>
    <s v="2023-10"/>
    <d v="2023-10-01T00:00:00"/>
    <x v="2"/>
    <x v="2"/>
    <x v="2"/>
    <x v="4"/>
    <x v="5"/>
    <s v="Female"/>
    <x v="3"/>
    <n v="2"/>
    <n v="0"/>
    <n v="3.4"/>
    <n v="1"/>
    <n v="0"/>
  </r>
  <r>
    <s v="2023-02"/>
    <d v="2023-02-01T00:00:00"/>
    <x v="6"/>
    <x v="3"/>
    <x v="15"/>
    <x v="4"/>
    <x v="3"/>
    <s v="Male"/>
    <x v="0"/>
    <n v="5"/>
    <n v="0"/>
    <n v="3.4"/>
    <n v="1"/>
    <n v="0"/>
  </r>
  <r>
    <s v="2023-02"/>
    <d v="2023-02-01T00:00:00"/>
    <x v="6"/>
    <x v="0"/>
    <x v="12"/>
    <x v="0"/>
    <x v="0"/>
    <s v="Female"/>
    <x v="0"/>
    <n v="5"/>
    <n v="0"/>
    <n v="2.9"/>
    <n v="1"/>
    <n v="0"/>
  </r>
  <r>
    <s v="2023-05"/>
    <d v="2023-05-01T00:00:00"/>
    <x v="7"/>
    <x v="1"/>
    <x v="1"/>
    <x v="5"/>
    <x v="5"/>
    <s v="Female"/>
    <x v="0"/>
    <n v="5"/>
    <n v="1"/>
    <n v="2.5"/>
    <n v="1"/>
    <n v="0.2"/>
  </r>
  <r>
    <s v="2023-03"/>
    <d v="2023-03-01T00:00:00"/>
    <x v="5"/>
    <x v="0"/>
    <x v="12"/>
    <x v="2"/>
    <x v="4"/>
    <s v="Female"/>
    <x v="2"/>
    <n v="7"/>
    <n v="1"/>
    <n v="2.6"/>
    <n v="0.875"/>
    <n v="0.125"/>
  </r>
  <r>
    <s v="2023-03"/>
    <d v="2023-03-01T00:00:00"/>
    <x v="5"/>
    <x v="1"/>
    <x v="1"/>
    <x v="5"/>
    <x v="5"/>
    <s v="Male"/>
    <x v="1"/>
    <n v="3"/>
    <n v="0"/>
    <n v="2.5"/>
    <n v="1"/>
    <n v="0"/>
  </r>
  <r>
    <s v="2023-01"/>
    <d v="2023-01-01T00:00:00"/>
    <x v="4"/>
    <x v="8"/>
    <x v="18"/>
    <x v="1"/>
    <x v="3"/>
    <s v="Male"/>
    <x v="9"/>
    <n v="10"/>
    <n v="1"/>
    <n v="4.4000000000000004"/>
    <n v="1"/>
    <n v="0.1"/>
  </r>
  <r>
    <s v="2023-11"/>
    <d v="2023-11-01T00:00:00"/>
    <x v="11"/>
    <x v="6"/>
    <x v="7"/>
    <x v="0"/>
    <x v="4"/>
    <s v="Female"/>
    <x v="1"/>
    <n v="3"/>
    <n v="0"/>
    <n v="1.8"/>
    <n v="1"/>
    <n v="0"/>
  </r>
  <r>
    <s v="2023-02"/>
    <d v="2023-02-01T00:00:00"/>
    <x v="6"/>
    <x v="8"/>
    <x v="18"/>
    <x v="5"/>
    <x v="5"/>
    <s v="Female"/>
    <x v="0"/>
    <n v="5"/>
    <n v="1"/>
    <n v="3.3"/>
    <n v="1"/>
    <n v="0.2"/>
  </r>
  <r>
    <s v="2023-08"/>
    <d v="2023-08-01T00:00:00"/>
    <x v="3"/>
    <x v="7"/>
    <x v="13"/>
    <x v="5"/>
    <x v="0"/>
    <s v="Female"/>
    <x v="7"/>
    <n v="3"/>
    <n v="0"/>
    <n v="3.3"/>
    <n v="0.75"/>
    <n v="0"/>
  </r>
  <r>
    <s v="2023-04"/>
    <d v="2023-04-01T00:00:00"/>
    <x v="0"/>
    <x v="3"/>
    <x v="15"/>
    <x v="0"/>
    <x v="4"/>
    <s v="Male"/>
    <x v="0"/>
    <n v="5"/>
    <n v="0"/>
    <n v="3.5"/>
    <n v="1"/>
    <n v="0"/>
  </r>
  <r>
    <s v="2023-08"/>
    <d v="2023-08-01T00:00:00"/>
    <x v="3"/>
    <x v="6"/>
    <x v="7"/>
    <x v="0"/>
    <x v="4"/>
    <s v="Female"/>
    <x v="1"/>
    <n v="3"/>
    <n v="0"/>
    <n v="3.6"/>
    <n v="1"/>
    <n v="0"/>
  </r>
  <r>
    <s v="2023-05"/>
    <d v="2023-05-01T00:00:00"/>
    <x v="7"/>
    <x v="7"/>
    <x v="13"/>
    <x v="0"/>
    <x v="1"/>
    <s v="Female"/>
    <x v="7"/>
    <n v="3"/>
    <n v="0"/>
    <n v="2.8"/>
    <n v="0.75"/>
    <n v="0"/>
  </r>
  <r>
    <s v="2023-08"/>
    <d v="2023-08-01T00:00:00"/>
    <x v="3"/>
    <x v="2"/>
    <x v="2"/>
    <x v="4"/>
    <x v="3"/>
    <s v="Female"/>
    <x v="8"/>
    <n v="4"/>
    <n v="0"/>
    <n v="2.4"/>
    <n v="0.5714285714285714"/>
    <n v="0"/>
  </r>
  <r>
    <s v="2023-03"/>
    <d v="2023-03-01T00:00:00"/>
    <x v="5"/>
    <x v="7"/>
    <x v="9"/>
    <x v="5"/>
    <x v="2"/>
    <s v="Female"/>
    <x v="0"/>
    <n v="4"/>
    <n v="0"/>
    <n v="4.7"/>
    <n v="0.8"/>
    <n v="0"/>
  </r>
  <r>
    <s v="2023-08"/>
    <d v="2023-08-01T00:00:00"/>
    <x v="3"/>
    <x v="1"/>
    <x v="16"/>
    <x v="0"/>
    <x v="4"/>
    <s v="Female"/>
    <x v="8"/>
    <n v="7"/>
    <n v="0"/>
    <n v="0.7"/>
    <n v="1"/>
    <n v="0"/>
  </r>
  <r>
    <s v="2023-09"/>
    <d v="2023-09-01T00:00:00"/>
    <x v="10"/>
    <x v="3"/>
    <x v="15"/>
    <x v="1"/>
    <x v="3"/>
    <s v="Female"/>
    <x v="4"/>
    <n v="5"/>
    <n v="0"/>
    <n v="3"/>
    <n v="0.83333333333333337"/>
    <n v="0"/>
  </r>
  <r>
    <s v="2023-03"/>
    <d v="2023-03-01T00:00:00"/>
    <x v="5"/>
    <x v="2"/>
    <x v="2"/>
    <x v="4"/>
    <x v="4"/>
    <s v="Female"/>
    <x v="7"/>
    <n v="4"/>
    <n v="0"/>
    <n v="3.7"/>
    <n v="1"/>
    <n v="0"/>
  </r>
  <r>
    <s v="2023-07"/>
    <d v="2023-07-01T00:00:00"/>
    <x v="8"/>
    <x v="5"/>
    <x v="6"/>
    <x v="1"/>
    <x v="3"/>
    <s v="Female"/>
    <x v="7"/>
    <n v="4"/>
    <n v="0"/>
    <n v="4.9000000000000004"/>
    <n v="1"/>
    <n v="0"/>
  </r>
  <r>
    <s v="2023-03"/>
    <d v="2023-03-01T00:00:00"/>
    <x v="5"/>
    <x v="1"/>
    <x v="1"/>
    <x v="0"/>
    <x v="5"/>
    <s v="Female"/>
    <x v="8"/>
    <n v="6"/>
    <n v="0"/>
    <n v="4"/>
    <n v="0.8571428571428571"/>
    <n v="0"/>
  </r>
  <r>
    <s v="2023-02"/>
    <d v="2023-02-01T00:00:00"/>
    <x v="6"/>
    <x v="5"/>
    <x v="6"/>
    <x v="2"/>
    <x v="3"/>
    <s v="Male"/>
    <x v="3"/>
    <n v="1"/>
    <n v="0"/>
    <n v="2.7"/>
    <n v="0.5"/>
    <n v="0"/>
  </r>
  <r>
    <s v="2023-11"/>
    <d v="2023-11-01T00:00:00"/>
    <x v="11"/>
    <x v="2"/>
    <x v="2"/>
    <x v="0"/>
    <x v="4"/>
    <s v="Female"/>
    <x v="1"/>
    <n v="2"/>
    <n v="0"/>
    <n v="2.1"/>
    <n v="0.66666666666666663"/>
    <n v="0"/>
  </r>
  <r>
    <s v="2023-08"/>
    <d v="2023-08-01T00:00:00"/>
    <x v="3"/>
    <x v="5"/>
    <x v="6"/>
    <x v="4"/>
    <x v="1"/>
    <s v="Female"/>
    <x v="7"/>
    <n v="4"/>
    <n v="0"/>
    <n v="2.8"/>
    <n v="1"/>
    <n v="0"/>
  </r>
  <r>
    <s v="2023-02"/>
    <d v="2023-02-01T00:00:00"/>
    <x v="6"/>
    <x v="1"/>
    <x v="16"/>
    <x v="0"/>
    <x v="2"/>
    <s v="Male"/>
    <x v="8"/>
    <n v="6"/>
    <n v="0"/>
    <n v="4"/>
    <n v="0.8571428571428571"/>
    <n v="0"/>
  </r>
  <r>
    <s v="2023-08"/>
    <d v="2023-08-01T00:00:00"/>
    <x v="3"/>
    <x v="8"/>
    <x v="10"/>
    <x v="3"/>
    <x v="4"/>
    <s v="Male"/>
    <x v="4"/>
    <n v="6"/>
    <n v="0"/>
    <n v="2.9"/>
    <n v="1"/>
    <n v="0"/>
  </r>
  <r>
    <s v="2023-03"/>
    <d v="2023-03-01T00:00:00"/>
    <x v="5"/>
    <x v="2"/>
    <x v="2"/>
    <x v="3"/>
    <x v="5"/>
    <s v="Male"/>
    <x v="8"/>
    <n v="7"/>
    <n v="1"/>
    <n v="3.2"/>
    <n v="1"/>
    <n v="0.14285714285714285"/>
  </r>
  <r>
    <s v="2023-08"/>
    <d v="2023-08-01T00:00:00"/>
    <x v="3"/>
    <x v="9"/>
    <x v="17"/>
    <x v="5"/>
    <x v="0"/>
    <s v="Male"/>
    <x v="4"/>
    <n v="6"/>
    <n v="0"/>
    <n v="2.7"/>
    <n v="1"/>
    <n v="0"/>
  </r>
  <r>
    <s v="2023-05"/>
    <d v="2023-05-01T00:00:00"/>
    <x v="7"/>
    <x v="1"/>
    <x v="1"/>
    <x v="3"/>
    <x v="2"/>
    <s v="Male"/>
    <x v="2"/>
    <n v="8"/>
    <n v="0"/>
    <n v="3.2"/>
    <n v="1"/>
    <n v="0"/>
  </r>
  <r>
    <s v="2023-01"/>
    <d v="2023-01-01T00:00:00"/>
    <x v="4"/>
    <x v="0"/>
    <x v="0"/>
    <x v="5"/>
    <x v="1"/>
    <s v="Female"/>
    <x v="0"/>
    <n v="5"/>
    <n v="0"/>
    <n v="2.7"/>
    <n v="1"/>
    <n v="0"/>
  </r>
  <r>
    <s v="2023-03"/>
    <d v="2023-03-01T00:00:00"/>
    <x v="5"/>
    <x v="3"/>
    <x v="3"/>
    <x v="2"/>
    <x v="2"/>
    <s v="Female"/>
    <x v="0"/>
    <n v="5"/>
    <n v="0"/>
    <n v="3.9"/>
    <n v="1"/>
    <n v="0"/>
  </r>
  <r>
    <s v="2023-02"/>
    <d v="2023-02-01T00:00:00"/>
    <x v="6"/>
    <x v="7"/>
    <x v="9"/>
    <x v="5"/>
    <x v="0"/>
    <s v="Male"/>
    <x v="8"/>
    <n v="6"/>
    <n v="0"/>
    <n v="4.3"/>
    <n v="0.8571428571428571"/>
    <n v="0"/>
  </r>
  <r>
    <s v="2023-06"/>
    <d v="2023-06-01T00:00:00"/>
    <x v="1"/>
    <x v="8"/>
    <x v="18"/>
    <x v="3"/>
    <x v="2"/>
    <s v="Male"/>
    <x v="8"/>
    <n v="7"/>
    <n v="0"/>
    <n v="-0.5"/>
    <n v="1"/>
    <n v="0"/>
  </r>
  <r>
    <s v="2023-12"/>
    <d v="2023-12-01T00:00:00"/>
    <x v="9"/>
    <x v="0"/>
    <x v="0"/>
    <x v="4"/>
    <x v="3"/>
    <s v="Female"/>
    <x v="1"/>
    <n v="3"/>
    <n v="0"/>
    <n v="2.8"/>
    <n v="1"/>
    <n v="0"/>
  </r>
  <r>
    <s v="2023-08"/>
    <d v="2023-08-01T00:00:00"/>
    <x v="3"/>
    <x v="9"/>
    <x v="14"/>
    <x v="0"/>
    <x v="5"/>
    <s v="Male"/>
    <x v="1"/>
    <n v="3"/>
    <n v="0"/>
    <n v="4.4000000000000004"/>
    <n v="1"/>
    <n v="0"/>
  </r>
  <r>
    <s v="2023-07"/>
    <d v="2023-07-01T00:00:00"/>
    <x v="8"/>
    <x v="8"/>
    <x v="18"/>
    <x v="5"/>
    <x v="4"/>
    <s v="Female"/>
    <x v="4"/>
    <n v="4"/>
    <n v="2"/>
    <n v="2.9"/>
    <n v="0.66666666666666663"/>
    <n v="0.33333333333333331"/>
  </r>
  <r>
    <s v="2023-08"/>
    <d v="2023-08-01T00:00:00"/>
    <x v="3"/>
    <x v="0"/>
    <x v="0"/>
    <x v="0"/>
    <x v="2"/>
    <s v="Male"/>
    <x v="5"/>
    <n v="1"/>
    <n v="0"/>
    <n v="3.6"/>
    <n v="1"/>
    <n v="0"/>
  </r>
  <r>
    <s v="2023-05"/>
    <d v="2023-05-01T00:00:00"/>
    <x v="7"/>
    <x v="8"/>
    <x v="18"/>
    <x v="0"/>
    <x v="2"/>
    <s v="Male"/>
    <x v="2"/>
    <n v="7"/>
    <n v="0"/>
    <n v="3.1"/>
    <n v="0.875"/>
    <n v="0"/>
  </r>
  <r>
    <s v="2023-11"/>
    <d v="2023-11-01T00:00:00"/>
    <x v="11"/>
    <x v="7"/>
    <x v="9"/>
    <x v="1"/>
    <x v="3"/>
    <s v="Female"/>
    <x v="2"/>
    <n v="8"/>
    <n v="0"/>
    <n v="2.7"/>
    <n v="1"/>
    <n v="0"/>
  </r>
  <r>
    <s v="2023-09"/>
    <d v="2023-09-01T00:00:00"/>
    <x v="10"/>
    <x v="2"/>
    <x v="19"/>
    <x v="3"/>
    <x v="0"/>
    <s v="Male"/>
    <x v="0"/>
    <n v="4"/>
    <n v="0"/>
    <n v="2.6"/>
    <n v="0.8"/>
    <n v="0"/>
  </r>
  <r>
    <s v="2023-11"/>
    <d v="2023-11-01T00:00:00"/>
    <x v="11"/>
    <x v="4"/>
    <x v="4"/>
    <x v="2"/>
    <x v="1"/>
    <s v="Male"/>
    <x v="0"/>
    <n v="5"/>
    <n v="1"/>
    <n v="1.8"/>
    <n v="1"/>
    <n v="0.2"/>
  </r>
  <r>
    <s v="2023-08"/>
    <d v="2023-08-01T00:00:00"/>
    <x v="3"/>
    <x v="5"/>
    <x v="5"/>
    <x v="5"/>
    <x v="4"/>
    <s v="Female"/>
    <x v="0"/>
    <n v="5"/>
    <n v="0"/>
    <n v="3"/>
    <n v="1"/>
    <n v="0"/>
  </r>
  <r>
    <s v="2023-10"/>
    <d v="2023-10-01T00:00:00"/>
    <x v="2"/>
    <x v="5"/>
    <x v="6"/>
    <x v="3"/>
    <x v="5"/>
    <s v="Female"/>
    <x v="4"/>
    <n v="6"/>
    <n v="0"/>
    <n v="1.5"/>
    <n v="1"/>
    <n v="0"/>
  </r>
  <r>
    <s v="2023-10"/>
    <d v="2023-10-01T00:00:00"/>
    <x v="2"/>
    <x v="6"/>
    <x v="7"/>
    <x v="5"/>
    <x v="2"/>
    <s v="Female"/>
    <x v="0"/>
    <n v="5"/>
    <n v="0"/>
    <n v="4"/>
    <n v="1"/>
    <n v="0"/>
  </r>
  <r>
    <s v="2023-09"/>
    <d v="2023-09-01T00:00:00"/>
    <x v="10"/>
    <x v="4"/>
    <x v="4"/>
    <x v="0"/>
    <x v="0"/>
    <s v="Female"/>
    <x v="1"/>
    <n v="3"/>
    <n v="0"/>
    <n v="2.2999999999999998"/>
    <n v="1"/>
    <n v="0"/>
  </r>
  <r>
    <s v="2023-07"/>
    <d v="2023-07-01T00:00:00"/>
    <x v="8"/>
    <x v="9"/>
    <x v="17"/>
    <x v="2"/>
    <x v="1"/>
    <s v="Female"/>
    <x v="0"/>
    <n v="5"/>
    <n v="0"/>
    <n v="2.6"/>
    <n v="1"/>
    <n v="0"/>
  </r>
  <r>
    <s v="2023-08"/>
    <d v="2023-08-01T00:00:00"/>
    <x v="3"/>
    <x v="4"/>
    <x v="4"/>
    <x v="1"/>
    <x v="2"/>
    <s v="Female"/>
    <x v="1"/>
    <n v="3"/>
    <n v="0"/>
    <n v="3.2"/>
    <n v="1"/>
    <n v="0"/>
  </r>
  <r>
    <s v="2023-07"/>
    <d v="2023-07-01T00:00:00"/>
    <x v="8"/>
    <x v="4"/>
    <x v="11"/>
    <x v="5"/>
    <x v="1"/>
    <s v="Female"/>
    <x v="0"/>
    <n v="5"/>
    <n v="0"/>
    <n v="3.7"/>
    <n v="1"/>
    <n v="0"/>
  </r>
  <r>
    <s v="2023-01"/>
    <d v="2023-01-01T00:00:00"/>
    <x v="4"/>
    <x v="0"/>
    <x v="0"/>
    <x v="2"/>
    <x v="0"/>
    <s v="Female"/>
    <x v="4"/>
    <n v="5"/>
    <n v="1"/>
    <n v="3.1"/>
    <n v="0.83333333333333337"/>
    <n v="0.16666666666666666"/>
  </r>
  <r>
    <s v="2023-06"/>
    <d v="2023-06-01T00:00:00"/>
    <x v="1"/>
    <x v="3"/>
    <x v="3"/>
    <x v="5"/>
    <x v="0"/>
    <s v="Female"/>
    <x v="1"/>
    <n v="3"/>
    <n v="0"/>
    <n v="3.3"/>
    <n v="1"/>
    <n v="0"/>
  </r>
  <r>
    <s v="2023-01"/>
    <d v="2023-01-01T00:00:00"/>
    <x v="4"/>
    <x v="1"/>
    <x v="1"/>
    <x v="3"/>
    <x v="1"/>
    <s v="Male"/>
    <x v="2"/>
    <n v="6"/>
    <n v="1"/>
    <n v="2.8"/>
    <n v="0.75"/>
    <n v="0.125"/>
  </r>
  <r>
    <s v="2023-09"/>
    <d v="2023-09-01T00:00:00"/>
    <x v="10"/>
    <x v="3"/>
    <x v="3"/>
    <x v="3"/>
    <x v="1"/>
    <s v="Female"/>
    <x v="1"/>
    <n v="3"/>
    <n v="0"/>
    <n v="4.5999999999999996"/>
    <n v="1"/>
    <n v="0"/>
  </r>
  <r>
    <s v="2023-12"/>
    <d v="2023-12-01T00:00:00"/>
    <x v="9"/>
    <x v="9"/>
    <x v="14"/>
    <x v="5"/>
    <x v="1"/>
    <s v="Male"/>
    <x v="3"/>
    <n v="1"/>
    <n v="0"/>
    <n v="1.3"/>
    <n v="0.5"/>
    <n v="0"/>
  </r>
  <r>
    <s v="2023-05"/>
    <d v="2023-05-01T00:00:00"/>
    <x v="7"/>
    <x v="6"/>
    <x v="7"/>
    <x v="0"/>
    <x v="4"/>
    <s v="Female"/>
    <x v="7"/>
    <n v="4"/>
    <n v="0"/>
    <n v="1.2"/>
    <n v="1"/>
    <n v="0"/>
  </r>
  <r>
    <s v="2023-02"/>
    <d v="2023-02-01T00:00:00"/>
    <x v="6"/>
    <x v="4"/>
    <x v="11"/>
    <x v="3"/>
    <x v="0"/>
    <s v="Male"/>
    <x v="1"/>
    <n v="3"/>
    <n v="0"/>
    <n v="3.3"/>
    <n v="1"/>
    <n v="0"/>
  </r>
  <r>
    <s v="2023-09"/>
    <d v="2023-09-01T00:00:00"/>
    <x v="10"/>
    <x v="1"/>
    <x v="1"/>
    <x v="1"/>
    <x v="2"/>
    <s v="Male"/>
    <x v="8"/>
    <n v="6"/>
    <n v="0"/>
    <n v="1.4"/>
    <n v="0.8571428571428571"/>
    <n v="0"/>
  </r>
  <r>
    <s v="2023-06"/>
    <d v="2023-06-01T00:00:00"/>
    <x v="1"/>
    <x v="8"/>
    <x v="10"/>
    <x v="3"/>
    <x v="0"/>
    <s v="Male"/>
    <x v="0"/>
    <n v="4"/>
    <n v="0"/>
    <n v="2.6"/>
    <n v="0.8"/>
    <n v="0"/>
  </r>
  <r>
    <s v="2023-08"/>
    <d v="2023-08-01T00:00:00"/>
    <x v="3"/>
    <x v="4"/>
    <x v="11"/>
    <x v="4"/>
    <x v="2"/>
    <s v="Male"/>
    <x v="0"/>
    <n v="5"/>
    <n v="0"/>
    <n v="1.8"/>
    <n v="1"/>
    <n v="0"/>
  </r>
  <r>
    <s v="2023-06"/>
    <d v="2023-06-01T00:00:00"/>
    <x v="1"/>
    <x v="7"/>
    <x v="13"/>
    <x v="1"/>
    <x v="1"/>
    <s v="Male"/>
    <x v="1"/>
    <n v="2"/>
    <n v="0"/>
    <n v="4"/>
    <n v="0.66666666666666663"/>
    <n v="0"/>
  </r>
  <r>
    <s v="2023-06"/>
    <d v="2023-06-01T00:00:00"/>
    <x v="1"/>
    <x v="8"/>
    <x v="18"/>
    <x v="0"/>
    <x v="1"/>
    <s v="Male"/>
    <x v="1"/>
    <n v="3"/>
    <n v="0"/>
    <n v="1.6"/>
    <n v="1"/>
    <n v="0"/>
  </r>
  <r>
    <s v="2023-02"/>
    <d v="2023-02-01T00:00:00"/>
    <x v="6"/>
    <x v="8"/>
    <x v="10"/>
    <x v="5"/>
    <x v="2"/>
    <s v="Female"/>
    <x v="0"/>
    <n v="5"/>
    <n v="0"/>
    <n v="4.2"/>
    <n v="1"/>
    <n v="0"/>
  </r>
  <r>
    <s v="2023-03"/>
    <d v="2023-03-01T00:00:00"/>
    <x v="5"/>
    <x v="6"/>
    <x v="7"/>
    <x v="2"/>
    <x v="2"/>
    <s v="Male"/>
    <x v="8"/>
    <n v="7"/>
    <n v="1"/>
    <n v="1.6"/>
    <n v="1"/>
    <n v="0.14285714285714285"/>
  </r>
  <r>
    <s v="2023-10"/>
    <d v="2023-10-01T00:00:00"/>
    <x v="2"/>
    <x v="8"/>
    <x v="18"/>
    <x v="4"/>
    <x v="0"/>
    <s v="Female"/>
    <x v="4"/>
    <n v="5"/>
    <n v="0"/>
    <n v="1.6"/>
    <n v="0.83333333333333337"/>
    <n v="0"/>
  </r>
  <r>
    <s v="2023-01"/>
    <d v="2023-01-01T00:00:00"/>
    <x v="4"/>
    <x v="2"/>
    <x v="19"/>
    <x v="3"/>
    <x v="0"/>
    <s v="Female"/>
    <x v="1"/>
    <n v="2"/>
    <n v="0"/>
    <n v="2.1"/>
    <n v="0.66666666666666663"/>
    <n v="0"/>
  </r>
  <r>
    <s v="2023-10"/>
    <d v="2023-10-01T00:00:00"/>
    <x v="2"/>
    <x v="8"/>
    <x v="10"/>
    <x v="4"/>
    <x v="2"/>
    <s v="Male"/>
    <x v="2"/>
    <n v="8"/>
    <n v="0"/>
    <n v="2.6"/>
    <n v="1"/>
    <n v="0"/>
  </r>
  <r>
    <s v="2023-11"/>
    <d v="2023-11-01T00:00:00"/>
    <x v="11"/>
    <x v="2"/>
    <x v="19"/>
    <x v="0"/>
    <x v="5"/>
    <s v="Female"/>
    <x v="1"/>
    <n v="2"/>
    <n v="0"/>
    <n v="3.5"/>
    <n v="0.66666666666666663"/>
    <n v="0"/>
  </r>
  <r>
    <s v="2023-03"/>
    <d v="2023-03-01T00:00:00"/>
    <x v="5"/>
    <x v="4"/>
    <x v="11"/>
    <x v="3"/>
    <x v="5"/>
    <s v="Female"/>
    <x v="0"/>
    <n v="5"/>
    <n v="0"/>
    <n v="5"/>
    <n v="1"/>
    <n v="0"/>
  </r>
  <r>
    <s v="2023-01"/>
    <d v="2023-01-01T00:00:00"/>
    <x v="4"/>
    <x v="9"/>
    <x v="14"/>
    <x v="1"/>
    <x v="2"/>
    <s v="Male"/>
    <x v="7"/>
    <n v="4"/>
    <n v="1"/>
    <n v="2"/>
    <n v="1"/>
    <n v="0.25"/>
  </r>
  <r>
    <s v="2023-11"/>
    <d v="2023-11-01T00:00:00"/>
    <x v="11"/>
    <x v="3"/>
    <x v="15"/>
    <x v="2"/>
    <x v="0"/>
    <s v="Female"/>
    <x v="7"/>
    <n v="3"/>
    <n v="0"/>
    <n v="2.2000000000000002"/>
    <n v="0.75"/>
    <n v="0"/>
  </r>
  <r>
    <s v="2023-03"/>
    <d v="2023-03-01T00:00:00"/>
    <x v="5"/>
    <x v="1"/>
    <x v="1"/>
    <x v="0"/>
    <x v="5"/>
    <s v="Female"/>
    <x v="0"/>
    <n v="5"/>
    <n v="0"/>
    <n v="4.2"/>
    <n v="1"/>
    <n v="0"/>
  </r>
  <r>
    <s v="2023-07"/>
    <d v="2023-07-01T00:00:00"/>
    <x v="8"/>
    <x v="4"/>
    <x v="11"/>
    <x v="4"/>
    <x v="0"/>
    <s v="Male"/>
    <x v="0"/>
    <n v="5"/>
    <n v="0"/>
    <n v="3"/>
    <n v="1"/>
    <n v="0"/>
  </r>
  <r>
    <s v="2023-11"/>
    <d v="2023-11-01T00:00:00"/>
    <x v="11"/>
    <x v="0"/>
    <x v="0"/>
    <x v="0"/>
    <x v="1"/>
    <s v="Male"/>
    <x v="1"/>
    <n v="3"/>
    <n v="0"/>
    <n v="3.3"/>
    <n v="1"/>
    <n v="0"/>
  </r>
  <r>
    <s v="2023-08"/>
    <d v="2023-08-01T00:00:00"/>
    <x v="3"/>
    <x v="5"/>
    <x v="6"/>
    <x v="1"/>
    <x v="4"/>
    <s v="Male"/>
    <x v="0"/>
    <n v="5"/>
    <n v="0"/>
    <n v="3.1"/>
    <n v="1"/>
    <n v="0"/>
  </r>
  <r>
    <s v="2023-08"/>
    <d v="2023-08-01T00:00:00"/>
    <x v="3"/>
    <x v="9"/>
    <x v="17"/>
    <x v="5"/>
    <x v="0"/>
    <s v="Male"/>
    <x v="2"/>
    <n v="6"/>
    <n v="0"/>
    <n v="3.7"/>
    <n v="0.75"/>
    <n v="0"/>
  </r>
  <r>
    <s v="2023-07"/>
    <d v="2023-07-01T00:00:00"/>
    <x v="8"/>
    <x v="7"/>
    <x v="13"/>
    <x v="3"/>
    <x v="0"/>
    <s v="Male"/>
    <x v="3"/>
    <n v="2"/>
    <n v="0"/>
    <n v="0.8"/>
    <n v="1"/>
    <n v="0"/>
  </r>
  <r>
    <s v="2023-07"/>
    <d v="2023-07-01T00:00:00"/>
    <x v="8"/>
    <x v="3"/>
    <x v="15"/>
    <x v="2"/>
    <x v="1"/>
    <s v="Male"/>
    <x v="0"/>
    <n v="5"/>
    <n v="0"/>
    <n v="2.2000000000000002"/>
    <n v="1"/>
    <n v="0"/>
  </r>
  <r>
    <s v="2023-05"/>
    <d v="2023-05-01T00:00:00"/>
    <x v="7"/>
    <x v="7"/>
    <x v="9"/>
    <x v="5"/>
    <x v="3"/>
    <s v="Male"/>
    <x v="1"/>
    <n v="2"/>
    <n v="0"/>
    <n v="4.8"/>
    <n v="0.66666666666666663"/>
    <n v="0"/>
  </r>
  <r>
    <s v="2023-11"/>
    <d v="2023-11-01T00:00:00"/>
    <x v="11"/>
    <x v="3"/>
    <x v="3"/>
    <x v="4"/>
    <x v="5"/>
    <s v="Female"/>
    <x v="7"/>
    <n v="1"/>
    <n v="0"/>
    <n v="2"/>
    <n v="0.25"/>
    <n v="0"/>
  </r>
  <r>
    <s v="2023-06"/>
    <d v="2023-06-01T00:00:00"/>
    <x v="1"/>
    <x v="0"/>
    <x v="12"/>
    <x v="1"/>
    <x v="4"/>
    <s v="Male"/>
    <x v="4"/>
    <n v="6"/>
    <n v="0"/>
    <n v="3.5"/>
    <n v="1"/>
    <n v="0"/>
  </r>
  <r>
    <s v="2023-02"/>
    <d v="2023-02-01T00:00:00"/>
    <x v="6"/>
    <x v="0"/>
    <x v="0"/>
    <x v="1"/>
    <x v="1"/>
    <s v="Female"/>
    <x v="0"/>
    <n v="4"/>
    <n v="1"/>
    <n v="4.0999999999999996"/>
    <n v="0.8"/>
    <n v="0.2"/>
  </r>
  <r>
    <s v="2023-11"/>
    <d v="2023-11-01T00:00:00"/>
    <x v="11"/>
    <x v="2"/>
    <x v="19"/>
    <x v="5"/>
    <x v="3"/>
    <s v="Female"/>
    <x v="2"/>
    <n v="7"/>
    <n v="0"/>
    <n v="2.8"/>
    <n v="0.875"/>
    <n v="0"/>
  </r>
  <r>
    <s v="2023-10"/>
    <d v="2023-10-01T00:00:00"/>
    <x v="2"/>
    <x v="1"/>
    <x v="16"/>
    <x v="4"/>
    <x v="0"/>
    <s v="Male"/>
    <x v="7"/>
    <n v="4"/>
    <n v="0"/>
    <n v="3"/>
    <n v="1"/>
    <n v="0"/>
  </r>
  <r>
    <s v="2023-12"/>
    <d v="2023-12-01T00:00:00"/>
    <x v="9"/>
    <x v="5"/>
    <x v="6"/>
    <x v="1"/>
    <x v="0"/>
    <s v="Male"/>
    <x v="1"/>
    <n v="3"/>
    <n v="0"/>
    <n v="2.6"/>
    <n v="1"/>
    <n v="0"/>
  </r>
  <r>
    <s v="2023-08"/>
    <d v="2023-08-01T00:00:00"/>
    <x v="3"/>
    <x v="3"/>
    <x v="3"/>
    <x v="4"/>
    <x v="1"/>
    <s v="Male"/>
    <x v="1"/>
    <n v="3"/>
    <n v="0"/>
    <n v="3.6"/>
    <n v="1"/>
    <n v="0"/>
  </r>
  <r>
    <s v="2023-07"/>
    <d v="2023-07-01T00:00:00"/>
    <x v="8"/>
    <x v="9"/>
    <x v="17"/>
    <x v="3"/>
    <x v="2"/>
    <s v="Male"/>
    <x v="0"/>
    <n v="4"/>
    <n v="1"/>
    <n v="3.7"/>
    <n v="0.8"/>
    <n v="0.2"/>
  </r>
  <r>
    <s v="2023-07"/>
    <d v="2023-07-01T00:00:00"/>
    <x v="8"/>
    <x v="3"/>
    <x v="15"/>
    <x v="0"/>
    <x v="4"/>
    <s v="Male"/>
    <x v="4"/>
    <n v="5"/>
    <n v="0"/>
    <n v="3.1"/>
    <n v="0.83333333333333337"/>
    <n v="0"/>
  </r>
  <r>
    <s v="2023-09"/>
    <d v="2023-09-01T00:00:00"/>
    <x v="10"/>
    <x v="4"/>
    <x v="4"/>
    <x v="4"/>
    <x v="5"/>
    <s v="Male"/>
    <x v="0"/>
    <n v="3"/>
    <n v="0"/>
    <n v="4"/>
    <n v="0.6"/>
    <n v="0"/>
  </r>
  <r>
    <s v="2023-08"/>
    <d v="2023-08-01T00:00:00"/>
    <x v="3"/>
    <x v="1"/>
    <x v="16"/>
    <x v="3"/>
    <x v="1"/>
    <s v="Male"/>
    <x v="0"/>
    <n v="5"/>
    <n v="1"/>
    <n v="3.6"/>
    <n v="1"/>
    <n v="0.2"/>
  </r>
  <r>
    <s v="2023-12"/>
    <d v="2023-12-01T00:00:00"/>
    <x v="9"/>
    <x v="5"/>
    <x v="5"/>
    <x v="3"/>
    <x v="0"/>
    <s v="Female"/>
    <x v="10"/>
    <n v="9"/>
    <n v="0"/>
    <n v="1.5"/>
    <n v="1"/>
    <n v="0"/>
  </r>
  <r>
    <s v="2023-04"/>
    <d v="2023-04-01T00:00:00"/>
    <x v="0"/>
    <x v="1"/>
    <x v="1"/>
    <x v="1"/>
    <x v="3"/>
    <s v="Female"/>
    <x v="7"/>
    <n v="4"/>
    <n v="0"/>
    <n v="2.2000000000000002"/>
    <n v="1"/>
    <n v="0"/>
  </r>
  <r>
    <s v="2023-04"/>
    <d v="2023-04-01T00:00:00"/>
    <x v="0"/>
    <x v="5"/>
    <x v="6"/>
    <x v="3"/>
    <x v="0"/>
    <s v="Male"/>
    <x v="8"/>
    <n v="6"/>
    <n v="1"/>
    <n v="2.9"/>
    <n v="0.8571428571428571"/>
    <n v="0.14285714285714285"/>
  </r>
  <r>
    <s v="2023-01"/>
    <d v="2023-01-01T00:00:00"/>
    <x v="4"/>
    <x v="7"/>
    <x v="13"/>
    <x v="1"/>
    <x v="5"/>
    <s v="Female"/>
    <x v="3"/>
    <n v="1"/>
    <n v="0"/>
    <n v="1.9"/>
    <n v="0.5"/>
    <n v="0"/>
  </r>
  <r>
    <s v="2023-07"/>
    <d v="2023-07-01T00:00:00"/>
    <x v="8"/>
    <x v="6"/>
    <x v="8"/>
    <x v="2"/>
    <x v="1"/>
    <s v="Male"/>
    <x v="12"/>
    <n v="0"/>
    <n v="0"/>
    <n v="3.1"/>
    <n v="0"/>
    <n v="0"/>
  </r>
  <r>
    <s v="2023-06"/>
    <d v="2023-06-01T00:00:00"/>
    <x v="1"/>
    <x v="5"/>
    <x v="6"/>
    <x v="1"/>
    <x v="0"/>
    <s v="Male"/>
    <x v="7"/>
    <n v="4"/>
    <n v="0"/>
    <n v="2.1"/>
    <n v="1"/>
    <n v="0"/>
  </r>
  <r>
    <s v="2023-08"/>
    <d v="2023-08-01T00:00:00"/>
    <x v="3"/>
    <x v="1"/>
    <x v="16"/>
    <x v="5"/>
    <x v="0"/>
    <s v="Female"/>
    <x v="4"/>
    <n v="5"/>
    <n v="0"/>
    <n v="4.0999999999999996"/>
    <n v="0.83333333333333337"/>
    <n v="0"/>
  </r>
  <r>
    <s v="2023-07"/>
    <d v="2023-07-01T00:00:00"/>
    <x v="8"/>
    <x v="0"/>
    <x v="0"/>
    <x v="3"/>
    <x v="2"/>
    <s v="Female"/>
    <x v="4"/>
    <n v="5"/>
    <n v="0"/>
    <n v="4.5"/>
    <n v="0.83333333333333337"/>
    <n v="0"/>
  </r>
  <r>
    <s v="2023-03"/>
    <d v="2023-03-01T00:00:00"/>
    <x v="5"/>
    <x v="7"/>
    <x v="9"/>
    <x v="5"/>
    <x v="4"/>
    <s v="Male"/>
    <x v="7"/>
    <n v="3"/>
    <n v="0"/>
    <n v="2.2000000000000002"/>
    <n v="0.75"/>
    <n v="0"/>
  </r>
  <r>
    <s v="2023-05"/>
    <d v="2023-05-01T00:00:00"/>
    <x v="7"/>
    <x v="3"/>
    <x v="15"/>
    <x v="4"/>
    <x v="2"/>
    <s v="Male"/>
    <x v="7"/>
    <n v="4"/>
    <n v="0"/>
    <n v="3"/>
    <n v="1"/>
    <n v="0"/>
  </r>
  <r>
    <s v="2023-08"/>
    <d v="2023-08-01T00:00:00"/>
    <x v="3"/>
    <x v="2"/>
    <x v="19"/>
    <x v="4"/>
    <x v="3"/>
    <s v="Female"/>
    <x v="1"/>
    <n v="2"/>
    <n v="0"/>
    <n v="4"/>
    <n v="0.66666666666666663"/>
    <n v="0"/>
  </r>
  <r>
    <s v="2023-03"/>
    <d v="2023-03-01T00:00:00"/>
    <x v="5"/>
    <x v="1"/>
    <x v="16"/>
    <x v="0"/>
    <x v="4"/>
    <s v="Male"/>
    <x v="1"/>
    <n v="3"/>
    <n v="0"/>
    <n v="4.9000000000000004"/>
    <n v="1"/>
    <n v="0"/>
  </r>
  <r>
    <s v="2023-08"/>
    <d v="2023-08-01T00:00:00"/>
    <x v="3"/>
    <x v="8"/>
    <x v="18"/>
    <x v="2"/>
    <x v="4"/>
    <s v="Male"/>
    <x v="5"/>
    <n v="0"/>
    <n v="0"/>
    <n v="2.1"/>
    <n v="0"/>
    <n v="0"/>
  </r>
  <r>
    <s v="2023-12"/>
    <d v="2023-12-01T00:00:00"/>
    <x v="9"/>
    <x v="7"/>
    <x v="9"/>
    <x v="1"/>
    <x v="4"/>
    <s v="Male"/>
    <x v="3"/>
    <n v="2"/>
    <n v="1"/>
    <n v="2.2999999999999998"/>
    <n v="1"/>
    <n v="0.5"/>
  </r>
  <r>
    <s v="2023-12"/>
    <d v="2023-12-01T00:00:00"/>
    <x v="9"/>
    <x v="3"/>
    <x v="15"/>
    <x v="5"/>
    <x v="2"/>
    <s v="Male"/>
    <x v="7"/>
    <n v="4"/>
    <n v="0"/>
    <n v="2.7"/>
    <n v="1"/>
    <n v="0"/>
  </r>
  <r>
    <s v="2023-09"/>
    <d v="2023-09-01T00:00:00"/>
    <x v="10"/>
    <x v="6"/>
    <x v="7"/>
    <x v="5"/>
    <x v="2"/>
    <s v="Female"/>
    <x v="1"/>
    <n v="3"/>
    <n v="1"/>
    <n v="3.1"/>
    <n v="1"/>
    <n v="0.33333333333333331"/>
  </r>
  <r>
    <s v="2023-04"/>
    <d v="2023-04-01T00:00:00"/>
    <x v="0"/>
    <x v="5"/>
    <x v="5"/>
    <x v="0"/>
    <x v="4"/>
    <s v="Male"/>
    <x v="8"/>
    <n v="6"/>
    <n v="0"/>
    <n v="3.9"/>
    <n v="0.8571428571428571"/>
    <n v="0"/>
  </r>
  <r>
    <s v="2023-12"/>
    <d v="2023-12-01T00:00:00"/>
    <x v="9"/>
    <x v="6"/>
    <x v="7"/>
    <x v="4"/>
    <x v="5"/>
    <s v="Female"/>
    <x v="7"/>
    <n v="4"/>
    <n v="0"/>
    <n v="2.1"/>
    <n v="1"/>
    <n v="0"/>
  </r>
  <r>
    <s v="2023-01"/>
    <d v="2023-01-01T00:00:00"/>
    <x v="4"/>
    <x v="6"/>
    <x v="7"/>
    <x v="0"/>
    <x v="2"/>
    <s v="Male"/>
    <x v="0"/>
    <n v="4"/>
    <n v="1"/>
    <n v="4.5"/>
    <n v="0.8"/>
    <n v="0.2"/>
  </r>
  <r>
    <s v="2023-05"/>
    <d v="2023-05-01T00:00:00"/>
    <x v="7"/>
    <x v="0"/>
    <x v="12"/>
    <x v="3"/>
    <x v="4"/>
    <s v="Male"/>
    <x v="3"/>
    <n v="2"/>
    <n v="0"/>
    <n v="2.2999999999999998"/>
    <n v="1"/>
    <n v="0"/>
  </r>
  <r>
    <s v="2023-06"/>
    <d v="2023-06-01T00:00:00"/>
    <x v="1"/>
    <x v="0"/>
    <x v="12"/>
    <x v="3"/>
    <x v="4"/>
    <s v="Male"/>
    <x v="7"/>
    <n v="4"/>
    <n v="0"/>
    <n v="4"/>
    <n v="1"/>
    <n v="0"/>
  </r>
  <r>
    <s v="2023-02"/>
    <d v="2023-02-01T00:00:00"/>
    <x v="6"/>
    <x v="5"/>
    <x v="5"/>
    <x v="0"/>
    <x v="4"/>
    <s v="Female"/>
    <x v="5"/>
    <n v="1"/>
    <n v="0"/>
    <n v="1.7"/>
    <n v="1"/>
    <n v="0"/>
  </r>
  <r>
    <s v="2023-08"/>
    <d v="2023-08-01T00:00:00"/>
    <x v="3"/>
    <x v="2"/>
    <x v="19"/>
    <x v="2"/>
    <x v="2"/>
    <s v="Male"/>
    <x v="3"/>
    <n v="1"/>
    <n v="0"/>
    <n v="1.6"/>
    <n v="0.5"/>
    <n v="0"/>
  </r>
  <r>
    <s v="2023-10"/>
    <d v="2023-10-01T00:00:00"/>
    <x v="2"/>
    <x v="5"/>
    <x v="6"/>
    <x v="1"/>
    <x v="1"/>
    <s v="Female"/>
    <x v="0"/>
    <n v="5"/>
    <n v="0"/>
    <n v="4"/>
    <n v="1"/>
    <n v="0"/>
  </r>
  <r>
    <s v="2023-07"/>
    <d v="2023-07-01T00:00:00"/>
    <x v="8"/>
    <x v="6"/>
    <x v="7"/>
    <x v="3"/>
    <x v="4"/>
    <s v="Female"/>
    <x v="7"/>
    <n v="4"/>
    <n v="0"/>
    <n v="3.1"/>
    <n v="1"/>
    <n v="0"/>
  </r>
  <r>
    <s v="2023-04"/>
    <d v="2023-04-01T00:00:00"/>
    <x v="0"/>
    <x v="8"/>
    <x v="18"/>
    <x v="2"/>
    <x v="0"/>
    <s v="Male"/>
    <x v="8"/>
    <n v="5"/>
    <n v="0"/>
    <n v="2.2999999999999998"/>
    <n v="0.7142857142857143"/>
    <n v="0"/>
  </r>
  <r>
    <s v="2023-07"/>
    <d v="2023-07-01T00:00:00"/>
    <x v="8"/>
    <x v="8"/>
    <x v="18"/>
    <x v="5"/>
    <x v="1"/>
    <s v="Male"/>
    <x v="1"/>
    <n v="2"/>
    <n v="0"/>
    <n v="2.1"/>
    <n v="0.66666666666666663"/>
    <n v="0"/>
  </r>
  <r>
    <s v="2023-02"/>
    <d v="2023-02-01T00:00:00"/>
    <x v="6"/>
    <x v="3"/>
    <x v="3"/>
    <x v="2"/>
    <x v="5"/>
    <s v="Female"/>
    <x v="7"/>
    <n v="4"/>
    <n v="0"/>
    <n v="2.2000000000000002"/>
    <n v="1"/>
    <n v="0"/>
  </r>
  <r>
    <s v="2023-07"/>
    <d v="2023-07-01T00:00:00"/>
    <x v="8"/>
    <x v="4"/>
    <x v="4"/>
    <x v="2"/>
    <x v="5"/>
    <s v="Female"/>
    <x v="7"/>
    <n v="4"/>
    <n v="1"/>
    <n v="3.4"/>
    <n v="1"/>
    <n v="0.25"/>
  </r>
  <r>
    <s v="2023-01"/>
    <d v="2023-01-01T00:00:00"/>
    <x v="4"/>
    <x v="0"/>
    <x v="0"/>
    <x v="2"/>
    <x v="5"/>
    <s v="Male"/>
    <x v="2"/>
    <n v="8"/>
    <n v="0"/>
    <n v="5.6"/>
    <n v="1"/>
    <n v="0"/>
  </r>
  <r>
    <s v="2023-05"/>
    <d v="2023-05-01T00:00:00"/>
    <x v="7"/>
    <x v="6"/>
    <x v="7"/>
    <x v="3"/>
    <x v="5"/>
    <s v="Female"/>
    <x v="0"/>
    <n v="5"/>
    <n v="0"/>
    <n v="3.3"/>
    <n v="1"/>
    <n v="0"/>
  </r>
  <r>
    <s v="2023-10"/>
    <d v="2023-10-01T00:00:00"/>
    <x v="2"/>
    <x v="4"/>
    <x v="11"/>
    <x v="0"/>
    <x v="3"/>
    <s v="Male"/>
    <x v="4"/>
    <n v="6"/>
    <n v="1"/>
    <n v="5"/>
    <n v="1"/>
    <n v="0.16666666666666666"/>
  </r>
  <r>
    <s v="2023-04"/>
    <d v="2023-04-01T00:00:00"/>
    <x v="0"/>
    <x v="7"/>
    <x v="9"/>
    <x v="5"/>
    <x v="2"/>
    <s v="Male"/>
    <x v="3"/>
    <n v="1"/>
    <n v="0"/>
    <n v="3.4"/>
    <n v="0.5"/>
    <n v="0"/>
  </r>
  <r>
    <s v="2023-04"/>
    <d v="2023-04-01T00:00:00"/>
    <x v="0"/>
    <x v="1"/>
    <x v="1"/>
    <x v="4"/>
    <x v="1"/>
    <s v="Female"/>
    <x v="1"/>
    <n v="3"/>
    <n v="0"/>
    <n v="3.9"/>
    <n v="1"/>
    <n v="0"/>
  </r>
  <r>
    <s v="2023-07"/>
    <d v="2023-07-01T00:00:00"/>
    <x v="8"/>
    <x v="5"/>
    <x v="5"/>
    <x v="4"/>
    <x v="1"/>
    <s v="Female"/>
    <x v="4"/>
    <n v="5"/>
    <n v="0"/>
    <n v="2.8"/>
    <n v="0.83333333333333337"/>
    <n v="0"/>
  </r>
  <r>
    <s v="2023-01"/>
    <d v="2023-01-01T00:00:00"/>
    <x v="4"/>
    <x v="9"/>
    <x v="14"/>
    <x v="5"/>
    <x v="3"/>
    <s v="Male"/>
    <x v="7"/>
    <n v="4"/>
    <n v="0"/>
    <n v="2.8"/>
    <n v="1"/>
    <n v="0"/>
  </r>
  <r>
    <s v="2023-10"/>
    <d v="2023-10-01T00:00:00"/>
    <x v="2"/>
    <x v="7"/>
    <x v="13"/>
    <x v="2"/>
    <x v="2"/>
    <s v="Male"/>
    <x v="4"/>
    <n v="6"/>
    <n v="0"/>
    <n v="4.5"/>
    <n v="1"/>
    <n v="0"/>
  </r>
  <r>
    <s v="2023-06"/>
    <d v="2023-06-01T00:00:00"/>
    <x v="1"/>
    <x v="3"/>
    <x v="3"/>
    <x v="5"/>
    <x v="0"/>
    <s v="Female"/>
    <x v="0"/>
    <n v="3"/>
    <n v="0"/>
    <n v="4.3"/>
    <n v="0.6"/>
    <n v="0"/>
  </r>
  <r>
    <s v="2023-06"/>
    <d v="2023-06-01T00:00:00"/>
    <x v="1"/>
    <x v="4"/>
    <x v="4"/>
    <x v="5"/>
    <x v="2"/>
    <s v="Female"/>
    <x v="1"/>
    <n v="3"/>
    <n v="0"/>
    <n v="2.2999999999999998"/>
    <n v="1"/>
    <n v="0"/>
  </r>
  <r>
    <s v="2023-02"/>
    <d v="2023-02-01T00:00:00"/>
    <x v="6"/>
    <x v="4"/>
    <x v="4"/>
    <x v="4"/>
    <x v="5"/>
    <s v="Female"/>
    <x v="2"/>
    <n v="7"/>
    <n v="0"/>
    <n v="2.5"/>
    <n v="0.875"/>
    <n v="0"/>
  </r>
  <r>
    <s v="2023-07"/>
    <d v="2023-07-01T00:00:00"/>
    <x v="8"/>
    <x v="4"/>
    <x v="4"/>
    <x v="0"/>
    <x v="1"/>
    <s v="Female"/>
    <x v="4"/>
    <n v="6"/>
    <n v="1"/>
    <n v="1.6"/>
    <n v="1"/>
    <n v="0.16666666666666666"/>
  </r>
  <r>
    <s v="2023-03"/>
    <d v="2023-03-01T00:00:00"/>
    <x v="5"/>
    <x v="5"/>
    <x v="6"/>
    <x v="4"/>
    <x v="0"/>
    <s v="Male"/>
    <x v="4"/>
    <n v="6"/>
    <n v="0"/>
    <n v="2.1"/>
    <n v="1"/>
    <n v="0"/>
  </r>
  <r>
    <s v="2023-06"/>
    <d v="2023-06-01T00:00:00"/>
    <x v="1"/>
    <x v="9"/>
    <x v="14"/>
    <x v="0"/>
    <x v="4"/>
    <s v="Female"/>
    <x v="1"/>
    <n v="3"/>
    <n v="0"/>
    <n v="2.9"/>
    <n v="1"/>
    <n v="0"/>
  </r>
  <r>
    <s v="2023-05"/>
    <d v="2023-05-01T00:00:00"/>
    <x v="7"/>
    <x v="4"/>
    <x v="4"/>
    <x v="1"/>
    <x v="0"/>
    <s v="Male"/>
    <x v="8"/>
    <n v="6"/>
    <n v="0"/>
    <n v="0.9"/>
    <n v="0.8571428571428571"/>
    <n v="0"/>
  </r>
  <r>
    <s v="2023-03"/>
    <d v="2023-03-01T00:00:00"/>
    <x v="5"/>
    <x v="2"/>
    <x v="2"/>
    <x v="1"/>
    <x v="3"/>
    <s v="Female"/>
    <x v="8"/>
    <n v="6"/>
    <n v="0"/>
    <n v="2.8"/>
    <n v="0.8571428571428571"/>
    <n v="0"/>
  </r>
  <r>
    <s v="2023-08"/>
    <d v="2023-08-01T00:00:00"/>
    <x v="3"/>
    <x v="2"/>
    <x v="19"/>
    <x v="0"/>
    <x v="2"/>
    <s v="Male"/>
    <x v="7"/>
    <n v="4"/>
    <n v="0"/>
    <n v="3.4"/>
    <n v="1"/>
    <n v="0"/>
  </r>
  <r>
    <s v="2023-06"/>
    <d v="2023-06-01T00:00:00"/>
    <x v="1"/>
    <x v="4"/>
    <x v="4"/>
    <x v="0"/>
    <x v="3"/>
    <s v="Female"/>
    <x v="8"/>
    <n v="5"/>
    <n v="0"/>
    <n v="3.1"/>
    <n v="0.7142857142857143"/>
    <n v="0"/>
  </r>
  <r>
    <s v="2023-08"/>
    <d v="2023-08-01T00:00:00"/>
    <x v="3"/>
    <x v="3"/>
    <x v="15"/>
    <x v="4"/>
    <x v="4"/>
    <s v="Female"/>
    <x v="4"/>
    <n v="5"/>
    <n v="0"/>
    <n v="3"/>
    <n v="0.83333333333333337"/>
    <n v="0"/>
  </r>
  <r>
    <s v="2023-06"/>
    <d v="2023-06-01T00:00:00"/>
    <x v="1"/>
    <x v="0"/>
    <x v="12"/>
    <x v="3"/>
    <x v="4"/>
    <s v="Female"/>
    <x v="8"/>
    <n v="6"/>
    <n v="0"/>
    <n v="1.6"/>
    <n v="0.8571428571428571"/>
    <n v="0"/>
  </r>
  <r>
    <s v="2023-11"/>
    <d v="2023-11-01T00:00:00"/>
    <x v="11"/>
    <x v="9"/>
    <x v="14"/>
    <x v="5"/>
    <x v="3"/>
    <s v="Male"/>
    <x v="7"/>
    <n v="4"/>
    <n v="0"/>
    <n v="3.7"/>
    <n v="1"/>
    <n v="0"/>
  </r>
  <r>
    <s v="2023-07"/>
    <d v="2023-07-01T00:00:00"/>
    <x v="8"/>
    <x v="4"/>
    <x v="4"/>
    <x v="2"/>
    <x v="1"/>
    <s v="Male"/>
    <x v="0"/>
    <n v="3"/>
    <n v="0"/>
    <n v="2.2999999999999998"/>
    <n v="0.6"/>
    <n v="0"/>
  </r>
  <r>
    <s v="2023-10"/>
    <d v="2023-10-01T00:00:00"/>
    <x v="2"/>
    <x v="3"/>
    <x v="3"/>
    <x v="1"/>
    <x v="3"/>
    <s v="Male"/>
    <x v="7"/>
    <n v="2"/>
    <n v="0"/>
    <n v="3.5"/>
    <n v="0.5"/>
    <n v="0"/>
  </r>
  <r>
    <s v="2023-12"/>
    <d v="2023-12-01T00:00:00"/>
    <x v="9"/>
    <x v="7"/>
    <x v="9"/>
    <x v="2"/>
    <x v="3"/>
    <s v="Male"/>
    <x v="7"/>
    <n v="3"/>
    <n v="0"/>
    <n v="2.8"/>
    <n v="0.75"/>
    <n v="0"/>
  </r>
  <r>
    <s v="2023-12"/>
    <d v="2023-12-01T00:00:00"/>
    <x v="9"/>
    <x v="7"/>
    <x v="9"/>
    <x v="4"/>
    <x v="2"/>
    <s v="Female"/>
    <x v="4"/>
    <n v="6"/>
    <n v="0"/>
    <n v="1.5"/>
    <n v="1"/>
    <n v="0"/>
  </r>
  <r>
    <s v="2023-07"/>
    <d v="2023-07-01T00:00:00"/>
    <x v="8"/>
    <x v="9"/>
    <x v="17"/>
    <x v="1"/>
    <x v="1"/>
    <s v="Male"/>
    <x v="1"/>
    <n v="2"/>
    <n v="0"/>
    <n v="1.7"/>
    <n v="0.66666666666666663"/>
    <n v="0"/>
  </r>
  <r>
    <s v="2023-02"/>
    <d v="2023-02-01T00:00:00"/>
    <x v="6"/>
    <x v="8"/>
    <x v="10"/>
    <x v="4"/>
    <x v="1"/>
    <s v="Female"/>
    <x v="7"/>
    <n v="3"/>
    <n v="0"/>
    <n v="2.6"/>
    <n v="0.75"/>
    <n v="0"/>
  </r>
  <r>
    <s v="2023-06"/>
    <d v="2023-06-01T00:00:00"/>
    <x v="1"/>
    <x v="0"/>
    <x v="0"/>
    <x v="5"/>
    <x v="3"/>
    <s v="Male"/>
    <x v="4"/>
    <n v="6"/>
    <n v="0"/>
    <n v="2.4"/>
    <n v="1"/>
    <n v="0"/>
  </r>
  <r>
    <s v="2023-08"/>
    <d v="2023-08-01T00:00:00"/>
    <x v="3"/>
    <x v="9"/>
    <x v="17"/>
    <x v="2"/>
    <x v="4"/>
    <s v="Female"/>
    <x v="7"/>
    <n v="4"/>
    <n v="1"/>
    <n v="4.5"/>
    <n v="1"/>
    <n v="0.25"/>
  </r>
  <r>
    <s v="2023-03"/>
    <d v="2023-03-01T00:00:00"/>
    <x v="5"/>
    <x v="1"/>
    <x v="16"/>
    <x v="3"/>
    <x v="5"/>
    <s v="Female"/>
    <x v="3"/>
    <n v="2"/>
    <n v="0"/>
    <n v="1.9"/>
    <n v="1"/>
    <n v="0"/>
  </r>
  <r>
    <s v="2023-06"/>
    <d v="2023-06-01T00:00:00"/>
    <x v="1"/>
    <x v="3"/>
    <x v="15"/>
    <x v="2"/>
    <x v="4"/>
    <s v="Male"/>
    <x v="3"/>
    <n v="2"/>
    <n v="0"/>
    <n v="5.9"/>
    <n v="1"/>
    <n v="0"/>
  </r>
  <r>
    <s v="2023-05"/>
    <d v="2023-05-01T00:00:00"/>
    <x v="7"/>
    <x v="4"/>
    <x v="4"/>
    <x v="2"/>
    <x v="1"/>
    <s v="Female"/>
    <x v="0"/>
    <n v="4"/>
    <n v="0"/>
    <n v="3.3"/>
    <n v="0.8"/>
    <n v="0"/>
  </r>
  <r>
    <s v="2023-06"/>
    <d v="2023-06-01T00:00:00"/>
    <x v="1"/>
    <x v="1"/>
    <x v="1"/>
    <x v="1"/>
    <x v="5"/>
    <s v="Male"/>
    <x v="0"/>
    <n v="5"/>
    <n v="1"/>
    <n v="2.1"/>
    <n v="1"/>
    <n v="0.2"/>
  </r>
  <r>
    <s v="2023-03"/>
    <d v="2023-03-01T00:00:00"/>
    <x v="5"/>
    <x v="6"/>
    <x v="8"/>
    <x v="2"/>
    <x v="2"/>
    <s v="Male"/>
    <x v="8"/>
    <n v="7"/>
    <n v="0"/>
    <n v="3.2"/>
    <n v="1"/>
    <n v="0"/>
  </r>
  <r>
    <s v="2023-09"/>
    <d v="2023-09-01T00:00:00"/>
    <x v="10"/>
    <x v="5"/>
    <x v="6"/>
    <x v="1"/>
    <x v="3"/>
    <s v="Male"/>
    <x v="8"/>
    <n v="6"/>
    <n v="0"/>
    <n v="2.6"/>
    <n v="0.8571428571428571"/>
    <n v="0"/>
  </r>
  <r>
    <s v="2023-03"/>
    <d v="2023-03-01T00:00:00"/>
    <x v="5"/>
    <x v="4"/>
    <x v="11"/>
    <x v="3"/>
    <x v="2"/>
    <s v="Male"/>
    <x v="0"/>
    <n v="5"/>
    <n v="1"/>
    <n v="3.6"/>
    <n v="1"/>
    <n v="0.2"/>
  </r>
  <r>
    <s v="2023-11"/>
    <d v="2023-11-01T00:00:00"/>
    <x v="11"/>
    <x v="5"/>
    <x v="5"/>
    <x v="0"/>
    <x v="2"/>
    <s v="Male"/>
    <x v="3"/>
    <n v="2"/>
    <n v="0"/>
    <n v="2.2000000000000002"/>
    <n v="1"/>
    <n v="0"/>
  </r>
  <r>
    <s v="2023-12"/>
    <d v="2023-12-01T00:00:00"/>
    <x v="9"/>
    <x v="1"/>
    <x v="1"/>
    <x v="0"/>
    <x v="1"/>
    <s v="Female"/>
    <x v="0"/>
    <n v="5"/>
    <n v="0"/>
    <n v="2.7"/>
    <n v="1"/>
    <n v="0"/>
  </r>
  <r>
    <s v="2023-04"/>
    <d v="2023-04-01T00:00:00"/>
    <x v="0"/>
    <x v="8"/>
    <x v="18"/>
    <x v="3"/>
    <x v="1"/>
    <s v="Male"/>
    <x v="8"/>
    <n v="7"/>
    <n v="0"/>
    <n v="3.6"/>
    <n v="1"/>
    <n v="0"/>
  </r>
  <r>
    <s v="2023-03"/>
    <d v="2023-03-01T00:00:00"/>
    <x v="5"/>
    <x v="0"/>
    <x v="0"/>
    <x v="2"/>
    <x v="1"/>
    <s v="Male"/>
    <x v="0"/>
    <n v="4"/>
    <n v="0"/>
    <n v="3.5"/>
    <n v="0.8"/>
    <n v="0"/>
  </r>
  <r>
    <s v="2023-11"/>
    <d v="2023-11-01T00:00:00"/>
    <x v="11"/>
    <x v="0"/>
    <x v="12"/>
    <x v="0"/>
    <x v="2"/>
    <s v="Female"/>
    <x v="3"/>
    <n v="2"/>
    <n v="0"/>
    <n v="-0.3"/>
    <n v="1"/>
    <n v="0"/>
  </r>
  <r>
    <s v="2023-11"/>
    <d v="2023-11-01T00:00:00"/>
    <x v="11"/>
    <x v="8"/>
    <x v="18"/>
    <x v="1"/>
    <x v="2"/>
    <s v="Female"/>
    <x v="3"/>
    <n v="2"/>
    <n v="0"/>
    <n v="4.2"/>
    <n v="1"/>
    <n v="0"/>
  </r>
  <r>
    <s v="2023-04"/>
    <d v="2023-04-01T00:00:00"/>
    <x v="0"/>
    <x v="1"/>
    <x v="1"/>
    <x v="3"/>
    <x v="2"/>
    <s v="Female"/>
    <x v="4"/>
    <n v="6"/>
    <n v="0"/>
    <n v="2.9"/>
    <n v="1"/>
    <n v="0"/>
  </r>
  <r>
    <s v="2023-03"/>
    <d v="2023-03-01T00:00:00"/>
    <x v="5"/>
    <x v="1"/>
    <x v="1"/>
    <x v="1"/>
    <x v="1"/>
    <s v="Female"/>
    <x v="6"/>
    <n v="9"/>
    <n v="1"/>
    <n v="3.1"/>
    <n v="0.81818181818181823"/>
    <n v="9.0909090909090912E-2"/>
  </r>
  <r>
    <s v="2023-02"/>
    <d v="2023-02-01T00:00:00"/>
    <x v="6"/>
    <x v="4"/>
    <x v="11"/>
    <x v="0"/>
    <x v="1"/>
    <s v="Male"/>
    <x v="4"/>
    <n v="6"/>
    <n v="0"/>
    <n v="3.2"/>
    <n v="1"/>
    <n v="0"/>
  </r>
  <r>
    <s v="2023-01"/>
    <d v="2023-01-01T00:00:00"/>
    <x v="4"/>
    <x v="5"/>
    <x v="6"/>
    <x v="3"/>
    <x v="5"/>
    <s v="Male"/>
    <x v="7"/>
    <n v="4"/>
    <n v="0"/>
    <n v="4.2"/>
    <n v="1"/>
    <n v="0"/>
  </r>
  <r>
    <s v="2023-07"/>
    <d v="2023-07-01T00:00:00"/>
    <x v="8"/>
    <x v="5"/>
    <x v="6"/>
    <x v="3"/>
    <x v="4"/>
    <s v="Male"/>
    <x v="7"/>
    <n v="4"/>
    <n v="0"/>
    <n v="2.1"/>
    <n v="1"/>
    <n v="0"/>
  </r>
  <r>
    <s v="2023-06"/>
    <d v="2023-06-01T00:00:00"/>
    <x v="1"/>
    <x v="6"/>
    <x v="7"/>
    <x v="4"/>
    <x v="4"/>
    <s v="Male"/>
    <x v="0"/>
    <n v="5"/>
    <n v="0"/>
    <n v="3.3"/>
    <n v="1"/>
    <n v="0"/>
  </r>
  <r>
    <s v="2023-11"/>
    <d v="2023-11-01T00:00:00"/>
    <x v="11"/>
    <x v="5"/>
    <x v="5"/>
    <x v="1"/>
    <x v="3"/>
    <s v="Female"/>
    <x v="4"/>
    <n v="6"/>
    <n v="2"/>
    <n v="4"/>
    <n v="1"/>
    <n v="0.33333333333333331"/>
  </r>
  <r>
    <s v="2023-02"/>
    <d v="2023-02-01T00:00:00"/>
    <x v="6"/>
    <x v="5"/>
    <x v="6"/>
    <x v="0"/>
    <x v="0"/>
    <s v="Female"/>
    <x v="3"/>
    <n v="1"/>
    <n v="0"/>
    <n v="1.3"/>
    <n v="0.5"/>
    <n v="0"/>
  </r>
  <r>
    <s v="2023-11"/>
    <d v="2023-11-01T00:00:00"/>
    <x v="11"/>
    <x v="3"/>
    <x v="3"/>
    <x v="5"/>
    <x v="1"/>
    <s v="Female"/>
    <x v="6"/>
    <n v="11"/>
    <n v="0"/>
    <n v="0.6"/>
    <n v="1"/>
    <n v="0"/>
  </r>
  <r>
    <s v="2023-12"/>
    <d v="2023-12-01T00:00:00"/>
    <x v="9"/>
    <x v="6"/>
    <x v="7"/>
    <x v="2"/>
    <x v="4"/>
    <s v="Male"/>
    <x v="0"/>
    <n v="4"/>
    <n v="0"/>
    <n v="3.2"/>
    <n v="0.8"/>
    <n v="0"/>
  </r>
  <r>
    <s v="2023-10"/>
    <d v="2023-10-01T00:00:00"/>
    <x v="2"/>
    <x v="4"/>
    <x v="4"/>
    <x v="3"/>
    <x v="2"/>
    <s v="Female"/>
    <x v="7"/>
    <n v="4"/>
    <n v="0"/>
    <n v="2.2999999999999998"/>
    <n v="1"/>
    <n v="0"/>
  </r>
  <r>
    <s v="2023-07"/>
    <d v="2023-07-01T00:00:00"/>
    <x v="8"/>
    <x v="9"/>
    <x v="14"/>
    <x v="3"/>
    <x v="5"/>
    <s v="Female"/>
    <x v="7"/>
    <n v="4"/>
    <n v="1"/>
    <n v="2.6"/>
    <n v="1"/>
    <n v="0.25"/>
  </r>
  <r>
    <s v="2023-09"/>
    <d v="2023-09-01T00:00:00"/>
    <x v="10"/>
    <x v="2"/>
    <x v="19"/>
    <x v="3"/>
    <x v="2"/>
    <s v="Female"/>
    <x v="1"/>
    <n v="3"/>
    <n v="0"/>
    <n v="2.1"/>
    <n v="1"/>
    <n v="0"/>
  </r>
  <r>
    <s v="2023-04"/>
    <d v="2023-04-01T00:00:00"/>
    <x v="0"/>
    <x v="0"/>
    <x v="0"/>
    <x v="3"/>
    <x v="0"/>
    <s v="Female"/>
    <x v="4"/>
    <n v="5"/>
    <n v="0"/>
    <n v="2.2999999999999998"/>
    <n v="0.83333333333333337"/>
    <n v="0"/>
  </r>
  <r>
    <s v="2023-05"/>
    <d v="2023-05-01T00:00:00"/>
    <x v="7"/>
    <x v="9"/>
    <x v="17"/>
    <x v="4"/>
    <x v="5"/>
    <s v="Female"/>
    <x v="7"/>
    <n v="4"/>
    <n v="0"/>
    <n v="2.9"/>
    <n v="1"/>
    <n v="0"/>
  </r>
  <r>
    <s v="2023-02"/>
    <d v="2023-02-01T00:00:00"/>
    <x v="6"/>
    <x v="4"/>
    <x v="4"/>
    <x v="5"/>
    <x v="1"/>
    <s v="Male"/>
    <x v="2"/>
    <n v="8"/>
    <n v="0"/>
    <n v="3.3"/>
    <n v="1"/>
    <n v="0"/>
  </r>
  <r>
    <s v="2023-12"/>
    <d v="2023-12-01T00:00:00"/>
    <x v="9"/>
    <x v="4"/>
    <x v="11"/>
    <x v="4"/>
    <x v="4"/>
    <s v="Female"/>
    <x v="0"/>
    <n v="4"/>
    <n v="0"/>
    <n v="3.1"/>
    <n v="0.8"/>
    <n v="0"/>
  </r>
  <r>
    <s v="2023-09"/>
    <d v="2023-09-01T00:00:00"/>
    <x v="10"/>
    <x v="1"/>
    <x v="16"/>
    <x v="0"/>
    <x v="0"/>
    <s v="Male"/>
    <x v="0"/>
    <n v="5"/>
    <n v="1"/>
    <n v="2.9"/>
    <n v="1"/>
    <n v="0.2"/>
  </r>
  <r>
    <s v="2023-02"/>
    <d v="2023-02-01T00:00:00"/>
    <x v="6"/>
    <x v="4"/>
    <x v="11"/>
    <x v="3"/>
    <x v="3"/>
    <s v="Male"/>
    <x v="4"/>
    <n v="6"/>
    <n v="0"/>
    <n v="1.2"/>
    <n v="1"/>
    <n v="0"/>
  </r>
  <r>
    <s v="2023-05"/>
    <d v="2023-05-01T00:00:00"/>
    <x v="7"/>
    <x v="5"/>
    <x v="6"/>
    <x v="0"/>
    <x v="4"/>
    <s v="Male"/>
    <x v="7"/>
    <n v="4"/>
    <n v="1"/>
    <n v="2.2999999999999998"/>
    <n v="1"/>
    <n v="0.25"/>
  </r>
  <r>
    <s v="2023-05"/>
    <d v="2023-05-01T00:00:00"/>
    <x v="7"/>
    <x v="0"/>
    <x v="12"/>
    <x v="2"/>
    <x v="2"/>
    <s v="Female"/>
    <x v="0"/>
    <n v="5"/>
    <n v="1"/>
    <n v="2.9"/>
    <n v="1"/>
    <n v="0.2"/>
  </r>
  <r>
    <s v="2023-06"/>
    <d v="2023-06-01T00:00:00"/>
    <x v="1"/>
    <x v="5"/>
    <x v="5"/>
    <x v="4"/>
    <x v="1"/>
    <s v="Male"/>
    <x v="0"/>
    <n v="5"/>
    <n v="0"/>
    <n v="3.8"/>
    <n v="1"/>
    <n v="0"/>
  </r>
  <r>
    <s v="2023-09"/>
    <d v="2023-09-01T00:00:00"/>
    <x v="10"/>
    <x v="4"/>
    <x v="4"/>
    <x v="4"/>
    <x v="0"/>
    <s v="Male"/>
    <x v="7"/>
    <n v="4"/>
    <n v="0"/>
    <n v="1"/>
    <n v="1"/>
    <n v="0"/>
  </r>
  <r>
    <s v="2023-09"/>
    <d v="2023-09-01T00:00:00"/>
    <x v="10"/>
    <x v="1"/>
    <x v="16"/>
    <x v="4"/>
    <x v="4"/>
    <s v="Female"/>
    <x v="2"/>
    <n v="7"/>
    <n v="1"/>
    <n v="3.5"/>
    <n v="0.875"/>
    <n v="0.125"/>
  </r>
  <r>
    <s v="2023-08"/>
    <d v="2023-08-01T00:00:00"/>
    <x v="3"/>
    <x v="4"/>
    <x v="11"/>
    <x v="5"/>
    <x v="1"/>
    <s v="Female"/>
    <x v="7"/>
    <n v="4"/>
    <n v="0"/>
    <n v="4.7"/>
    <n v="1"/>
    <n v="0"/>
  </r>
  <r>
    <s v="2023-06"/>
    <d v="2023-06-01T00:00:00"/>
    <x v="1"/>
    <x v="3"/>
    <x v="15"/>
    <x v="3"/>
    <x v="4"/>
    <s v="Male"/>
    <x v="7"/>
    <n v="3"/>
    <n v="0"/>
    <n v="2.1"/>
    <n v="0.75"/>
    <n v="0"/>
  </r>
  <r>
    <s v="2023-07"/>
    <d v="2023-07-01T00:00:00"/>
    <x v="8"/>
    <x v="5"/>
    <x v="6"/>
    <x v="0"/>
    <x v="2"/>
    <s v="Male"/>
    <x v="2"/>
    <n v="8"/>
    <n v="0"/>
    <n v="2"/>
    <n v="1"/>
    <n v="0"/>
  </r>
  <r>
    <s v="2023-04"/>
    <d v="2023-04-01T00:00:00"/>
    <x v="0"/>
    <x v="5"/>
    <x v="6"/>
    <x v="4"/>
    <x v="1"/>
    <s v="Male"/>
    <x v="3"/>
    <n v="2"/>
    <n v="0"/>
    <n v="3.5"/>
    <n v="1"/>
    <n v="0"/>
  </r>
  <r>
    <s v="2023-12"/>
    <d v="2023-12-01T00:00:00"/>
    <x v="9"/>
    <x v="5"/>
    <x v="5"/>
    <x v="0"/>
    <x v="5"/>
    <s v="Male"/>
    <x v="2"/>
    <n v="8"/>
    <n v="1"/>
    <n v="3.3"/>
    <n v="1"/>
    <n v="0.125"/>
  </r>
  <r>
    <s v="2023-10"/>
    <d v="2023-10-01T00:00:00"/>
    <x v="2"/>
    <x v="0"/>
    <x v="0"/>
    <x v="0"/>
    <x v="1"/>
    <s v="Male"/>
    <x v="8"/>
    <n v="7"/>
    <n v="0"/>
    <n v="4.7"/>
    <n v="1"/>
    <n v="0"/>
  </r>
  <r>
    <s v="2023-05"/>
    <d v="2023-05-01T00:00:00"/>
    <x v="7"/>
    <x v="2"/>
    <x v="2"/>
    <x v="3"/>
    <x v="1"/>
    <s v="Female"/>
    <x v="8"/>
    <n v="7"/>
    <n v="1"/>
    <n v="4.2"/>
    <n v="1"/>
    <n v="0.14285714285714285"/>
  </r>
  <r>
    <s v="2023-06"/>
    <d v="2023-06-01T00:00:00"/>
    <x v="1"/>
    <x v="8"/>
    <x v="18"/>
    <x v="1"/>
    <x v="0"/>
    <s v="Male"/>
    <x v="3"/>
    <n v="1"/>
    <n v="0"/>
    <n v="3"/>
    <n v="0.5"/>
    <n v="0"/>
  </r>
  <r>
    <s v="2023-03"/>
    <d v="2023-03-01T00:00:00"/>
    <x v="5"/>
    <x v="5"/>
    <x v="6"/>
    <x v="0"/>
    <x v="2"/>
    <s v="Male"/>
    <x v="1"/>
    <n v="3"/>
    <n v="0"/>
    <n v="3.5"/>
    <n v="1"/>
    <n v="0"/>
  </r>
  <r>
    <s v="2023-12"/>
    <d v="2023-12-01T00:00:00"/>
    <x v="9"/>
    <x v="0"/>
    <x v="0"/>
    <x v="1"/>
    <x v="4"/>
    <s v="Male"/>
    <x v="4"/>
    <n v="5"/>
    <n v="0"/>
    <n v="3.6"/>
    <n v="0.83333333333333337"/>
    <n v="0"/>
  </r>
  <r>
    <s v="2023-07"/>
    <d v="2023-07-01T00:00:00"/>
    <x v="8"/>
    <x v="6"/>
    <x v="8"/>
    <x v="2"/>
    <x v="0"/>
    <s v="Female"/>
    <x v="1"/>
    <n v="3"/>
    <n v="0"/>
    <n v="3.4"/>
    <n v="1"/>
    <n v="0"/>
  </r>
  <r>
    <s v="2023-09"/>
    <d v="2023-09-01T00:00:00"/>
    <x v="10"/>
    <x v="9"/>
    <x v="14"/>
    <x v="5"/>
    <x v="1"/>
    <s v="Male"/>
    <x v="7"/>
    <n v="3"/>
    <n v="0"/>
    <n v="1.6"/>
    <n v="0.75"/>
    <n v="0"/>
  </r>
  <r>
    <s v="2023-06"/>
    <d v="2023-06-01T00:00:00"/>
    <x v="1"/>
    <x v="3"/>
    <x v="15"/>
    <x v="1"/>
    <x v="0"/>
    <s v="Male"/>
    <x v="1"/>
    <n v="3"/>
    <n v="0"/>
    <n v="2.4"/>
    <n v="1"/>
    <n v="0"/>
  </r>
  <r>
    <s v="2023-07"/>
    <d v="2023-07-01T00:00:00"/>
    <x v="8"/>
    <x v="9"/>
    <x v="14"/>
    <x v="5"/>
    <x v="2"/>
    <s v="Female"/>
    <x v="0"/>
    <n v="5"/>
    <n v="0"/>
    <n v="2.2999999999999998"/>
    <n v="1"/>
    <n v="0"/>
  </r>
  <r>
    <s v="2023-09"/>
    <d v="2023-09-01T00:00:00"/>
    <x v="10"/>
    <x v="1"/>
    <x v="16"/>
    <x v="0"/>
    <x v="4"/>
    <s v="Male"/>
    <x v="1"/>
    <n v="2"/>
    <n v="0"/>
    <n v="1.4"/>
    <n v="0.66666666666666663"/>
    <n v="0"/>
  </r>
  <r>
    <s v="2023-10"/>
    <d v="2023-10-01T00:00:00"/>
    <x v="2"/>
    <x v="7"/>
    <x v="9"/>
    <x v="0"/>
    <x v="1"/>
    <s v="Male"/>
    <x v="1"/>
    <n v="3"/>
    <n v="0"/>
    <n v="4.0999999999999996"/>
    <n v="1"/>
    <n v="0"/>
  </r>
  <r>
    <s v="2023-10"/>
    <d v="2023-10-01T00:00:00"/>
    <x v="2"/>
    <x v="1"/>
    <x v="1"/>
    <x v="5"/>
    <x v="0"/>
    <s v="Male"/>
    <x v="3"/>
    <n v="2"/>
    <n v="0"/>
    <n v="3.1"/>
    <n v="1"/>
    <n v="0"/>
  </r>
  <r>
    <s v="2023-10"/>
    <d v="2023-10-01T00:00:00"/>
    <x v="2"/>
    <x v="4"/>
    <x v="4"/>
    <x v="3"/>
    <x v="3"/>
    <s v="Female"/>
    <x v="4"/>
    <n v="6"/>
    <n v="1"/>
    <n v="3.5"/>
    <n v="1"/>
    <n v="0.16666666666666666"/>
  </r>
  <r>
    <s v="2023-03"/>
    <d v="2023-03-01T00:00:00"/>
    <x v="5"/>
    <x v="2"/>
    <x v="19"/>
    <x v="0"/>
    <x v="1"/>
    <s v="Female"/>
    <x v="7"/>
    <n v="3"/>
    <n v="0"/>
    <n v="4.9000000000000004"/>
    <n v="0.75"/>
    <n v="0"/>
  </r>
  <r>
    <s v="2023-10"/>
    <d v="2023-10-01T00:00:00"/>
    <x v="2"/>
    <x v="4"/>
    <x v="11"/>
    <x v="2"/>
    <x v="5"/>
    <s v="Male"/>
    <x v="8"/>
    <n v="7"/>
    <n v="0"/>
    <n v="3.3"/>
    <n v="1"/>
    <n v="0"/>
  </r>
  <r>
    <s v="2023-11"/>
    <d v="2023-11-01T00:00:00"/>
    <x v="11"/>
    <x v="1"/>
    <x v="16"/>
    <x v="3"/>
    <x v="0"/>
    <s v="Female"/>
    <x v="7"/>
    <n v="4"/>
    <n v="0"/>
    <n v="3"/>
    <n v="1"/>
    <n v="0"/>
  </r>
  <r>
    <s v="2023-02"/>
    <d v="2023-02-01T00:00:00"/>
    <x v="6"/>
    <x v="5"/>
    <x v="5"/>
    <x v="2"/>
    <x v="0"/>
    <s v="Female"/>
    <x v="3"/>
    <n v="2"/>
    <n v="0"/>
    <n v="3.2"/>
    <n v="1"/>
    <n v="0"/>
  </r>
  <r>
    <s v="2023-01"/>
    <d v="2023-01-01T00:00:00"/>
    <x v="4"/>
    <x v="1"/>
    <x v="1"/>
    <x v="4"/>
    <x v="1"/>
    <s v="Male"/>
    <x v="1"/>
    <n v="3"/>
    <n v="0"/>
    <n v="1.8"/>
    <n v="1"/>
    <n v="0"/>
  </r>
  <r>
    <s v="2023-01"/>
    <d v="2023-01-01T00:00:00"/>
    <x v="4"/>
    <x v="7"/>
    <x v="13"/>
    <x v="3"/>
    <x v="4"/>
    <s v="Female"/>
    <x v="0"/>
    <n v="5"/>
    <n v="0"/>
    <n v="3.4"/>
    <n v="1"/>
    <n v="0"/>
  </r>
  <r>
    <s v="2023-04"/>
    <d v="2023-04-01T00:00:00"/>
    <x v="0"/>
    <x v="4"/>
    <x v="11"/>
    <x v="2"/>
    <x v="3"/>
    <s v="Male"/>
    <x v="1"/>
    <n v="3"/>
    <n v="0"/>
    <n v="2.6"/>
    <n v="1"/>
    <n v="0"/>
  </r>
  <r>
    <s v="2023-04"/>
    <d v="2023-04-01T00:00:00"/>
    <x v="0"/>
    <x v="3"/>
    <x v="15"/>
    <x v="5"/>
    <x v="5"/>
    <s v="Female"/>
    <x v="1"/>
    <n v="3"/>
    <n v="0"/>
    <n v="3.3"/>
    <n v="1"/>
    <n v="0"/>
  </r>
  <r>
    <s v="2023-04"/>
    <d v="2023-04-01T00:00:00"/>
    <x v="0"/>
    <x v="0"/>
    <x v="12"/>
    <x v="4"/>
    <x v="4"/>
    <s v="Female"/>
    <x v="4"/>
    <n v="5"/>
    <n v="0"/>
    <n v="3.8"/>
    <n v="0.83333333333333337"/>
    <n v="0"/>
  </r>
  <r>
    <s v="2023-12"/>
    <d v="2023-12-01T00:00:00"/>
    <x v="9"/>
    <x v="8"/>
    <x v="18"/>
    <x v="5"/>
    <x v="4"/>
    <s v="Female"/>
    <x v="4"/>
    <n v="6"/>
    <n v="0"/>
    <n v="4.9000000000000004"/>
    <n v="1"/>
    <n v="0"/>
  </r>
  <r>
    <s v="2023-08"/>
    <d v="2023-08-01T00:00:00"/>
    <x v="3"/>
    <x v="3"/>
    <x v="3"/>
    <x v="0"/>
    <x v="2"/>
    <s v="Female"/>
    <x v="7"/>
    <n v="4"/>
    <n v="0"/>
    <n v="2.9"/>
    <n v="1"/>
    <n v="0"/>
  </r>
  <r>
    <s v="2023-05"/>
    <d v="2023-05-01T00:00:00"/>
    <x v="7"/>
    <x v="3"/>
    <x v="15"/>
    <x v="2"/>
    <x v="2"/>
    <s v="Female"/>
    <x v="4"/>
    <n v="6"/>
    <n v="0"/>
    <n v="1.3"/>
    <n v="1"/>
    <n v="0"/>
  </r>
  <r>
    <s v="2023-03"/>
    <d v="2023-03-01T00:00:00"/>
    <x v="5"/>
    <x v="0"/>
    <x v="12"/>
    <x v="5"/>
    <x v="5"/>
    <s v="Male"/>
    <x v="8"/>
    <n v="7"/>
    <n v="2"/>
    <n v="2.6"/>
    <n v="1"/>
    <n v="0.2857142857142857"/>
  </r>
  <r>
    <s v="2023-04"/>
    <d v="2023-04-01T00:00:00"/>
    <x v="0"/>
    <x v="3"/>
    <x v="15"/>
    <x v="5"/>
    <x v="1"/>
    <s v="Female"/>
    <x v="0"/>
    <n v="4"/>
    <n v="0"/>
    <n v="3.7"/>
    <n v="0.8"/>
    <n v="0"/>
  </r>
  <r>
    <s v="2023-03"/>
    <d v="2023-03-01T00:00:00"/>
    <x v="5"/>
    <x v="8"/>
    <x v="18"/>
    <x v="1"/>
    <x v="3"/>
    <s v="Female"/>
    <x v="0"/>
    <n v="5"/>
    <n v="1"/>
    <n v="3.5"/>
    <n v="1"/>
    <n v="0.2"/>
  </r>
  <r>
    <s v="2023-08"/>
    <d v="2023-08-01T00:00:00"/>
    <x v="3"/>
    <x v="3"/>
    <x v="15"/>
    <x v="0"/>
    <x v="4"/>
    <s v="Male"/>
    <x v="7"/>
    <n v="4"/>
    <n v="1"/>
    <n v="2.7"/>
    <n v="1"/>
    <n v="0.25"/>
  </r>
  <r>
    <s v="2023-12"/>
    <d v="2023-12-01T00:00:00"/>
    <x v="9"/>
    <x v="7"/>
    <x v="13"/>
    <x v="0"/>
    <x v="5"/>
    <s v="Male"/>
    <x v="1"/>
    <n v="3"/>
    <n v="0"/>
    <n v="3.1"/>
    <n v="1"/>
    <n v="0"/>
  </r>
  <r>
    <s v="2023-07"/>
    <d v="2023-07-01T00:00:00"/>
    <x v="8"/>
    <x v="4"/>
    <x v="11"/>
    <x v="3"/>
    <x v="2"/>
    <s v="Male"/>
    <x v="0"/>
    <n v="4"/>
    <n v="0"/>
    <n v="2.2999999999999998"/>
    <n v="0.8"/>
    <n v="0"/>
  </r>
  <r>
    <s v="2023-09"/>
    <d v="2023-09-01T00:00:00"/>
    <x v="10"/>
    <x v="5"/>
    <x v="6"/>
    <x v="0"/>
    <x v="0"/>
    <s v="Female"/>
    <x v="4"/>
    <n v="4"/>
    <n v="0"/>
    <n v="2.7"/>
    <n v="0.66666666666666663"/>
    <n v="0"/>
  </r>
  <r>
    <s v="2023-01"/>
    <d v="2023-01-01T00:00:00"/>
    <x v="4"/>
    <x v="5"/>
    <x v="6"/>
    <x v="5"/>
    <x v="3"/>
    <s v="Male"/>
    <x v="7"/>
    <n v="4"/>
    <n v="0"/>
    <n v="2.2999999999999998"/>
    <n v="1"/>
    <n v="0"/>
  </r>
  <r>
    <s v="2023-07"/>
    <d v="2023-07-01T00:00:00"/>
    <x v="8"/>
    <x v="8"/>
    <x v="10"/>
    <x v="3"/>
    <x v="3"/>
    <s v="Male"/>
    <x v="0"/>
    <n v="4"/>
    <n v="2"/>
    <n v="2.7"/>
    <n v="0.8"/>
    <n v="0.4"/>
  </r>
  <r>
    <s v="2023-10"/>
    <d v="2023-10-01T00:00:00"/>
    <x v="2"/>
    <x v="5"/>
    <x v="5"/>
    <x v="5"/>
    <x v="5"/>
    <s v="Female"/>
    <x v="1"/>
    <n v="2"/>
    <n v="0"/>
    <n v="3"/>
    <n v="0.66666666666666663"/>
    <n v="0"/>
  </r>
  <r>
    <s v="2023-09"/>
    <d v="2023-09-01T00:00:00"/>
    <x v="10"/>
    <x v="8"/>
    <x v="10"/>
    <x v="5"/>
    <x v="5"/>
    <s v="Female"/>
    <x v="13"/>
    <n v="12"/>
    <n v="0"/>
    <n v="4.3"/>
    <n v="1"/>
    <n v="0"/>
  </r>
  <r>
    <s v="2023-11"/>
    <d v="2023-11-01T00:00:00"/>
    <x v="11"/>
    <x v="2"/>
    <x v="2"/>
    <x v="2"/>
    <x v="4"/>
    <s v="Male"/>
    <x v="1"/>
    <n v="3"/>
    <n v="0"/>
    <n v="3.1"/>
    <n v="1"/>
    <n v="0"/>
  </r>
  <r>
    <s v="2023-09"/>
    <d v="2023-09-01T00:00:00"/>
    <x v="10"/>
    <x v="3"/>
    <x v="3"/>
    <x v="0"/>
    <x v="0"/>
    <s v="Female"/>
    <x v="7"/>
    <n v="2"/>
    <n v="0"/>
    <n v="2.4"/>
    <n v="0.5"/>
    <n v="0"/>
  </r>
  <r>
    <s v="2023-10"/>
    <d v="2023-10-01T00:00:00"/>
    <x v="2"/>
    <x v="6"/>
    <x v="7"/>
    <x v="3"/>
    <x v="2"/>
    <s v="Female"/>
    <x v="4"/>
    <n v="6"/>
    <n v="0"/>
    <n v="2.5"/>
    <n v="1"/>
    <n v="0"/>
  </r>
  <r>
    <s v="2023-03"/>
    <d v="2023-03-01T00:00:00"/>
    <x v="5"/>
    <x v="6"/>
    <x v="8"/>
    <x v="3"/>
    <x v="1"/>
    <s v="Male"/>
    <x v="2"/>
    <n v="6"/>
    <n v="0"/>
    <n v="1.1000000000000001"/>
    <n v="0.75"/>
    <n v="0"/>
  </r>
  <r>
    <s v="2023-09"/>
    <d v="2023-09-01T00:00:00"/>
    <x v="10"/>
    <x v="9"/>
    <x v="17"/>
    <x v="2"/>
    <x v="4"/>
    <s v="Male"/>
    <x v="8"/>
    <n v="7"/>
    <n v="0"/>
    <n v="3.8"/>
    <n v="1"/>
    <n v="0"/>
  </r>
  <r>
    <s v="2023-01"/>
    <d v="2023-01-01T00:00:00"/>
    <x v="4"/>
    <x v="2"/>
    <x v="2"/>
    <x v="2"/>
    <x v="1"/>
    <s v="Female"/>
    <x v="0"/>
    <n v="4"/>
    <n v="0"/>
    <n v="2.9"/>
    <n v="0.8"/>
    <n v="0"/>
  </r>
  <r>
    <s v="2023-11"/>
    <d v="2023-11-01T00:00:00"/>
    <x v="11"/>
    <x v="4"/>
    <x v="11"/>
    <x v="2"/>
    <x v="2"/>
    <s v="Female"/>
    <x v="2"/>
    <n v="8"/>
    <n v="1"/>
    <n v="2.2000000000000002"/>
    <n v="1"/>
    <n v="0.125"/>
  </r>
  <r>
    <s v="2023-01"/>
    <d v="2023-01-01T00:00:00"/>
    <x v="4"/>
    <x v="7"/>
    <x v="13"/>
    <x v="2"/>
    <x v="1"/>
    <s v="Female"/>
    <x v="4"/>
    <n v="6"/>
    <n v="0"/>
    <n v="1.7"/>
    <n v="1"/>
    <n v="0"/>
  </r>
  <r>
    <s v="2023-06"/>
    <d v="2023-06-01T00:00:00"/>
    <x v="1"/>
    <x v="3"/>
    <x v="3"/>
    <x v="0"/>
    <x v="0"/>
    <s v="Female"/>
    <x v="2"/>
    <n v="8"/>
    <n v="0"/>
    <n v="3.1"/>
    <n v="1"/>
    <n v="0"/>
  </r>
  <r>
    <s v="2023-10"/>
    <d v="2023-10-01T00:00:00"/>
    <x v="2"/>
    <x v="4"/>
    <x v="4"/>
    <x v="3"/>
    <x v="2"/>
    <s v="Female"/>
    <x v="7"/>
    <n v="4"/>
    <n v="0"/>
    <n v="1.7"/>
    <n v="1"/>
    <n v="0"/>
  </r>
  <r>
    <s v="2023-10"/>
    <d v="2023-10-01T00:00:00"/>
    <x v="2"/>
    <x v="8"/>
    <x v="18"/>
    <x v="0"/>
    <x v="0"/>
    <s v="Male"/>
    <x v="4"/>
    <n v="3"/>
    <n v="0"/>
    <n v="3.9"/>
    <n v="0.5"/>
    <n v="0"/>
  </r>
  <r>
    <s v="2023-06"/>
    <d v="2023-06-01T00:00:00"/>
    <x v="1"/>
    <x v="0"/>
    <x v="0"/>
    <x v="1"/>
    <x v="4"/>
    <s v="Female"/>
    <x v="4"/>
    <n v="5"/>
    <n v="1"/>
    <n v="2.5"/>
    <n v="0.83333333333333337"/>
    <n v="0.16666666666666666"/>
  </r>
  <r>
    <s v="2023-12"/>
    <d v="2023-12-01T00:00:00"/>
    <x v="9"/>
    <x v="1"/>
    <x v="1"/>
    <x v="5"/>
    <x v="5"/>
    <s v="Female"/>
    <x v="7"/>
    <n v="4"/>
    <n v="0"/>
    <n v="2.6"/>
    <n v="1"/>
    <n v="0"/>
  </r>
  <r>
    <s v="2023-09"/>
    <d v="2023-09-01T00:00:00"/>
    <x v="10"/>
    <x v="9"/>
    <x v="17"/>
    <x v="4"/>
    <x v="0"/>
    <s v="Female"/>
    <x v="0"/>
    <n v="5"/>
    <n v="1"/>
    <n v="2.6"/>
    <n v="1"/>
    <n v="0.2"/>
  </r>
  <r>
    <s v="2023-11"/>
    <d v="2023-11-01T00:00:00"/>
    <x v="11"/>
    <x v="4"/>
    <x v="4"/>
    <x v="3"/>
    <x v="3"/>
    <s v="Female"/>
    <x v="4"/>
    <n v="6"/>
    <n v="0"/>
    <n v="3.5"/>
    <n v="1"/>
    <n v="0"/>
  </r>
  <r>
    <s v="2023-10"/>
    <d v="2023-10-01T00:00:00"/>
    <x v="2"/>
    <x v="6"/>
    <x v="7"/>
    <x v="0"/>
    <x v="2"/>
    <s v="Female"/>
    <x v="3"/>
    <n v="1"/>
    <n v="0"/>
    <n v="3.6"/>
    <n v="0.5"/>
    <n v="0"/>
  </r>
  <r>
    <s v="2023-05"/>
    <d v="2023-05-01T00:00:00"/>
    <x v="7"/>
    <x v="7"/>
    <x v="13"/>
    <x v="3"/>
    <x v="1"/>
    <s v="Female"/>
    <x v="8"/>
    <n v="7"/>
    <n v="1"/>
    <n v="0.3"/>
    <n v="1"/>
    <n v="0.14285714285714285"/>
  </r>
  <r>
    <s v="2023-06"/>
    <d v="2023-06-01T00:00:00"/>
    <x v="1"/>
    <x v="4"/>
    <x v="4"/>
    <x v="4"/>
    <x v="3"/>
    <s v="Male"/>
    <x v="7"/>
    <n v="4"/>
    <n v="0"/>
    <n v="3"/>
    <n v="1"/>
    <n v="0"/>
  </r>
  <r>
    <s v="2023-04"/>
    <d v="2023-04-01T00:00:00"/>
    <x v="0"/>
    <x v="6"/>
    <x v="7"/>
    <x v="3"/>
    <x v="1"/>
    <s v="Female"/>
    <x v="4"/>
    <n v="5"/>
    <n v="1"/>
    <n v="2.2000000000000002"/>
    <n v="0.83333333333333337"/>
    <n v="0.16666666666666666"/>
  </r>
  <r>
    <s v="2023-12"/>
    <d v="2023-12-01T00:00:00"/>
    <x v="9"/>
    <x v="1"/>
    <x v="16"/>
    <x v="2"/>
    <x v="1"/>
    <s v="Female"/>
    <x v="7"/>
    <n v="3"/>
    <n v="0"/>
    <n v="3.2"/>
    <n v="0.75"/>
    <n v="0"/>
  </r>
  <r>
    <s v="2023-12"/>
    <d v="2023-12-01T00:00:00"/>
    <x v="9"/>
    <x v="5"/>
    <x v="6"/>
    <x v="2"/>
    <x v="2"/>
    <s v="Female"/>
    <x v="9"/>
    <n v="9"/>
    <n v="1"/>
    <n v="3.1"/>
    <n v="0.9"/>
    <n v="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DFD51F-6CBB-482A-9936-E7F61518752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
  <location ref="A3:B16" firstHeaderRow="1" firstDataRow="1" firstDataCol="1"/>
  <pivotFields count="12">
    <pivotField showAll="0"/>
    <pivotField numFmtId="14" showAll="0">
      <items count="13">
        <item x="4"/>
        <item x="6"/>
        <item x="5"/>
        <item x="0"/>
        <item x="7"/>
        <item x="1"/>
        <item x="8"/>
        <item x="3"/>
        <item x="10"/>
        <item x="2"/>
        <item x="11"/>
        <item x="9"/>
        <item t="default"/>
      </items>
    </pivotField>
    <pivotField axis="axisRow" showAll="0">
      <items count="13">
        <item x="4"/>
        <item x="6"/>
        <item x="5"/>
        <item x="0"/>
        <item x="7"/>
        <item x="1"/>
        <item x="8"/>
        <item x="3"/>
        <item x="10"/>
        <item x="2"/>
        <item x="11"/>
        <item x="9"/>
        <item t="default"/>
      </items>
    </pivotField>
    <pivotField showAll="0"/>
    <pivotField showAll="0"/>
    <pivotField showAll="0"/>
    <pivotField showAll="0"/>
    <pivotField showAll="0"/>
    <pivotField dataField="1" showAll="0"/>
    <pivotField showAll="0"/>
    <pivotField showAll="0"/>
    <pivotField showAll="0"/>
  </pivotFields>
  <rowFields count="1">
    <field x="2"/>
  </rowFields>
  <rowItems count="13">
    <i>
      <x/>
    </i>
    <i>
      <x v="1"/>
    </i>
    <i>
      <x v="2"/>
    </i>
    <i>
      <x v="3"/>
    </i>
    <i>
      <x v="4"/>
    </i>
    <i>
      <x v="5"/>
    </i>
    <i>
      <x v="6"/>
    </i>
    <i>
      <x v="7"/>
    </i>
    <i>
      <x v="8"/>
    </i>
    <i>
      <x v="9"/>
    </i>
    <i>
      <x v="10"/>
    </i>
    <i>
      <x v="11"/>
    </i>
    <i t="grand">
      <x/>
    </i>
  </rowItems>
  <colItems count="1">
    <i/>
  </colItems>
  <dataFields count="1">
    <dataField name="Sum of Patients Admitted" fld="8" baseField="0" baseItem="0"/>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BF8CE0-F555-4703-8AC6-DA4C8F19C7D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4" firstHeaderRow="1" firstDataRow="1" firstDataCol="1"/>
  <pivotFields count="12">
    <pivotField showAll="0"/>
    <pivotField numFmtId="14" showAll="0"/>
    <pivotField showAll="0"/>
    <pivotField axis="axisRow" showAll="0" sortType="descending">
      <items count="11">
        <item x="2"/>
        <item x="7"/>
        <item x="0"/>
        <item x="4"/>
        <item x="1"/>
        <item x="5"/>
        <item x="6"/>
        <item x="3"/>
        <item x="9"/>
        <item x="8"/>
        <item t="default"/>
      </items>
      <autoSortScope>
        <pivotArea dataOnly="0" outline="0" fieldPosition="0">
          <references count="1">
            <reference field="4294967294" count="1" selected="0">
              <x v="0"/>
            </reference>
          </references>
        </pivotArea>
      </autoSortScope>
    </pivotField>
    <pivotField showAll="0" sortType="descending">
      <items count="21">
        <item x="17"/>
        <item x="2"/>
        <item x="8"/>
        <item x="0"/>
        <item x="5"/>
        <item x="10"/>
        <item x="4"/>
        <item x="15"/>
        <item x="3"/>
        <item x="9"/>
        <item x="7"/>
        <item x="1"/>
        <item x="19"/>
        <item x="6"/>
        <item x="11"/>
        <item x="14"/>
        <item x="13"/>
        <item x="18"/>
        <item x="12"/>
        <item x="16"/>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s>
  <rowFields count="1">
    <field x="3"/>
  </rowFields>
  <rowItems count="11">
    <i>
      <x v="5"/>
    </i>
    <i>
      <x v="3"/>
    </i>
    <i>
      <x v="9"/>
    </i>
    <i>
      <x v="1"/>
    </i>
    <i>
      <x v="8"/>
    </i>
    <i>
      <x v="7"/>
    </i>
    <i>
      <x v="4"/>
    </i>
    <i>
      <x v="6"/>
    </i>
    <i>
      <x v="2"/>
    </i>
    <i>
      <x/>
    </i>
    <i t="grand">
      <x/>
    </i>
  </rowItems>
  <colItems count="1">
    <i/>
  </colItems>
  <dataFields count="1">
    <dataField name="Sum of Patients Admitted" fld="8"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667E24E-0E06-4A3F-95A2-5E829080C9CE}"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4" firstHeaderRow="1" firstDataRow="1" firstDataCol="1"/>
  <pivotFields count="14">
    <pivotField showAll="0"/>
    <pivotField numFmtId="14" showAll="0"/>
    <pivotField showAll="0">
      <items count="13">
        <item x="4"/>
        <item x="6"/>
        <item x="5"/>
        <item x="0"/>
        <item x="7"/>
        <item x="1"/>
        <item x="8"/>
        <item x="3"/>
        <item x="10"/>
        <item x="2"/>
        <item x="11"/>
        <item x="9"/>
        <item t="default"/>
      </items>
    </pivotField>
    <pivotField showAll="0"/>
    <pivotField axis="axisRow" showAll="0" measureFilter="1" sortType="descending">
      <items count="21">
        <item x="17"/>
        <item x="2"/>
        <item x="8"/>
        <item x="0"/>
        <item x="5"/>
        <item x="10"/>
        <item x="4"/>
        <item x="15"/>
        <item x="3"/>
        <item x="9"/>
        <item x="7"/>
        <item x="1"/>
        <item x="19"/>
        <item x="6"/>
        <item x="11"/>
        <item x="14"/>
        <item x="13"/>
        <item x="18"/>
        <item x="12"/>
        <item x="16"/>
        <item t="default"/>
      </items>
      <autoSortScope>
        <pivotArea dataOnly="0" outline="0" fieldPosition="0">
          <references count="1">
            <reference field="4294967294" count="1" selected="0">
              <x v="0"/>
            </reference>
          </references>
        </pivotArea>
      </autoSortScope>
    </pivotField>
    <pivotField showAll="0">
      <items count="7">
        <item x="4"/>
        <item x="3"/>
        <item x="2"/>
        <item x="1"/>
        <item x="0"/>
        <item x="5"/>
        <item t="default"/>
      </items>
    </pivotField>
    <pivotField showAll="0">
      <items count="7">
        <item x="0"/>
        <item x="3"/>
        <item x="1"/>
        <item x="4"/>
        <item x="5"/>
        <item x="2"/>
        <item t="default"/>
      </items>
    </pivotField>
    <pivotField showAll="0"/>
    <pivotField dataField="1" showAll="0"/>
    <pivotField showAll="0"/>
    <pivotField showAll="0"/>
    <pivotField showAll="0"/>
    <pivotField numFmtId="9" showAll="0"/>
    <pivotField numFmtId="9" showAll="0"/>
  </pivotFields>
  <rowFields count="1">
    <field x="4"/>
  </rowFields>
  <rowItems count="11">
    <i>
      <x v="6"/>
    </i>
    <i>
      <x v="13"/>
    </i>
    <i>
      <x v="4"/>
    </i>
    <i>
      <x v="5"/>
    </i>
    <i>
      <x v="11"/>
    </i>
    <i>
      <x v="9"/>
    </i>
    <i>
      <x v="7"/>
    </i>
    <i>
      <x v="14"/>
    </i>
    <i>
      <x v="17"/>
    </i>
    <i>
      <x/>
    </i>
    <i t="grand">
      <x/>
    </i>
  </rowItems>
  <colItems count="1">
    <i/>
  </colItems>
  <dataFields count="1">
    <dataField name="Sum of Patients Admitted" fld="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FB4F6C2-BBAD-4517-A2CA-4554F6F2356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0" firstHeaderRow="1" firstDataRow="1" firstDataCol="1"/>
  <pivotFields count="12">
    <pivotField showAll="0"/>
    <pivotField numFmtId="14" showAll="0"/>
    <pivotField showAll="0"/>
    <pivotField showAll="0"/>
    <pivotField showAll="0"/>
    <pivotField axis="axisRow" showAll="0">
      <items count="7">
        <item x="4"/>
        <item x="3"/>
        <item x="2"/>
        <item x="1"/>
        <item x="0"/>
        <item x="5"/>
        <item t="default"/>
      </items>
    </pivotField>
    <pivotField showAll="0"/>
    <pivotField showAll="0"/>
    <pivotField dataField="1" showAll="0"/>
    <pivotField showAll="0"/>
    <pivotField showAll="0"/>
    <pivotField showAll="0"/>
  </pivotFields>
  <rowFields count="1">
    <field x="5"/>
  </rowFields>
  <rowItems count="7">
    <i>
      <x/>
    </i>
    <i>
      <x v="1"/>
    </i>
    <i>
      <x v="2"/>
    </i>
    <i>
      <x v="3"/>
    </i>
    <i>
      <x v="4"/>
    </i>
    <i>
      <x v="5"/>
    </i>
    <i t="grand">
      <x/>
    </i>
  </rowItems>
  <colItems count="1">
    <i/>
  </colItems>
  <dataFields count="1">
    <dataField name="Sum of Patients Admitted" fld="8" baseField="0" baseItem="0"/>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7" format="14" series="1">
      <pivotArea type="data" outline="0" fieldPosition="0">
        <references count="1">
          <reference field="4294967294" count="1" selected="0">
            <x v="0"/>
          </reference>
        </references>
      </pivotArea>
    </chartFormat>
    <chartFormat chart="7" format="15">
      <pivotArea type="data" outline="0" fieldPosition="0">
        <references count="2">
          <reference field="4294967294" count="1" selected="0">
            <x v="0"/>
          </reference>
          <reference field="5" count="1" selected="0">
            <x v="0"/>
          </reference>
        </references>
      </pivotArea>
    </chartFormat>
    <chartFormat chart="7" format="16">
      <pivotArea type="data" outline="0" fieldPosition="0">
        <references count="2">
          <reference field="4294967294" count="1" selected="0">
            <x v="0"/>
          </reference>
          <reference field="5" count="1" selected="0">
            <x v="1"/>
          </reference>
        </references>
      </pivotArea>
    </chartFormat>
    <chartFormat chart="7" format="17">
      <pivotArea type="data" outline="0" fieldPosition="0">
        <references count="2">
          <reference field="4294967294" count="1" selected="0">
            <x v="0"/>
          </reference>
          <reference field="5" count="1" selected="0">
            <x v="2"/>
          </reference>
        </references>
      </pivotArea>
    </chartFormat>
    <chartFormat chart="7" format="18">
      <pivotArea type="data" outline="0" fieldPosition="0">
        <references count="2">
          <reference field="4294967294" count="1" selected="0">
            <x v="0"/>
          </reference>
          <reference field="5" count="1" selected="0">
            <x v="3"/>
          </reference>
        </references>
      </pivotArea>
    </chartFormat>
    <chartFormat chart="7" format="19">
      <pivotArea type="data" outline="0" fieldPosition="0">
        <references count="2">
          <reference field="4294967294" count="1" selected="0">
            <x v="0"/>
          </reference>
          <reference field="5" count="1" selected="0">
            <x v="4"/>
          </reference>
        </references>
      </pivotArea>
    </chartFormat>
    <chartFormat chart="7" format="20">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B3E951F-8476-4806-A268-8D0CAE4E79B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0" firstHeaderRow="1" firstDataRow="1" firstDataCol="1"/>
  <pivotFields count="12">
    <pivotField showAll="0"/>
    <pivotField numFmtId="14" showAll="0"/>
    <pivotField showAll="0"/>
    <pivotField showAll="0"/>
    <pivotField showAll="0"/>
    <pivotField showAll="0"/>
    <pivotField axis="axisRow" showAll="0" sortType="ascending">
      <items count="7">
        <item x="0"/>
        <item x="3"/>
        <item x="1"/>
        <item x="4"/>
        <item x="5"/>
        <item x="2"/>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s>
  <rowFields count="1">
    <field x="6"/>
  </rowFields>
  <rowItems count="7">
    <i>
      <x v="1"/>
    </i>
    <i>
      <x v="4"/>
    </i>
    <i>
      <x v="3"/>
    </i>
    <i>
      <x/>
    </i>
    <i>
      <x v="2"/>
    </i>
    <i>
      <x v="5"/>
    </i>
    <i t="grand">
      <x/>
    </i>
  </rowItems>
  <colItems count="1">
    <i/>
  </colItems>
  <dataFields count="1">
    <dataField name="Sum of Patients Admitted" fld="8" baseField="0" baseItem="0"/>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9A85959-1147-4D87-851D-01D1F7817F9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6" firstHeaderRow="1" firstDataRow="1" firstDataCol="1"/>
  <pivotFields count="12">
    <pivotField showAll="0"/>
    <pivotField numFmtId="14" showAll="0"/>
    <pivotField showAll="0"/>
    <pivotField showAll="0"/>
    <pivotField showAll="0"/>
    <pivotField showAll="0"/>
    <pivotField showAll="0"/>
    <pivotField axis="axisRow" showAll="0">
      <items count="3">
        <item x="0"/>
        <item x="1"/>
        <item t="default"/>
      </items>
    </pivotField>
    <pivotField dataField="1" showAll="0"/>
    <pivotField showAll="0"/>
    <pivotField showAll="0"/>
    <pivotField showAll="0"/>
  </pivotFields>
  <rowFields count="1">
    <field x="7"/>
  </rowFields>
  <rowItems count="3">
    <i>
      <x/>
    </i>
    <i>
      <x v="1"/>
    </i>
    <i t="grand">
      <x/>
    </i>
  </rowItems>
  <colItems count="1">
    <i/>
  </colItems>
  <dataFields count="1">
    <dataField name="Sum of Patients Admitted" fld="8" baseField="0" baseItem="0"/>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4" format="3" series="1">
      <pivotArea type="data" outline="0" fieldPosition="0">
        <references count="1">
          <reference field="4294967294" count="1" selected="0">
            <x v="0"/>
          </reference>
        </references>
      </pivotArea>
    </chartFormat>
    <chartFormat chart="4" format="4">
      <pivotArea type="data" outline="0" fieldPosition="0">
        <references count="2">
          <reference field="4294967294" count="1" selected="0">
            <x v="0"/>
          </reference>
          <reference field="7" count="1" selected="0">
            <x v="0"/>
          </reference>
        </references>
      </pivotArea>
    </chartFormat>
    <chartFormat chart="4" format="5">
      <pivotArea type="data" outline="0" fieldPosition="0">
        <references count="2">
          <reference field="4294967294" count="1" selected="0">
            <x v="0"/>
          </reference>
          <reference field="7" count="1" selected="0">
            <x v="1"/>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7" count="1" selected="0">
            <x v="0"/>
          </reference>
        </references>
      </pivotArea>
    </chartFormat>
    <chartFormat chart="10" format="8">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B3689B1-D0FF-4B2D-9E95-CCD9A907EE77}"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4" firstHeaderRow="1" firstDataRow="1" firstDataCol="1"/>
  <pivotFields count="13">
    <pivotField showAll="0"/>
    <pivotField numFmtId="14" showAll="0"/>
    <pivotField showAll="0"/>
    <pivotField showAll="0"/>
    <pivotField axis="axisRow" showAll="0" measureFilter="1" sortType="ascending">
      <items count="21">
        <item x="17"/>
        <item x="2"/>
        <item x="8"/>
        <item x="0"/>
        <item x="5"/>
        <item x="10"/>
        <item x="4"/>
        <item x="15"/>
        <item x="3"/>
        <item x="9"/>
        <item x="7"/>
        <item x="1"/>
        <item x="19"/>
        <item x="6"/>
        <item x="11"/>
        <item x="14"/>
        <item x="13"/>
        <item x="18"/>
        <item x="12"/>
        <item x="1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numFmtId="9" showAll="0"/>
  </pivotFields>
  <rowFields count="1">
    <field x="4"/>
  </rowFields>
  <rowItems count="11">
    <i>
      <x v="12"/>
    </i>
    <i>
      <x v="4"/>
    </i>
    <i>
      <x v="19"/>
    </i>
    <i>
      <x v="1"/>
    </i>
    <i>
      <x v="5"/>
    </i>
    <i>
      <x v="13"/>
    </i>
    <i>
      <x v="14"/>
    </i>
    <i>
      <x v="15"/>
    </i>
    <i>
      <x v="7"/>
    </i>
    <i>
      <x v="11"/>
    </i>
    <i t="grand">
      <x/>
    </i>
  </rowItems>
  <colItems count="1">
    <i/>
  </colItems>
  <dataFields count="1">
    <dataField name="Average of Discharge Rate " fld="12" subtotal="average" baseField="4" baseItem="0" numFmtId="9"/>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1C9742-9322-4680-99E2-327C809E38CD}"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0" firstHeaderRow="1" firstDataRow="1" firstDataCol="1"/>
  <pivotFields count="14">
    <pivotField showAll="0"/>
    <pivotField numFmtId="14" showAll="0"/>
    <pivotField showAll="0">
      <items count="13">
        <item x="4"/>
        <item x="6"/>
        <item x="5"/>
        <item x="0"/>
        <item x="7"/>
        <item x="1"/>
        <item x="8"/>
        <item x="3"/>
        <item x="10"/>
        <item x="2"/>
        <item x="11"/>
        <item x="9"/>
        <item t="default"/>
      </items>
    </pivotField>
    <pivotField showAll="0"/>
    <pivotField showAll="0">
      <items count="21">
        <item x="17"/>
        <item x="2"/>
        <item x="8"/>
        <item x="0"/>
        <item x="5"/>
        <item x="10"/>
        <item x="4"/>
        <item x="15"/>
        <item x="3"/>
        <item x="9"/>
        <item x="7"/>
        <item x="1"/>
        <item x="19"/>
        <item x="6"/>
        <item x="11"/>
        <item x="14"/>
        <item x="13"/>
        <item x="18"/>
        <item x="12"/>
        <item x="16"/>
        <item t="default"/>
      </items>
    </pivotField>
    <pivotField axis="axisRow" showAll="0">
      <items count="7">
        <item x="4"/>
        <item x="3"/>
        <item x="2"/>
        <item x="1"/>
        <item x="0"/>
        <item x="5"/>
        <item t="default"/>
      </items>
    </pivotField>
    <pivotField showAll="0">
      <items count="7">
        <item x="0"/>
        <item x="3"/>
        <item x="1"/>
        <item x="4"/>
        <item x="5"/>
        <item x="2"/>
        <item t="default"/>
      </items>
    </pivotField>
    <pivotField showAll="0"/>
    <pivotField showAll="0">
      <items count="15">
        <item x="12"/>
        <item x="5"/>
        <item x="3"/>
        <item x="1"/>
        <item x="7"/>
        <item x="0"/>
        <item x="4"/>
        <item x="8"/>
        <item x="2"/>
        <item x="10"/>
        <item x="9"/>
        <item x="6"/>
        <item x="13"/>
        <item x="11"/>
        <item t="default"/>
      </items>
    </pivotField>
    <pivotField showAll="0"/>
    <pivotField showAll="0"/>
    <pivotField showAll="0"/>
    <pivotField numFmtId="9" showAll="0"/>
    <pivotField dataField="1" numFmtId="9" showAll="0"/>
  </pivotFields>
  <rowFields count="1">
    <field x="5"/>
  </rowFields>
  <rowItems count="7">
    <i>
      <x/>
    </i>
    <i>
      <x v="1"/>
    </i>
    <i>
      <x v="2"/>
    </i>
    <i>
      <x v="3"/>
    </i>
    <i>
      <x v="4"/>
    </i>
    <i>
      <x v="5"/>
    </i>
    <i t="grand">
      <x/>
    </i>
  </rowItems>
  <colItems count="1">
    <i/>
  </colItems>
  <dataFields count="1">
    <dataField name="Average of Mortality" fld="13" subtotal="average" baseField="5" baseItem="1" numFmtId="165"/>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E1C7141-45A9-43A3-B96D-65E2BF5B6EF6}"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E3:F14" firstHeaderRow="1" firstDataRow="1" firstDataCol="1"/>
  <pivotFields count="14">
    <pivotField showAll="0"/>
    <pivotField numFmtId="14" showAll="0"/>
    <pivotField showAll="0">
      <items count="13">
        <item x="4"/>
        <item x="6"/>
        <item x="5"/>
        <item x="0"/>
        <item x="7"/>
        <item x="1"/>
        <item x="8"/>
        <item x="3"/>
        <item x="10"/>
        <item x="2"/>
        <item x="11"/>
        <item x="9"/>
        <item t="default"/>
      </items>
    </pivotField>
    <pivotField showAll="0"/>
    <pivotField axis="axisRow" showAll="0" measureFilter="1">
      <items count="21">
        <item x="17"/>
        <item x="2"/>
        <item x="8"/>
        <item x="0"/>
        <item x="5"/>
        <item x="10"/>
        <item x="4"/>
        <item x="15"/>
        <item x="3"/>
        <item x="9"/>
        <item x="7"/>
        <item x="1"/>
        <item x="19"/>
        <item x="6"/>
        <item x="11"/>
        <item x="14"/>
        <item x="13"/>
        <item x="18"/>
        <item x="12"/>
        <item x="16"/>
        <item t="default"/>
      </items>
    </pivotField>
    <pivotField showAll="0">
      <items count="7">
        <item x="4"/>
        <item x="3"/>
        <item x="2"/>
        <item x="1"/>
        <item x="0"/>
        <item x="5"/>
        <item t="default"/>
      </items>
    </pivotField>
    <pivotField showAll="0">
      <items count="7">
        <item x="0"/>
        <item x="3"/>
        <item x="1"/>
        <item x="4"/>
        <item x="5"/>
        <item x="2"/>
        <item t="default"/>
      </items>
    </pivotField>
    <pivotField showAll="0"/>
    <pivotField showAll="0"/>
    <pivotField showAll="0"/>
    <pivotField showAll="0"/>
    <pivotField showAll="0"/>
    <pivotField numFmtId="9" showAll="0"/>
    <pivotField dataField="1" numFmtId="9" showAll="0"/>
  </pivotFields>
  <rowFields count="1">
    <field x="4"/>
  </rowFields>
  <rowItems count="11">
    <i>
      <x/>
    </i>
    <i>
      <x v="1"/>
    </i>
    <i>
      <x v="4"/>
    </i>
    <i>
      <x v="5"/>
    </i>
    <i>
      <x v="9"/>
    </i>
    <i>
      <x v="12"/>
    </i>
    <i>
      <x v="14"/>
    </i>
    <i>
      <x v="15"/>
    </i>
    <i>
      <x v="16"/>
    </i>
    <i>
      <x v="17"/>
    </i>
    <i t="grand">
      <x/>
    </i>
  </rowItems>
  <colItems count="1">
    <i/>
  </colItems>
  <dataFields count="1">
    <dataField name="Average of Mortality" fld="13" subtotal="average" baseField="4" baseItem="0" numFmtId="9"/>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3DD795D-302C-44BF-82F3-174ACAB09D25}"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H3:I10" firstHeaderRow="1" firstDataRow="1" firstDataCol="1"/>
  <pivotFields count="14">
    <pivotField showAll="0"/>
    <pivotField numFmtId="14" showAll="0"/>
    <pivotField showAll="0">
      <items count="13">
        <item x="4"/>
        <item x="6"/>
        <item x="5"/>
        <item x="0"/>
        <item x="7"/>
        <item x="1"/>
        <item x="8"/>
        <item x="3"/>
        <item x="10"/>
        <item x="2"/>
        <item x="11"/>
        <item x="9"/>
        <item t="default"/>
      </items>
    </pivotField>
    <pivotField showAll="0"/>
    <pivotField showAll="0"/>
    <pivotField axis="axisRow" showAll="0" sortType="descending">
      <items count="7">
        <item x="4"/>
        <item x="3"/>
        <item x="2"/>
        <item x="1"/>
        <item x="0"/>
        <item x="5"/>
        <item t="default"/>
      </items>
      <autoSortScope>
        <pivotArea dataOnly="0" outline="0" fieldPosition="0">
          <references count="1">
            <reference field="4294967294" count="1" selected="0">
              <x v="0"/>
            </reference>
          </references>
        </pivotArea>
      </autoSortScope>
    </pivotField>
    <pivotField showAll="0">
      <items count="7">
        <item x="0"/>
        <item x="3"/>
        <item x="1"/>
        <item x="4"/>
        <item x="5"/>
        <item x="2"/>
        <item t="default"/>
      </items>
    </pivotField>
    <pivotField showAll="0"/>
    <pivotField showAll="0"/>
    <pivotField showAll="0"/>
    <pivotField showAll="0"/>
    <pivotField dataField="1" showAll="0"/>
    <pivotField numFmtId="9" showAll="0"/>
    <pivotField numFmtId="9" showAll="0"/>
  </pivotFields>
  <rowFields count="1">
    <field x="5"/>
  </rowFields>
  <rowItems count="7">
    <i>
      <x v="3"/>
    </i>
    <i>
      <x v="4"/>
    </i>
    <i>
      <x v="5"/>
    </i>
    <i>
      <x/>
    </i>
    <i>
      <x v="2"/>
    </i>
    <i>
      <x v="1"/>
    </i>
    <i t="grand">
      <x/>
    </i>
  </rowItems>
  <colItems count="1">
    <i/>
  </colItems>
  <dataFields count="1">
    <dataField name="Average of Avg Stay (Days)" fld="11" subtotal="average" baseField="5" baseItem="4"/>
  </dataFields>
  <formats count="2">
    <format dxfId="3">
      <pivotArea collapsedLevelsAreSubtotals="1" fieldPosition="0">
        <references count="1">
          <reference field="5" count="0"/>
        </references>
      </pivotArea>
    </format>
    <format dxfId="2">
      <pivotArea grandRow="1"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6E7EF94-FAC6-4890-88CC-19BB49138057}"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4" firstHeaderRow="1" firstDataRow="1" firstDataCol="1"/>
  <pivotFields count="14">
    <pivotField showAll="0"/>
    <pivotField numFmtId="14" showAll="0"/>
    <pivotField showAll="0">
      <items count="13">
        <item x="4"/>
        <item x="6"/>
        <item x="5"/>
        <item x="0"/>
        <item x="7"/>
        <item x="1"/>
        <item x="8"/>
        <item x="3"/>
        <item x="10"/>
        <item x="2"/>
        <item x="11"/>
        <item x="9"/>
        <item t="default"/>
      </items>
    </pivotField>
    <pivotField showAll="0"/>
    <pivotField axis="axisRow" showAll="0" measureFilter="1" sortType="descending">
      <items count="21">
        <item x="17"/>
        <item x="2"/>
        <item x="8"/>
        <item x="0"/>
        <item x="5"/>
        <item x="10"/>
        <item x="4"/>
        <item x="15"/>
        <item x="3"/>
        <item x="9"/>
        <item x="7"/>
        <item x="1"/>
        <item x="19"/>
        <item x="6"/>
        <item x="11"/>
        <item x="14"/>
        <item x="13"/>
        <item x="18"/>
        <item x="12"/>
        <item x="16"/>
        <item t="default"/>
      </items>
      <autoSortScope>
        <pivotArea dataOnly="0" outline="0" fieldPosition="0">
          <references count="1">
            <reference field="4294967294" count="1" selected="0">
              <x v="0"/>
            </reference>
          </references>
        </pivotArea>
      </autoSortScope>
    </pivotField>
    <pivotField showAll="0">
      <items count="7">
        <item x="4"/>
        <item x="3"/>
        <item x="2"/>
        <item x="1"/>
        <item x="0"/>
        <item x="5"/>
        <item t="default"/>
      </items>
    </pivotField>
    <pivotField showAll="0">
      <items count="7">
        <item x="0"/>
        <item x="3"/>
        <item x="1"/>
        <item x="4"/>
        <item x="5"/>
        <item x="2"/>
        <item t="default"/>
      </items>
    </pivotField>
    <pivotField showAll="0"/>
    <pivotField showAll="0"/>
    <pivotField showAll="0"/>
    <pivotField showAll="0"/>
    <pivotField dataField="1" showAll="0"/>
    <pivotField numFmtId="9" showAll="0"/>
    <pivotField numFmtId="9" showAll="0"/>
  </pivotFields>
  <rowFields count="1">
    <field x="4"/>
  </rowFields>
  <rowItems count="11">
    <i>
      <x v="3"/>
    </i>
    <i>
      <x v="8"/>
    </i>
    <i>
      <x v="14"/>
    </i>
    <i>
      <x v="5"/>
    </i>
    <i>
      <x v="9"/>
    </i>
    <i>
      <x v="13"/>
    </i>
    <i>
      <x v="1"/>
    </i>
    <i>
      <x v="12"/>
    </i>
    <i>
      <x v="7"/>
    </i>
    <i>
      <x v="17"/>
    </i>
    <i t="grand">
      <x/>
    </i>
  </rowItems>
  <colItems count="1">
    <i/>
  </colItems>
  <dataFields count="1">
    <dataField name="Average of Avg Stay (Days)" fld="11" subtotal="average" baseField="4" baseItem="4" numFmtId="2"/>
  </dataFields>
  <formats count="2">
    <format dxfId="0">
      <pivotArea collapsedLevelsAreSubtotals="1" fieldPosition="0">
        <references count="1">
          <reference field="4" count="10">
            <x v="1"/>
            <x v="3"/>
            <x v="5"/>
            <x v="7"/>
            <x v="8"/>
            <x v="9"/>
            <x v="12"/>
            <x v="13"/>
            <x v="14"/>
            <x v="17"/>
          </reference>
        </references>
      </pivotArea>
    </format>
    <format dxfId="1">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E52658D-ECD8-4063-8506-DC0A7DCD173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12">
    <pivotField showAll="0"/>
    <pivotField numFmtId="14" showAll="0"/>
    <pivotField showAll="0"/>
    <pivotField axis="axisRow" showAll="0">
      <items count="11">
        <item x="2"/>
        <item x="7"/>
        <item x="0"/>
        <item x="4"/>
        <item x="1"/>
        <item x="5"/>
        <item x="6"/>
        <item x="3"/>
        <item x="9"/>
        <item x="8"/>
        <item t="default"/>
      </items>
    </pivotField>
    <pivotField showAll="0"/>
    <pivotField showAll="0"/>
    <pivotField showAll="0"/>
    <pivotField showAll="0"/>
    <pivotField dataField="1" showAll="0"/>
    <pivotField showAll="0"/>
    <pivotField showAll="0"/>
    <pivotField showAll="0"/>
  </pivotFields>
  <rowFields count="1">
    <field x="3"/>
  </rowFields>
  <rowItems count="11">
    <i>
      <x/>
    </i>
    <i>
      <x v="1"/>
    </i>
    <i>
      <x v="2"/>
    </i>
    <i>
      <x v="3"/>
    </i>
    <i>
      <x v="4"/>
    </i>
    <i>
      <x v="5"/>
    </i>
    <i>
      <x v="6"/>
    </i>
    <i>
      <x v="7"/>
    </i>
    <i>
      <x v="8"/>
    </i>
    <i>
      <x v="9"/>
    </i>
    <i t="grand">
      <x/>
    </i>
  </rowItems>
  <colItems count="1">
    <i/>
  </colItems>
  <dataFields count="1">
    <dataField name="Sum of Patients Admitted"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C2F91C4-2C31-4DD3-BDB4-6930EB121A13}"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H9" firstHeaderRow="1" firstDataRow="1" firstDataCol="1"/>
  <pivotFields count="14">
    <pivotField showAll="0"/>
    <pivotField numFmtId="14" showAll="0"/>
    <pivotField showAll="0">
      <items count="13">
        <item x="4"/>
        <item x="6"/>
        <item x="5"/>
        <item x="0"/>
        <item x="7"/>
        <item x="1"/>
        <item x="8"/>
        <item x="3"/>
        <item x="10"/>
        <item x="2"/>
        <item x="11"/>
        <item x="9"/>
        <item t="default"/>
      </items>
    </pivotField>
    <pivotField showAll="0"/>
    <pivotField showAll="0"/>
    <pivotField axis="axisRow" showAll="0" sortType="descending">
      <items count="7">
        <item x="4"/>
        <item x="3"/>
        <item x="2"/>
        <item x="1"/>
        <item x="0"/>
        <item x="5"/>
        <item t="default"/>
      </items>
      <autoSortScope>
        <pivotArea dataOnly="0" outline="0" fieldPosition="0">
          <references count="1">
            <reference field="4294967294" count="1" selected="0">
              <x v="0"/>
            </reference>
          </references>
        </pivotArea>
      </autoSortScope>
    </pivotField>
    <pivotField showAll="0">
      <items count="7">
        <item x="0"/>
        <item x="3"/>
        <item x="1"/>
        <item x="4"/>
        <item x="5"/>
        <item x="2"/>
        <item t="default"/>
      </items>
    </pivotField>
    <pivotField showAll="0"/>
    <pivotField dataField="1" showAll="0"/>
    <pivotField showAll="0"/>
    <pivotField showAll="0"/>
    <pivotField showAll="0"/>
    <pivotField numFmtId="9" showAll="0"/>
    <pivotField numFmtId="9" showAll="0"/>
  </pivotFields>
  <rowFields count="1">
    <field x="5"/>
  </rowFields>
  <rowItems count="7">
    <i>
      <x v="4"/>
    </i>
    <i>
      <x v="5"/>
    </i>
    <i>
      <x/>
    </i>
    <i>
      <x v="2"/>
    </i>
    <i>
      <x v="1"/>
    </i>
    <i>
      <x v="3"/>
    </i>
    <i t="grand">
      <x/>
    </i>
  </rowItems>
  <colItems count="1">
    <i/>
  </colItems>
  <dataFields count="1">
    <dataField name="Sum of Patients Admitted"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855F089-A1F1-4D77-B498-4576670C3BD7}"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E13" firstHeaderRow="1" firstDataRow="1" firstDataCol="1"/>
  <pivotFields count="14">
    <pivotField showAll="0"/>
    <pivotField numFmtId="14" showAll="0"/>
    <pivotField showAll="0">
      <items count="13">
        <item x="4"/>
        <item x="6"/>
        <item x="5"/>
        <item x="0"/>
        <item x="7"/>
        <item x="1"/>
        <item x="8"/>
        <item x="3"/>
        <item x="10"/>
        <item x="2"/>
        <item x="11"/>
        <item x="9"/>
        <item t="default"/>
      </items>
    </pivotField>
    <pivotField showAll="0"/>
    <pivotField axis="axisRow" showAll="0" measureFilter="1" sortType="descending">
      <items count="21">
        <item x="17"/>
        <item x="2"/>
        <item x="8"/>
        <item x="0"/>
        <item x="5"/>
        <item x="10"/>
        <item x="4"/>
        <item x="15"/>
        <item x="3"/>
        <item x="9"/>
        <item x="7"/>
        <item x="1"/>
        <item x="19"/>
        <item x="6"/>
        <item x="11"/>
        <item x="14"/>
        <item x="13"/>
        <item x="18"/>
        <item x="12"/>
        <item x="16"/>
        <item t="default"/>
      </items>
      <autoSortScope>
        <pivotArea dataOnly="0" outline="0" fieldPosition="0">
          <references count="1">
            <reference field="4294967294" count="1" selected="0">
              <x v="0"/>
            </reference>
          </references>
        </pivotArea>
      </autoSortScope>
    </pivotField>
    <pivotField showAll="0">
      <items count="7">
        <item x="4"/>
        <item x="3"/>
        <item x="2"/>
        <item x="1"/>
        <item x="0"/>
        <item x="5"/>
        <item t="default"/>
      </items>
    </pivotField>
    <pivotField showAll="0">
      <items count="7">
        <item x="0"/>
        <item x="3"/>
        <item x="1"/>
        <item x="4"/>
        <item x="5"/>
        <item x="2"/>
        <item t="default"/>
      </items>
    </pivotField>
    <pivotField showAll="0"/>
    <pivotField dataField="1" showAll="0"/>
    <pivotField showAll="0"/>
    <pivotField showAll="0"/>
    <pivotField showAll="0"/>
    <pivotField numFmtId="9" showAll="0"/>
    <pivotField numFmtId="9" showAll="0"/>
  </pivotFields>
  <rowFields count="1">
    <field x="4"/>
  </rowFields>
  <rowItems count="11">
    <i>
      <x v="6"/>
    </i>
    <i>
      <x v="13"/>
    </i>
    <i>
      <x v="4"/>
    </i>
    <i>
      <x v="5"/>
    </i>
    <i>
      <x v="11"/>
    </i>
    <i>
      <x v="9"/>
    </i>
    <i>
      <x v="7"/>
    </i>
    <i>
      <x v="14"/>
    </i>
    <i>
      <x v="17"/>
    </i>
    <i>
      <x/>
    </i>
    <i t="grand">
      <x/>
    </i>
  </rowItems>
  <colItems count="1">
    <i/>
  </colItems>
  <dataFields count="1">
    <dataField name="Sum of Patients Admitted" fld="8" baseField="0" baseItem="0"/>
  </dataField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294F0B6-B8FD-4BFE-895F-008AC61285FE}"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A15" firstHeaderRow="1" firstDataRow="1" firstDataCol="0"/>
  <pivotFields count="14">
    <pivotField showAll="0"/>
    <pivotField numFmtId="14" showAll="0"/>
    <pivotField showAll="0">
      <items count="13">
        <item x="4"/>
        <item x="6"/>
        <item x="5"/>
        <item x="0"/>
        <item x="7"/>
        <item x="1"/>
        <item x="8"/>
        <item x="3"/>
        <item x="10"/>
        <item x="2"/>
        <item x="11"/>
        <item x="9"/>
        <item t="default"/>
      </items>
    </pivotField>
    <pivotField showAll="0"/>
    <pivotField showAll="0"/>
    <pivotField showAll="0">
      <items count="7">
        <item x="4"/>
        <item x="3"/>
        <item x="2"/>
        <item x="1"/>
        <item x="0"/>
        <item x="5"/>
        <item t="default"/>
      </items>
    </pivotField>
    <pivotField showAll="0">
      <items count="7">
        <item x="0"/>
        <item x="3"/>
        <item x="1"/>
        <item x="4"/>
        <item x="5"/>
        <item x="2"/>
        <item t="default"/>
      </items>
    </pivotField>
    <pivotField showAll="0"/>
    <pivotField showAll="0"/>
    <pivotField showAll="0"/>
    <pivotField showAll="0"/>
    <pivotField dataField="1" showAll="0"/>
    <pivotField numFmtId="9" showAll="0"/>
    <pivotField numFmtId="9" showAll="0"/>
  </pivotFields>
  <rowItems count="1">
    <i/>
  </rowItems>
  <colItems count="1">
    <i/>
  </colItems>
  <dataFields count="1">
    <dataField name="Average of Avg Stay (Days)" fld="1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B54F79C-CC04-4379-9E5A-A83611A238D4}"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14">
    <pivotField showAll="0"/>
    <pivotField numFmtId="14" showAll="0"/>
    <pivotField showAll="0">
      <items count="13">
        <item x="4"/>
        <item x="6"/>
        <item x="5"/>
        <item x="0"/>
        <item x="7"/>
        <item x="1"/>
        <item x="8"/>
        <item x="3"/>
        <item x="10"/>
        <item x="2"/>
        <item x="11"/>
        <item x="9"/>
        <item t="default"/>
      </items>
    </pivotField>
    <pivotField showAll="0"/>
    <pivotField showAll="0"/>
    <pivotField showAll="0">
      <items count="7">
        <item x="4"/>
        <item x="3"/>
        <item x="2"/>
        <item x="1"/>
        <item x="0"/>
        <item x="5"/>
        <item t="default"/>
      </items>
    </pivotField>
    <pivotField showAll="0">
      <items count="7">
        <item x="0"/>
        <item x="3"/>
        <item x="1"/>
        <item x="4"/>
        <item x="5"/>
        <item x="2"/>
        <item t="default"/>
      </items>
    </pivotField>
    <pivotField showAll="0"/>
    <pivotField showAll="0"/>
    <pivotField dataField="1" showAll="0"/>
    <pivotField showAll="0"/>
    <pivotField showAll="0"/>
    <pivotField numFmtId="9" showAll="0"/>
    <pivotField numFmtId="9" showAll="0"/>
  </pivotFields>
  <rowItems count="1">
    <i/>
  </rowItems>
  <colItems count="1">
    <i/>
  </colItems>
  <dataFields count="1">
    <dataField name="Sum of Patients Discharged"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EDB28B2-89B3-49BC-B114-778F142037D6}"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14">
    <pivotField showAll="0"/>
    <pivotField numFmtId="14" showAll="0"/>
    <pivotField showAll="0">
      <items count="13">
        <item x="4"/>
        <item x="6"/>
        <item x="5"/>
        <item x="0"/>
        <item x="7"/>
        <item x="1"/>
        <item x="8"/>
        <item x="3"/>
        <item x="10"/>
        <item x="2"/>
        <item x="11"/>
        <item x="9"/>
        <item t="default"/>
      </items>
    </pivotField>
    <pivotField showAll="0"/>
    <pivotField showAll="0"/>
    <pivotField showAll="0">
      <items count="7">
        <item x="4"/>
        <item x="3"/>
        <item x="2"/>
        <item x="1"/>
        <item x="0"/>
        <item x="5"/>
        <item t="default"/>
      </items>
    </pivotField>
    <pivotField showAll="0">
      <items count="7">
        <item x="0"/>
        <item x="3"/>
        <item x="1"/>
        <item x="4"/>
        <item x="5"/>
        <item x="2"/>
        <item t="default"/>
      </items>
    </pivotField>
    <pivotField showAll="0"/>
    <pivotField dataField="1" showAll="0"/>
    <pivotField showAll="0"/>
    <pivotField showAll="0"/>
    <pivotField showAll="0"/>
    <pivotField numFmtId="9" showAll="0"/>
    <pivotField numFmtId="9" showAll="0"/>
  </pivotFields>
  <rowItems count="1">
    <i/>
  </rowItems>
  <colItems count="1">
    <i/>
  </colItems>
  <dataFields count="1">
    <dataField name="Sum of Patients Admitted"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8A9D775-1889-4BF3-93E7-726ECB70389C}"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6:E27" firstHeaderRow="1" firstDataRow="1" firstDataCol="1"/>
  <pivotFields count="14">
    <pivotField showAll="0"/>
    <pivotField numFmtId="14" showAll="0"/>
    <pivotField showAll="0">
      <items count="13">
        <item x="4"/>
        <item x="6"/>
        <item x="5"/>
        <item x="0"/>
        <item x="7"/>
        <item x="1"/>
        <item x="8"/>
        <item x="3"/>
        <item x="10"/>
        <item x="2"/>
        <item x="11"/>
        <item x="9"/>
        <item t="default"/>
      </items>
    </pivotField>
    <pivotField axis="axisRow" showAll="0" sortType="descending">
      <items count="11">
        <item x="2"/>
        <item x="7"/>
        <item x="0"/>
        <item x="4"/>
        <item x="1"/>
        <item x="5"/>
        <item x="6"/>
        <item x="3"/>
        <item x="9"/>
        <item x="8"/>
        <item t="default"/>
      </items>
      <autoSortScope>
        <pivotArea dataOnly="0" outline="0" fieldPosition="0">
          <references count="1">
            <reference field="4294967294" count="1" selected="0">
              <x v="0"/>
            </reference>
          </references>
        </pivotArea>
      </autoSortScope>
    </pivotField>
    <pivotField showAll="0"/>
    <pivotField showAll="0">
      <items count="7">
        <item x="4"/>
        <item x="3"/>
        <item x="2"/>
        <item x="1"/>
        <item x="0"/>
        <item x="5"/>
        <item t="default"/>
      </items>
    </pivotField>
    <pivotField showAll="0">
      <items count="7">
        <item x="0"/>
        <item x="3"/>
        <item x="1"/>
        <item x="4"/>
        <item x="5"/>
        <item x="2"/>
        <item t="default"/>
      </items>
    </pivotField>
    <pivotField showAll="0"/>
    <pivotField dataField="1" showAll="0"/>
    <pivotField showAll="0"/>
    <pivotField showAll="0"/>
    <pivotField showAll="0"/>
    <pivotField numFmtId="9" showAll="0"/>
    <pivotField numFmtId="9" showAll="0"/>
  </pivotFields>
  <rowFields count="1">
    <field x="3"/>
  </rowFields>
  <rowItems count="11">
    <i>
      <x v="5"/>
    </i>
    <i>
      <x v="3"/>
    </i>
    <i>
      <x v="9"/>
    </i>
    <i>
      <x v="1"/>
    </i>
    <i>
      <x v="8"/>
    </i>
    <i>
      <x v="7"/>
    </i>
    <i>
      <x v="4"/>
    </i>
    <i>
      <x v="6"/>
    </i>
    <i>
      <x v="2"/>
    </i>
    <i>
      <x/>
    </i>
    <i t="grand">
      <x/>
    </i>
  </rowItems>
  <colItems count="1">
    <i/>
  </colItems>
  <dataFields count="1">
    <dataField name="Sum of Patients Admitted"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48100F02-B989-40F4-8DD5-05E667F15244}" sourceName="Month Name">
  <pivotTables>
    <pivotTable tabId="16" name="PivotTable7"/>
    <pivotTable tabId="15" name="PivotTable8"/>
    <pivotTable tabId="13" name="PivotTable2"/>
    <pivotTable tabId="13" name="PivotTable3"/>
    <pivotTable tabId="14" name="PivotTable5"/>
    <pivotTable tabId="14" name="PivotTable6"/>
    <pivotTable tabId="16" name="PivotTable2"/>
    <pivotTable tabId="16" name="PivotTable3"/>
    <pivotTable tabId="16" name="PivotTable5"/>
    <pivotTable tabId="16" name="PivotTable8"/>
    <pivotTable tabId="16" name="PivotTable9"/>
  </pivotTables>
  <data>
    <tabular pivotCacheId="831860699">
      <items count="12">
        <i x="4" s="1"/>
        <i x="6" s="1"/>
        <i x="5" s="1"/>
        <i x="0" s="1"/>
        <i x="7" s="1"/>
        <i x="1" s="1"/>
        <i x="8" s="1"/>
        <i x="3" s="1"/>
        <i x="10" s="1"/>
        <i x="2" s="1"/>
        <i x="11" s="1"/>
        <i x="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795DBCB7-5D0E-4016-A82D-0225C0700811}" sourceName="Department">
  <pivotTables>
    <pivotTable tabId="16" name="PivotTable8"/>
    <pivotTable tabId="15" name="PivotTable8"/>
    <pivotTable tabId="13" name="PivotTable2"/>
    <pivotTable tabId="13" name="PivotTable3"/>
    <pivotTable tabId="14" name="PivotTable5"/>
    <pivotTable tabId="14" name="PivotTable6"/>
    <pivotTable tabId="16" name="PivotTable2"/>
    <pivotTable tabId="16" name="PivotTable3"/>
    <pivotTable tabId="16" name="PivotTable5"/>
    <pivotTable tabId="16" name="PivotTable7"/>
    <pivotTable tabId="16" name="PivotTable9"/>
  </pivotTables>
  <data>
    <tabular pivotCacheId="831860699">
      <items count="6">
        <i x="4" s="1"/>
        <i x="3" s="1"/>
        <i x="2" s="1"/>
        <i x="1" s="1"/>
        <i x="0"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rvice" xr10:uid="{8362419B-4C1F-4D3A-B93E-F45658B659CA}" sourceName="Service">
  <pivotTables>
    <pivotTable tabId="16" name="PivotTable7"/>
    <pivotTable tabId="15" name="PivotTable8"/>
    <pivotTable tabId="13" name="PivotTable2"/>
    <pivotTable tabId="13" name="PivotTable3"/>
    <pivotTable tabId="14" name="PivotTable5"/>
    <pivotTable tabId="14" name="PivotTable6"/>
    <pivotTable tabId="16" name="PivotTable2"/>
    <pivotTable tabId="16" name="PivotTable3"/>
    <pivotTable tabId="16" name="PivotTable5"/>
    <pivotTable tabId="16" name="PivotTable8"/>
    <pivotTable tabId="16" name="PivotTable9"/>
  </pivotTables>
  <data>
    <tabular pivotCacheId="831860699">
      <items count="6">
        <i x="0" s="1"/>
        <i x="3" s="1"/>
        <i x="1" s="1"/>
        <i x="4" s="1"/>
        <i x="5"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xr10:uid="{0216222E-9715-4369-8B06-3AB043CB7788}" cache="Slicer_Month_Name" caption="Month Name" rowHeight="257175"/>
  <slicer name="Department" xr10:uid="{286E7E28-91FC-4793-B362-F8FDB6BC842B}" cache="Slicer_Department" caption="Department" rowHeight="257175"/>
  <slicer name="Service" xr10:uid="{85D940BE-0115-4731-B17A-1A9A0443BBC9}" cache="Slicer_Service" caption="Servic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1" xr10:uid="{B5F369D0-25BF-4A6C-A0A6-751922009C3C}" cache="Slicer_Month_Name" caption="Month Name" startItem="1" rowHeight="257175"/>
  <slicer name="Department 1" xr10:uid="{38FD2514-2D7E-464A-A7FF-3EBB98003B4B}" cache="Slicer_Department" caption="Department" rowHeight="257175"/>
  <slicer name="Service 1" xr10:uid="{E51D4773-0421-4343-B247-5D0DF1641DCF}" cache="Slicer_Service" caption="Service"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6B37247-9C40-4114-BF85-57B3330FE110}" name="Table1" displayName="Table1" ref="A1:N1001" totalsRowShown="0" headerRowDxfId="20" dataDxfId="19" tableBorderDxfId="18">
  <autoFilter ref="A1:N1001" xr:uid="{56B37247-9C40-4114-BF85-57B3330FE110}"/>
  <tableColumns count="14">
    <tableColumn id="1" xr3:uid="{EB7AA64B-347B-4FCE-B616-5E22C1F426DD}" name="Month" dataDxfId="17"/>
    <tableColumn id="2" xr3:uid="{FEC8DE17-3C5F-4050-9C60-A5F13D59269A}" name="Formatted_Month" dataDxfId="16">
      <calculatedColumnFormula>DATE(LEFT(A2,4), RIGHT(A2,2), 1)</calculatedColumnFormula>
    </tableColumn>
    <tableColumn id="3" xr3:uid="{4A26FA9A-3173-4463-AF93-026194642BE1}" name="Month Name" dataDxfId="15">
      <calculatedColumnFormula>TEXT('Cleaned Datasets'!$B2,"MMMM")</calculatedColumnFormula>
    </tableColumn>
    <tableColumn id="4" xr3:uid="{06F05D85-140C-4EA2-80A9-193DBD5EBA03}" name="State" dataDxfId="14"/>
    <tableColumn id="5" xr3:uid="{D99CFD27-234D-4A7B-B193-5A189AB5AED6}" name="Hospital" dataDxfId="13"/>
    <tableColumn id="6" xr3:uid="{A9B96108-98C2-4CA8-AB15-1FEFCB2779FA}" name="Department" dataDxfId="12"/>
    <tableColumn id="7" xr3:uid="{13557E83-E085-4C90-8ECE-4050A9801644}" name="Service" dataDxfId="11"/>
    <tableColumn id="8" xr3:uid="{1519B003-883A-4674-A0D6-22125C7D8ACC}" name="Gender" dataDxfId="10"/>
    <tableColumn id="9" xr3:uid="{EA34C37B-58B0-4516-8C95-5B763E99BCE2}" name="Patients Admitted" dataDxfId="9"/>
    <tableColumn id="10" xr3:uid="{45340BED-1677-4731-978D-37B1EB4AD80C}" name="Patients Discharged" dataDxfId="8"/>
    <tableColumn id="11" xr3:uid="{31BD4A77-A6DC-424F-A82D-796E44ABF78D}" name="Mortality Count" dataDxfId="7"/>
    <tableColumn id="12" xr3:uid="{1EA11FFF-0E97-49B6-8696-85A8FA48C691}" name="Avg Stay (Days)" dataDxfId="6"/>
    <tableColumn id="13" xr3:uid="{B089ACE5-24D1-4443-8264-7AB9049FA69B}" name="Discharge Rate " dataDxfId="5" dataCellStyle="Percent">
      <calculatedColumnFormula>IFERROR(J2/I2,0)</calculatedColumnFormula>
    </tableColumn>
    <tableColumn id="14" xr3:uid="{D09DC5A1-5BE3-4A6E-9893-C62A2ED8BEC4}" name="Mortality" dataDxfId="4" dataCellStyle="Percent">
      <calculatedColumnFormula>IFERROR(K2/I2,0)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ivotTable" Target="../pivotTables/pivotTable11.xml"/><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2.xml"/></Relationships>
</file>

<file path=xl/worksheets/_rels/sheet13.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15.xml"/><Relationship Id="rId7" Type="http://schemas.openxmlformats.org/officeDocument/2006/relationships/drawing" Target="../drawings/drawing11.xml"/><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openxmlformats.org/officeDocument/2006/relationships/pivotTable" Target="../pivotTables/pivotTable18.xml"/><Relationship Id="rId5" Type="http://schemas.openxmlformats.org/officeDocument/2006/relationships/pivotTable" Target="../pivotTables/pivotTable17.xml"/><Relationship Id="rId4" Type="http://schemas.openxmlformats.org/officeDocument/2006/relationships/pivotTable" Target="../pivotTables/pivotTable16.xml"/></Relationships>
</file>

<file path=xl/worksheets/_rels/sheet1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D4774-E6D5-411F-9F96-1994D1E26FD0}">
  <dimension ref="A1:L1001"/>
  <sheetViews>
    <sheetView workbookViewId="0">
      <selection activeCell="G24" sqref="G24"/>
    </sheetView>
  </sheetViews>
  <sheetFormatPr defaultRowHeight="15" x14ac:dyDescent="0.25"/>
  <cols>
    <col min="1" max="1" width="7.7109375" bestFit="1" customWidth="1"/>
    <col min="3" max="3" width="28.5703125" bestFit="1" customWidth="1"/>
    <col min="4" max="4" width="16.42578125" bestFit="1" customWidth="1"/>
    <col min="5" max="5" width="12.28515625" bestFit="1" customWidth="1"/>
    <col min="6" max="6" width="7.42578125" bestFit="1" customWidth="1"/>
    <col min="7" max="7" width="16.5703125" bestFit="1" customWidth="1"/>
    <col min="8" max="8" width="18.85546875" bestFit="1" customWidth="1"/>
    <col min="9" max="9" width="14.42578125" bestFit="1" customWidth="1"/>
    <col min="10" max="10" width="14.28515625" bestFit="1" customWidth="1"/>
  </cols>
  <sheetData>
    <row r="1" spans="1:12" x14ac:dyDescent="0.25">
      <c r="A1" t="s">
        <v>0</v>
      </c>
      <c r="B1" t="s">
        <v>1</v>
      </c>
      <c r="C1" t="s">
        <v>2</v>
      </c>
      <c r="D1" t="s">
        <v>3</v>
      </c>
      <c r="E1" t="s">
        <v>4</v>
      </c>
      <c r="F1" t="s">
        <v>5</v>
      </c>
      <c r="G1" t="s">
        <v>6</v>
      </c>
      <c r="H1" t="s">
        <v>7</v>
      </c>
      <c r="I1" t="s">
        <v>8</v>
      </c>
      <c r="J1" t="s">
        <v>9</v>
      </c>
    </row>
    <row r="2" spans="1:12" x14ac:dyDescent="0.25">
      <c r="A2" t="s">
        <v>10</v>
      </c>
      <c r="B2" t="s">
        <v>11</v>
      </c>
      <c r="C2" t="s">
        <v>12</v>
      </c>
      <c r="D2" t="s">
        <v>13</v>
      </c>
      <c r="E2" t="s">
        <v>14</v>
      </c>
      <c r="F2" t="s">
        <v>15</v>
      </c>
      <c r="G2">
        <v>5</v>
      </c>
      <c r="H2">
        <v>5</v>
      </c>
      <c r="I2">
        <v>1</v>
      </c>
      <c r="J2">
        <v>4.5999999999999996</v>
      </c>
    </row>
    <row r="3" spans="1:12" x14ac:dyDescent="0.25">
      <c r="A3" t="s">
        <v>10</v>
      </c>
      <c r="B3" t="s">
        <v>16</v>
      </c>
      <c r="C3" t="s">
        <v>17</v>
      </c>
      <c r="D3" t="s">
        <v>13</v>
      </c>
      <c r="E3" t="s">
        <v>18</v>
      </c>
      <c r="F3" t="s">
        <v>19</v>
      </c>
      <c r="G3">
        <v>3</v>
      </c>
      <c r="H3">
        <v>3</v>
      </c>
      <c r="I3">
        <v>0</v>
      </c>
      <c r="J3">
        <v>3.8</v>
      </c>
    </row>
    <row r="4" spans="1:12" x14ac:dyDescent="0.25">
      <c r="A4" t="s">
        <v>20</v>
      </c>
      <c r="B4" t="s">
        <v>16</v>
      </c>
      <c r="C4" t="s">
        <v>17</v>
      </c>
      <c r="D4" t="s">
        <v>21</v>
      </c>
      <c r="E4" t="s">
        <v>22</v>
      </c>
      <c r="F4" t="s">
        <v>19</v>
      </c>
      <c r="G4">
        <v>5</v>
      </c>
      <c r="H4">
        <v>5</v>
      </c>
      <c r="I4">
        <v>0</v>
      </c>
      <c r="J4">
        <v>4.5</v>
      </c>
    </row>
    <row r="5" spans="1:12" x14ac:dyDescent="0.25">
      <c r="A5" t="s">
        <v>23</v>
      </c>
      <c r="B5" t="s">
        <v>24</v>
      </c>
      <c r="C5" t="s">
        <v>25</v>
      </c>
      <c r="D5" t="s">
        <v>26</v>
      </c>
      <c r="E5" t="s">
        <v>27</v>
      </c>
      <c r="F5" t="s">
        <v>15</v>
      </c>
      <c r="G5">
        <v>3</v>
      </c>
      <c r="H5">
        <v>3</v>
      </c>
      <c r="I5">
        <v>0</v>
      </c>
      <c r="J5">
        <v>2.8</v>
      </c>
    </row>
    <row r="6" spans="1:12" x14ac:dyDescent="0.25">
      <c r="A6" t="s">
        <v>23</v>
      </c>
      <c r="B6" t="s">
        <v>28</v>
      </c>
      <c r="C6" t="s">
        <v>29</v>
      </c>
      <c r="D6" t="s">
        <v>21</v>
      </c>
      <c r="E6" t="s">
        <v>30</v>
      </c>
      <c r="F6" t="s">
        <v>15</v>
      </c>
      <c r="G6">
        <v>5</v>
      </c>
      <c r="H6">
        <v>4</v>
      </c>
      <c r="I6">
        <v>0</v>
      </c>
      <c r="J6">
        <v>3</v>
      </c>
    </row>
    <row r="7" spans="1:12" x14ac:dyDescent="0.25">
      <c r="A7" t="s">
        <v>31</v>
      </c>
      <c r="B7" t="s">
        <v>28</v>
      </c>
      <c r="C7" t="s">
        <v>29</v>
      </c>
      <c r="D7" t="s">
        <v>32</v>
      </c>
      <c r="E7" t="s">
        <v>14</v>
      </c>
      <c r="F7" t="s">
        <v>19</v>
      </c>
      <c r="G7">
        <v>3</v>
      </c>
      <c r="H7">
        <v>3</v>
      </c>
      <c r="I7">
        <v>0</v>
      </c>
      <c r="J7">
        <v>1.9</v>
      </c>
    </row>
    <row r="8" spans="1:12" x14ac:dyDescent="0.25">
      <c r="A8" t="s">
        <v>33</v>
      </c>
      <c r="B8" t="s">
        <v>34</v>
      </c>
      <c r="C8" t="s">
        <v>35</v>
      </c>
      <c r="D8" t="s">
        <v>21</v>
      </c>
      <c r="E8" t="s">
        <v>27</v>
      </c>
      <c r="F8" t="s">
        <v>19</v>
      </c>
      <c r="G8">
        <v>8</v>
      </c>
      <c r="H8">
        <v>8</v>
      </c>
      <c r="I8">
        <v>0</v>
      </c>
      <c r="J8">
        <v>2</v>
      </c>
    </row>
    <row r="9" spans="1:12" x14ac:dyDescent="0.25">
      <c r="A9" t="s">
        <v>36</v>
      </c>
      <c r="B9" t="s">
        <v>37</v>
      </c>
      <c r="C9" t="s">
        <v>38</v>
      </c>
      <c r="D9" t="s">
        <v>32</v>
      </c>
      <c r="E9" t="s">
        <v>27</v>
      </c>
      <c r="F9" t="s">
        <v>19</v>
      </c>
      <c r="G9">
        <v>5</v>
      </c>
      <c r="H9">
        <v>4</v>
      </c>
      <c r="I9">
        <v>0</v>
      </c>
      <c r="J9">
        <v>1.4</v>
      </c>
    </row>
    <row r="10" spans="1:12" x14ac:dyDescent="0.25">
      <c r="A10" t="s">
        <v>33</v>
      </c>
      <c r="B10" t="s">
        <v>37</v>
      </c>
      <c r="C10" t="s">
        <v>39</v>
      </c>
      <c r="D10" t="s">
        <v>40</v>
      </c>
      <c r="E10" t="s">
        <v>14</v>
      </c>
      <c r="F10" t="s">
        <v>15</v>
      </c>
      <c r="G10">
        <v>3</v>
      </c>
      <c r="H10">
        <v>2</v>
      </c>
      <c r="I10">
        <v>0</v>
      </c>
      <c r="J10">
        <v>3.9</v>
      </c>
    </row>
    <row r="11" spans="1:12" x14ac:dyDescent="0.25">
      <c r="A11" t="s">
        <v>23</v>
      </c>
      <c r="B11" t="s">
        <v>41</v>
      </c>
      <c r="C11" t="s">
        <v>42</v>
      </c>
      <c r="D11" t="s">
        <v>22</v>
      </c>
      <c r="E11" t="s">
        <v>27</v>
      </c>
      <c r="F11" t="s">
        <v>15</v>
      </c>
      <c r="G11">
        <v>2</v>
      </c>
      <c r="H11">
        <v>1</v>
      </c>
      <c r="I11">
        <v>0</v>
      </c>
      <c r="J11">
        <v>3.8</v>
      </c>
    </row>
    <row r="12" spans="1:12" x14ac:dyDescent="0.25">
      <c r="A12" t="s">
        <v>43</v>
      </c>
      <c r="B12" t="s">
        <v>37</v>
      </c>
      <c r="C12" t="s">
        <v>39</v>
      </c>
      <c r="D12" t="s">
        <v>13</v>
      </c>
      <c r="E12" t="s">
        <v>22</v>
      </c>
      <c r="F12" t="s">
        <v>19</v>
      </c>
      <c r="G12">
        <v>2</v>
      </c>
      <c r="H12">
        <v>2</v>
      </c>
      <c r="I12">
        <v>0</v>
      </c>
      <c r="J12">
        <v>3.8</v>
      </c>
    </row>
    <row r="13" spans="1:12" x14ac:dyDescent="0.25">
      <c r="A13" t="s">
        <v>31</v>
      </c>
      <c r="B13" t="s">
        <v>41</v>
      </c>
      <c r="C13" t="s">
        <v>44</v>
      </c>
      <c r="D13" t="s">
        <v>22</v>
      </c>
      <c r="E13" t="s">
        <v>18</v>
      </c>
      <c r="F13" t="s">
        <v>15</v>
      </c>
      <c r="G13">
        <v>6</v>
      </c>
      <c r="H13">
        <v>6</v>
      </c>
      <c r="I13">
        <v>0</v>
      </c>
      <c r="J13">
        <v>3.3</v>
      </c>
    </row>
    <row r="14" spans="1:12" x14ac:dyDescent="0.25">
      <c r="A14" t="s">
        <v>10</v>
      </c>
      <c r="B14" t="s">
        <v>11</v>
      </c>
      <c r="C14" t="s">
        <v>12</v>
      </c>
      <c r="D14" t="s">
        <v>21</v>
      </c>
      <c r="E14" t="s">
        <v>14</v>
      </c>
      <c r="F14" t="s">
        <v>19</v>
      </c>
      <c r="G14">
        <v>1</v>
      </c>
      <c r="H14">
        <v>1</v>
      </c>
      <c r="I14">
        <v>0</v>
      </c>
      <c r="J14">
        <v>3.1</v>
      </c>
    </row>
    <row r="15" spans="1:12" x14ac:dyDescent="0.25">
      <c r="A15" t="s">
        <v>45</v>
      </c>
      <c r="B15" t="s">
        <v>46</v>
      </c>
      <c r="C15" t="s">
        <v>47</v>
      </c>
      <c r="D15" t="s">
        <v>13</v>
      </c>
      <c r="E15" t="s">
        <v>30</v>
      </c>
      <c r="F15" t="s">
        <v>19</v>
      </c>
      <c r="G15">
        <v>5</v>
      </c>
      <c r="H15">
        <v>5</v>
      </c>
      <c r="I15">
        <v>0</v>
      </c>
      <c r="J15">
        <v>1</v>
      </c>
    </row>
    <row r="16" spans="1:12" x14ac:dyDescent="0.25">
      <c r="A16" t="s">
        <v>36</v>
      </c>
      <c r="B16" t="s">
        <v>48</v>
      </c>
      <c r="C16" t="s">
        <v>49</v>
      </c>
      <c r="D16" t="s">
        <v>32</v>
      </c>
      <c r="E16" t="s">
        <v>14</v>
      </c>
      <c r="F16" t="s">
        <v>15</v>
      </c>
      <c r="G16">
        <v>11</v>
      </c>
      <c r="H16">
        <v>11</v>
      </c>
      <c r="I16">
        <v>0</v>
      </c>
      <c r="J16">
        <v>3.3</v>
      </c>
      <c r="L16" t="s">
        <v>82</v>
      </c>
    </row>
    <row r="17" spans="1:10" x14ac:dyDescent="0.25">
      <c r="A17" t="s">
        <v>50</v>
      </c>
      <c r="B17" t="s">
        <v>34</v>
      </c>
      <c r="C17" t="s">
        <v>51</v>
      </c>
      <c r="D17" t="s">
        <v>26</v>
      </c>
      <c r="E17" t="s">
        <v>18</v>
      </c>
      <c r="F17" t="s">
        <v>19</v>
      </c>
      <c r="G17">
        <v>1</v>
      </c>
      <c r="H17">
        <v>1</v>
      </c>
      <c r="I17">
        <v>0</v>
      </c>
      <c r="J17">
        <v>3.3</v>
      </c>
    </row>
    <row r="18" spans="1:10" x14ac:dyDescent="0.25">
      <c r="A18" t="s">
        <v>23</v>
      </c>
      <c r="B18" t="s">
        <v>11</v>
      </c>
      <c r="C18" t="s">
        <v>52</v>
      </c>
      <c r="D18" t="s">
        <v>13</v>
      </c>
      <c r="E18" t="s">
        <v>53</v>
      </c>
      <c r="F18" t="s">
        <v>19</v>
      </c>
      <c r="G18">
        <v>4</v>
      </c>
      <c r="H18">
        <v>3</v>
      </c>
      <c r="I18">
        <v>0</v>
      </c>
      <c r="J18">
        <v>3</v>
      </c>
    </row>
    <row r="19" spans="1:10" x14ac:dyDescent="0.25">
      <c r="A19" t="s">
        <v>45</v>
      </c>
      <c r="B19" t="s">
        <v>37</v>
      </c>
      <c r="C19" t="s">
        <v>39</v>
      </c>
      <c r="D19" t="s">
        <v>21</v>
      </c>
      <c r="E19" t="s">
        <v>30</v>
      </c>
      <c r="F19" t="s">
        <v>15</v>
      </c>
      <c r="G19">
        <v>2</v>
      </c>
      <c r="H19">
        <v>2</v>
      </c>
      <c r="I19">
        <v>0</v>
      </c>
      <c r="J19">
        <v>1.3</v>
      </c>
    </row>
    <row r="20" spans="1:10" x14ac:dyDescent="0.25">
      <c r="A20" t="s">
        <v>20</v>
      </c>
      <c r="B20" t="s">
        <v>34</v>
      </c>
      <c r="C20" t="s">
        <v>51</v>
      </c>
      <c r="D20" t="s">
        <v>32</v>
      </c>
      <c r="E20" t="s">
        <v>27</v>
      </c>
      <c r="F20" t="s">
        <v>15</v>
      </c>
      <c r="G20">
        <v>3</v>
      </c>
      <c r="H20">
        <v>3</v>
      </c>
      <c r="I20">
        <v>0</v>
      </c>
      <c r="J20">
        <v>4.0999999999999996</v>
      </c>
    </row>
    <row r="21" spans="1:10" x14ac:dyDescent="0.25">
      <c r="A21" t="s">
        <v>33</v>
      </c>
      <c r="B21" t="s">
        <v>11</v>
      </c>
      <c r="C21" t="s">
        <v>12</v>
      </c>
      <c r="D21" t="s">
        <v>40</v>
      </c>
      <c r="E21" t="s">
        <v>22</v>
      </c>
      <c r="F21" t="s">
        <v>19</v>
      </c>
      <c r="G21">
        <v>6</v>
      </c>
      <c r="H21">
        <v>5</v>
      </c>
      <c r="I21">
        <v>0</v>
      </c>
      <c r="J21">
        <v>3.8</v>
      </c>
    </row>
    <row r="22" spans="1:10" x14ac:dyDescent="0.25">
      <c r="A22" t="s">
        <v>50</v>
      </c>
      <c r="B22" t="s">
        <v>48</v>
      </c>
      <c r="C22" t="s">
        <v>49</v>
      </c>
      <c r="D22" t="s">
        <v>26</v>
      </c>
      <c r="E22" t="s">
        <v>30</v>
      </c>
      <c r="F22" t="s">
        <v>19</v>
      </c>
      <c r="G22">
        <v>2</v>
      </c>
      <c r="H22">
        <v>2</v>
      </c>
      <c r="I22">
        <v>0</v>
      </c>
      <c r="J22">
        <v>1.4</v>
      </c>
    </row>
    <row r="23" spans="1:10" x14ac:dyDescent="0.25">
      <c r="A23" t="s">
        <v>45</v>
      </c>
      <c r="B23" t="s">
        <v>48</v>
      </c>
      <c r="C23" t="s">
        <v>49</v>
      </c>
      <c r="D23" t="s">
        <v>13</v>
      </c>
      <c r="E23" t="s">
        <v>22</v>
      </c>
      <c r="F23" t="s">
        <v>19</v>
      </c>
      <c r="G23">
        <v>5</v>
      </c>
      <c r="H23">
        <v>5</v>
      </c>
      <c r="I23">
        <v>0</v>
      </c>
      <c r="J23">
        <v>3.1</v>
      </c>
    </row>
    <row r="24" spans="1:10" x14ac:dyDescent="0.25">
      <c r="A24" t="s">
        <v>20</v>
      </c>
      <c r="B24" t="s">
        <v>11</v>
      </c>
      <c r="C24" t="s">
        <v>12</v>
      </c>
      <c r="D24" t="s">
        <v>32</v>
      </c>
      <c r="E24" t="s">
        <v>30</v>
      </c>
      <c r="F24" t="s">
        <v>15</v>
      </c>
      <c r="G24">
        <v>8</v>
      </c>
      <c r="H24">
        <v>6</v>
      </c>
      <c r="I24">
        <v>1</v>
      </c>
      <c r="J24">
        <v>1.6</v>
      </c>
    </row>
    <row r="25" spans="1:10" x14ac:dyDescent="0.25">
      <c r="A25" t="s">
        <v>50</v>
      </c>
      <c r="B25" t="s">
        <v>37</v>
      </c>
      <c r="C25" t="s">
        <v>39</v>
      </c>
      <c r="D25" t="s">
        <v>40</v>
      </c>
      <c r="E25" t="s">
        <v>14</v>
      </c>
      <c r="F25" t="s">
        <v>19</v>
      </c>
      <c r="G25">
        <v>7</v>
      </c>
      <c r="H25">
        <v>5</v>
      </c>
      <c r="I25">
        <v>0</v>
      </c>
      <c r="J25">
        <v>4.2</v>
      </c>
    </row>
    <row r="26" spans="1:10" x14ac:dyDescent="0.25">
      <c r="A26" t="s">
        <v>45</v>
      </c>
      <c r="B26" t="s">
        <v>41</v>
      </c>
      <c r="C26" t="s">
        <v>44</v>
      </c>
      <c r="D26" t="s">
        <v>22</v>
      </c>
      <c r="E26" t="s">
        <v>27</v>
      </c>
      <c r="F26" t="s">
        <v>19</v>
      </c>
      <c r="G26">
        <v>1</v>
      </c>
      <c r="H26">
        <v>1</v>
      </c>
      <c r="I26">
        <v>0</v>
      </c>
      <c r="J26">
        <v>3.2</v>
      </c>
    </row>
    <row r="27" spans="1:10" x14ac:dyDescent="0.25">
      <c r="A27" t="s">
        <v>50</v>
      </c>
      <c r="B27" t="s">
        <v>46</v>
      </c>
      <c r="C27" t="s">
        <v>54</v>
      </c>
      <c r="D27" t="s">
        <v>40</v>
      </c>
      <c r="E27" t="s">
        <v>30</v>
      </c>
      <c r="F27" t="s">
        <v>19</v>
      </c>
      <c r="G27">
        <v>5</v>
      </c>
      <c r="H27">
        <v>4</v>
      </c>
      <c r="I27">
        <v>0</v>
      </c>
      <c r="J27">
        <v>1.8</v>
      </c>
    </row>
    <row r="28" spans="1:10" x14ac:dyDescent="0.25">
      <c r="A28" t="s">
        <v>43</v>
      </c>
      <c r="B28" t="s">
        <v>34</v>
      </c>
      <c r="C28" t="s">
        <v>51</v>
      </c>
      <c r="D28" t="s">
        <v>13</v>
      </c>
      <c r="E28" t="s">
        <v>30</v>
      </c>
      <c r="F28" t="s">
        <v>15</v>
      </c>
      <c r="G28">
        <v>5</v>
      </c>
      <c r="H28">
        <v>5</v>
      </c>
      <c r="I28">
        <v>1</v>
      </c>
      <c r="J28">
        <v>3.9</v>
      </c>
    </row>
    <row r="29" spans="1:10" x14ac:dyDescent="0.25">
      <c r="A29" t="s">
        <v>23</v>
      </c>
      <c r="B29" t="s">
        <v>37</v>
      </c>
      <c r="C29" t="s">
        <v>38</v>
      </c>
      <c r="D29" t="s">
        <v>40</v>
      </c>
      <c r="E29" t="s">
        <v>27</v>
      </c>
      <c r="F29" t="s">
        <v>19</v>
      </c>
      <c r="G29">
        <v>7</v>
      </c>
      <c r="H29">
        <v>7</v>
      </c>
      <c r="I29">
        <v>0</v>
      </c>
      <c r="J29">
        <v>2.8</v>
      </c>
    </row>
    <row r="30" spans="1:10" x14ac:dyDescent="0.25">
      <c r="A30" t="s">
        <v>20</v>
      </c>
      <c r="B30" t="s">
        <v>34</v>
      </c>
      <c r="C30" t="s">
        <v>51</v>
      </c>
      <c r="D30" t="s">
        <v>26</v>
      </c>
      <c r="E30" t="s">
        <v>18</v>
      </c>
      <c r="F30" t="s">
        <v>15</v>
      </c>
      <c r="G30">
        <v>5</v>
      </c>
      <c r="H30">
        <v>3</v>
      </c>
      <c r="I30">
        <v>0</v>
      </c>
      <c r="J30">
        <v>2.5</v>
      </c>
    </row>
    <row r="31" spans="1:10" x14ac:dyDescent="0.25">
      <c r="A31" t="s">
        <v>55</v>
      </c>
      <c r="B31" t="s">
        <v>46</v>
      </c>
      <c r="C31" t="s">
        <v>54</v>
      </c>
      <c r="D31" t="s">
        <v>26</v>
      </c>
      <c r="E31" t="s">
        <v>53</v>
      </c>
      <c r="F31" t="s">
        <v>15</v>
      </c>
      <c r="G31">
        <v>6</v>
      </c>
      <c r="H31">
        <v>5</v>
      </c>
      <c r="I31">
        <v>0</v>
      </c>
      <c r="J31">
        <v>3.8</v>
      </c>
    </row>
    <row r="32" spans="1:10" x14ac:dyDescent="0.25">
      <c r="A32" t="s">
        <v>31</v>
      </c>
      <c r="B32" t="s">
        <v>16</v>
      </c>
      <c r="C32" t="s">
        <v>17</v>
      </c>
      <c r="D32" t="s">
        <v>22</v>
      </c>
      <c r="E32" t="s">
        <v>22</v>
      </c>
      <c r="F32" t="s">
        <v>19</v>
      </c>
      <c r="G32">
        <v>8</v>
      </c>
      <c r="H32">
        <v>8</v>
      </c>
      <c r="I32">
        <v>1</v>
      </c>
      <c r="J32">
        <v>3.3</v>
      </c>
    </row>
    <row r="33" spans="1:10" x14ac:dyDescent="0.25">
      <c r="A33" t="s">
        <v>43</v>
      </c>
      <c r="B33" t="s">
        <v>37</v>
      </c>
      <c r="C33" t="s">
        <v>39</v>
      </c>
      <c r="D33" t="s">
        <v>32</v>
      </c>
      <c r="E33" t="s">
        <v>53</v>
      </c>
      <c r="F33" t="s">
        <v>15</v>
      </c>
      <c r="G33">
        <v>10</v>
      </c>
      <c r="H33">
        <v>9</v>
      </c>
      <c r="I33">
        <v>0</v>
      </c>
      <c r="J33">
        <v>3.3</v>
      </c>
    </row>
    <row r="34" spans="1:10" x14ac:dyDescent="0.25">
      <c r="A34" t="s">
        <v>45</v>
      </c>
      <c r="B34" t="s">
        <v>56</v>
      </c>
      <c r="C34" t="s">
        <v>57</v>
      </c>
      <c r="D34" t="s">
        <v>40</v>
      </c>
      <c r="E34" t="s">
        <v>27</v>
      </c>
      <c r="F34" t="s">
        <v>15</v>
      </c>
      <c r="G34">
        <v>4</v>
      </c>
      <c r="H34">
        <v>4</v>
      </c>
      <c r="I34">
        <v>1</v>
      </c>
      <c r="J34">
        <v>2.1</v>
      </c>
    </row>
    <row r="35" spans="1:10" x14ac:dyDescent="0.25">
      <c r="A35" t="s">
        <v>43</v>
      </c>
      <c r="B35" t="s">
        <v>16</v>
      </c>
      <c r="C35" t="s">
        <v>17</v>
      </c>
      <c r="D35" t="s">
        <v>26</v>
      </c>
      <c r="E35" t="s">
        <v>53</v>
      </c>
      <c r="F35" t="s">
        <v>15</v>
      </c>
      <c r="G35">
        <v>4</v>
      </c>
      <c r="H35">
        <v>4</v>
      </c>
      <c r="I35">
        <v>0</v>
      </c>
      <c r="J35">
        <v>2.7</v>
      </c>
    </row>
    <row r="36" spans="1:10" x14ac:dyDescent="0.25">
      <c r="A36" t="s">
        <v>23</v>
      </c>
      <c r="B36" t="s">
        <v>34</v>
      </c>
      <c r="C36" t="s">
        <v>35</v>
      </c>
      <c r="D36" t="s">
        <v>22</v>
      </c>
      <c r="E36" t="s">
        <v>18</v>
      </c>
      <c r="F36" t="s">
        <v>15</v>
      </c>
      <c r="G36">
        <v>8</v>
      </c>
      <c r="H36">
        <v>8</v>
      </c>
      <c r="I36">
        <v>0</v>
      </c>
      <c r="J36">
        <v>2.2000000000000002</v>
      </c>
    </row>
    <row r="37" spans="1:10" x14ac:dyDescent="0.25">
      <c r="A37" t="s">
        <v>33</v>
      </c>
      <c r="B37" t="s">
        <v>37</v>
      </c>
      <c r="C37" t="s">
        <v>39</v>
      </c>
      <c r="D37" t="s">
        <v>13</v>
      </c>
      <c r="E37" t="s">
        <v>22</v>
      </c>
      <c r="F37" t="s">
        <v>19</v>
      </c>
      <c r="G37">
        <v>3</v>
      </c>
      <c r="H37">
        <v>3</v>
      </c>
      <c r="I37">
        <v>0</v>
      </c>
      <c r="J37">
        <v>4.7</v>
      </c>
    </row>
    <row r="38" spans="1:10" x14ac:dyDescent="0.25">
      <c r="A38" t="s">
        <v>50</v>
      </c>
      <c r="B38" t="s">
        <v>28</v>
      </c>
      <c r="C38" t="s">
        <v>58</v>
      </c>
      <c r="D38" t="s">
        <v>26</v>
      </c>
      <c r="E38" t="s">
        <v>22</v>
      </c>
      <c r="F38" t="s">
        <v>15</v>
      </c>
      <c r="G38">
        <v>7</v>
      </c>
      <c r="H38">
        <v>6</v>
      </c>
      <c r="I38">
        <v>0</v>
      </c>
      <c r="J38">
        <v>2.8</v>
      </c>
    </row>
    <row r="39" spans="1:10" x14ac:dyDescent="0.25">
      <c r="A39" t="s">
        <v>59</v>
      </c>
      <c r="B39" t="s">
        <v>34</v>
      </c>
      <c r="C39" t="s">
        <v>51</v>
      </c>
      <c r="D39" t="s">
        <v>21</v>
      </c>
      <c r="E39" t="s">
        <v>30</v>
      </c>
      <c r="F39" t="s">
        <v>15</v>
      </c>
      <c r="G39">
        <v>3</v>
      </c>
      <c r="H39">
        <v>3</v>
      </c>
      <c r="I39">
        <v>0</v>
      </c>
      <c r="J39">
        <v>4.9000000000000004</v>
      </c>
    </row>
    <row r="40" spans="1:10" x14ac:dyDescent="0.25">
      <c r="A40" t="s">
        <v>50</v>
      </c>
      <c r="B40" t="s">
        <v>46</v>
      </c>
      <c r="C40" t="s">
        <v>54</v>
      </c>
      <c r="D40" t="s">
        <v>13</v>
      </c>
      <c r="E40" t="s">
        <v>14</v>
      </c>
      <c r="F40" t="s">
        <v>15</v>
      </c>
      <c r="G40">
        <v>3</v>
      </c>
      <c r="H40">
        <v>3</v>
      </c>
      <c r="I40">
        <v>0</v>
      </c>
      <c r="J40">
        <v>3.4</v>
      </c>
    </row>
    <row r="41" spans="1:10" x14ac:dyDescent="0.25">
      <c r="A41" t="s">
        <v>31</v>
      </c>
      <c r="B41" t="s">
        <v>37</v>
      </c>
      <c r="C41" t="s">
        <v>39</v>
      </c>
      <c r="D41" t="s">
        <v>26</v>
      </c>
      <c r="E41" t="s">
        <v>22</v>
      </c>
      <c r="F41" t="s">
        <v>19</v>
      </c>
      <c r="G41">
        <v>3</v>
      </c>
      <c r="H41">
        <v>3</v>
      </c>
      <c r="I41">
        <v>1</v>
      </c>
      <c r="J41">
        <v>3.9</v>
      </c>
    </row>
    <row r="42" spans="1:10" x14ac:dyDescent="0.25">
      <c r="A42" t="s">
        <v>23</v>
      </c>
      <c r="B42" t="s">
        <v>16</v>
      </c>
      <c r="C42" t="s">
        <v>60</v>
      </c>
      <c r="D42" t="s">
        <v>26</v>
      </c>
      <c r="E42" t="s">
        <v>22</v>
      </c>
      <c r="F42" t="s">
        <v>15</v>
      </c>
      <c r="G42">
        <v>9</v>
      </c>
      <c r="H42">
        <v>9</v>
      </c>
      <c r="I42">
        <v>0</v>
      </c>
      <c r="J42">
        <v>2.5</v>
      </c>
    </row>
    <row r="43" spans="1:10" x14ac:dyDescent="0.25">
      <c r="A43" t="s">
        <v>36</v>
      </c>
      <c r="B43" t="s">
        <v>34</v>
      </c>
      <c r="C43" t="s">
        <v>35</v>
      </c>
      <c r="D43" t="s">
        <v>26</v>
      </c>
      <c r="E43" t="s">
        <v>53</v>
      </c>
      <c r="F43" t="s">
        <v>19</v>
      </c>
      <c r="G43">
        <v>2</v>
      </c>
      <c r="H43">
        <v>1</v>
      </c>
      <c r="I43">
        <v>0</v>
      </c>
      <c r="J43">
        <v>3.2</v>
      </c>
    </row>
    <row r="44" spans="1:10" x14ac:dyDescent="0.25">
      <c r="A44" t="s">
        <v>10</v>
      </c>
      <c r="B44" t="s">
        <v>37</v>
      </c>
      <c r="C44" t="s">
        <v>38</v>
      </c>
      <c r="D44" t="s">
        <v>22</v>
      </c>
      <c r="E44" t="s">
        <v>27</v>
      </c>
      <c r="F44" t="s">
        <v>19</v>
      </c>
      <c r="G44">
        <v>7</v>
      </c>
      <c r="H44">
        <v>6</v>
      </c>
      <c r="I44">
        <v>1</v>
      </c>
      <c r="J44">
        <v>3</v>
      </c>
    </row>
    <row r="45" spans="1:10" x14ac:dyDescent="0.25">
      <c r="A45" t="s">
        <v>59</v>
      </c>
      <c r="B45" t="s">
        <v>41</v>
      </c>
      <c r="C45" t="s">
        <v>44</v>
      </c>
      <c r="D45" t="s">
        <v>40</v>
      </c>
      <c r="E45" t="s">
        <v>18</v>
      </c>
      <c r="F45" t="s">
        <v>15</v>
      </c>
      <c r="G45">
        <v>8</v>
      </c>
      <c r="H45">
        <v>6</v>
      </c>
      <c r="I45">
        <v>0</v>
      </c>
      <c r="J45">
        <v>3.1</v>
      </c>
    </row>
    <row r="46" spans="1:10" x14ac:dyDescent="0.25">
      <c r="A46" t="s">
        <v>10</v>
      </c>
      <c r="B46" t="s">
        <v>48</v>
      </c>
      <c r="C46" t="s">
        <v>49</v>
      </c>
      <c r="D46" t="s">
        <v>21</v>
      </c>
      <c r="E46" t="s">
        <v>18</v>
      </c>
      <c r="F46" t="s">
        <v>15</v>
      </c>
      <c r="G46">
        <v>4</v>
      </c>
      <c r="H46">
        <v>3</v>
      </c>
      <c r="I46">
        <v>0</v>
      </c>
      <c r="J46">
        <v>3.3</v>
      </c>
    </row>
    <row r="47" spans="1:10" x14ac:dyDescent="0.25">
      <c r="A47" t="s">
        <v>61</v>
      </c>
      <c r="B47" t="s">
        <v>56</v>
      </c>
      <c r="C47" t="s">
        <v>57</v>
      </c>
      <c r="D47" t="s">
        <v>22</v>
      </c>
      <c r="E47" t="s">
        <v>27</v>
      </c>
      <c r="F47" t="s">
        <v>15</v>
      </c>
      <c r="G47">
        <v>8</v>
      </c>
      <c r="H47">
        <v>7</v>
      </c>
      <c r="I47">
        <v>0</v>
      </c>
      <c r="J47">
        <v>2.9</v>
      </c>
    </row>
    <row r="48" spans="1:10" x14ac:dyDescent="0.25">
      <c r="A48" t="s">
        <v>10</v>
      </c>
      <c r="B48" t="s">
        <v>16</v>
      </c>
      <c r="C48" t="s">
        <v>60</v>
      </c>
      <c r="D48" t="s">
        <v>32</v>
      </c>
      <c r="E48" t="s">
        <v>14</v>
      </c>
      <c r="F48" t="s">
        <v>15</v>
      </c>
      <c r="G48">
        <v>4</v>
      </c>
      <c r="H48">
        <v>4</v>
      </c>
      <c r="I48">
        <v>0</v>
      </c>
      <c r="J48">
        <v>3.4</v>
      </c>
    </row>
    <row r="49" spans="1:10" x14ac:dyDescent="0.25">
      <c r="A49" t="s">
        <v>50</v>
      </c>
      <c r="B49" t="s">
        <v>11</v>
      </c>
      <c r="C49" t="s">
        <v>12</v>
      </c>
      <c r="D49" t="s">
        <v>26</v>
      </c>
      <c r="E49" t="s">
        <v>30</v>
      </c>
      <c r="F49" t="s">
        <v>19</v>
      </c>
      <c r="G49">
        <v>2</v>
      </c>
      <c r="H49">
        <v>2</v>
      </c>
      <c r="I49">
        <v>0</v>
      </c>
      <c r="J49">
        <v>2.4</v>
      </c>
    </row>
    <row r="50" spans="1:10" x14ac:dyDescent="0.25">
      <c r="A50" t="s">
        <v>55</v>
      </c>
      <c r="B50" t="s">
        <v>11</v>
      </c>
      <c r="C50" t="s">
        <v>52</v>
      </c>
      <c r="D50" t="s">
        <v>40</v>
      </c>
      <c r="E50" t="s">
        <v>22</v>
      </c>
      <c r="F50" t="s">
        <v>15</v>
      </c>
      <c r="G50">
        <v>3</v>
      </c>
      <c r="H50">
        <v>1</v>
      </c>
      <c r="I50">
        <v>0</v>
      </c>
      <c r="J50">
        <v>4.2</v>
      </c>
    </row>
    <row r="51" spans="1:10" x14ac:dyDescent="0.25">
      <c r="A51" t="s">
        <v>55</v>
      </c>
      <c r="B51" t="s">
        <v>24</v>
      </c>
      <c r="C51" t="s">
        <v>25</v>
      </c>
      <c r="D51" t="s">
        <v>32</v>
      </c>
      <c r="E51" t="s">
        <v>14</v>
      </c>
      <c r="F51" t="s">
        <v>15</v>
      </c>
      <c r="G51">
        <v>7</v>
      </c>
      <c r="H51">
        <v>5</v>
      </c>
      <c r="I51">
        <v>0</v>
      </c>
      <c r="J51">
        <v>2.5</v>
      </c>
    </row>
    <row r="52" spans="1:10" x14ac:dyDescent="0.25">
      <c r="A52" t="s">
        <v>10</v>
      </c>
      <c r="B52" t="s">
        <v>46</v>
      </c>
      <c r="C52" t="s">
        <v>47</v>
      </c>
      <c r="D52" t="s">
        <v>13</v>
      </c>
      <c r="E52" t="s">
        <v>30</v>
      </c>
      <c r="F52" t="s">
        <v>15</v>
      </c>
      <c r="G52">
        <v>1</v>
      </c>
      <c r="H52">
        <v>1</v>
      </c>
      <c r="I52">
        <v>0</v>
      </c>
      <c r="J52">
        <v>4.3</v>
      </c>
    </row>
    <row r="53" spans="1:10" x14ac:dyDescent="0.25">
      <c r="A53" t="s">
        <v>61</v>
      </c>
      <c r="B53" t="s">
        <v>41</v>
      </c>
      <c r="C53" t="s">
        <v>44</v>
      </c>
      <c r="D53" t="s">
        <v>13</v>
      </c>
      <c r="E53" t="s">
        <v>27</v>
      </c>
      <c r="F53" t="s">
        <v>15</v>
      </c>
      <c r="G53">
        <v>7</v>
      </c>
      <c r="H53">
        <v>5</v>
      </c>
      <c r="I53">
        <v>0</v>
      </c>
      <c r="J53">
        <v>3.8</v>
      </c>
    </row>
    <row r="54" spans="1:10" x14ac:dyDescent="0.25">
      <c r="A54" t="s">
        <v>43</v>
      </c>
      <c r="B54" t="s">
        <v>37</v>
      </c>
      <c r="C54" t="s">
        <v>39</v>
      </c>
      <c r="D54" t="s">
        <v>26</v>
      </c>
      <c r="E54" t="s">
        <v>14</v>
      </c>
      <c r="F54" t="s">
        <v>15</v>
      </c>
      <c r="G54">
        <v>7</v>
      </c>
      <c r="H54">
        <v>6</v>
      </c>
      <c r="I54">
        <v>0</v>
      </c>
      <c r="J54">
        <v>4.2</v>
      </c>
    </row>
    <row r="55" spans="1:10" x14ac:dyDescent="0.25">
      <c r="A55" t="s">
        <v>45</v>
      </c>
      <c r="B55" t="s">
        <v>46</v>
      </c>
      <c r="C55" t="s">
        <v>54</v>
      </c>
      <c r="D55" t="s">
        <v>21</v>
      </c>
      <c r="E55" t="s">
        <v>27</v>
      </c>
      <c r="F55" t="s">
        <v>15</v>
      </c>
      <c r="G55">
        <v>5</v>
      </c>
      <c r="H55">
        <v>4</v>
      </c>
      <c r="I55">
        <v>0</v>
      </c>
      <c r="J55">
        <v>4.8</v>
      </c>
    </row>
    <row r="56" spans="1:10" x14ac:dyDescent="0.25">
      <c r="A56" t="s">
        <v>43</v>
      </c>
      <c r="B56" t="s">
        <v>46</v>
      </c>
      <c r="C56" t="s">
        <v>47</v>
      </c>
      <c r="D56" t="s">
        <v>13</v>
      </c>
      <c r="E56" t="s">
        <v>27</v>
      </c>
      <c r="F56" t="s">
        <v>19</v>
      </c>
      <c r="G56">
        <v>4</v>
      </c>
      <c r="H56">
        <v>2</v>
      </c>
      <c r="I56">
        <v>2</v>
      </c>
      <c r="J56">
        <v>3.3</v>
      </c>
    </row>
    <row r="57" spans="1:10" x14ac:dyDescent="0.25">
      <c r="A57" t="s">
        <v>55</v>
      </c>
      <c r="B57" t="s">
        <v>28</v>
      </c>
      <c r="C57" t="s">
        <v>29</v>
      </c>
      <c r="D57" t="s">
        <v>26</v>
      </c>
      <c r="E57" t="s">
        <v>14</v>
      </c>
      <c r="F57" t="s">
        <v>15</v>
      </c>
      <c r="G57">
        <v>9</v>
      </c>
      <c r="H57">
        <v>7</v>
      </c>
      <c r="I57">
        <v>1</v>
      </c>
      <c r="J57">
        <v>4.9000000000000004</v>
      </c>
    </row>
    <row r="58" spans="1:10" x14ac:dyDescent="0.25">
      <c r="A58" t="s">
        <v>45</v>
      </c>
      <c r="B58" t="s">
        <v>24</v>
      </c>
      <c r="C58" t="s">
        <v>25</v>
      </c>
      <c r="D58" t="s">
        <v>21</v>
      </c>
      <c r="E58" t="s">
        <v>30</v>
      </c>
      <c r="F58" t="s">
        <v>19</v>
      </c>
      <c r="G58">
        <v>1</v>
      </c>
      <c r="H58">
        <v>1</v>
      </c>
      <c r="I58">
        <v>0</v>
      </c>
      <c r="J58">
        <v>1.3</v>
      </c>
    </row>
    <row r="59" spans="1:10" x14ac:dyDescent="0.25">
      <c r="A59" t="s">
        <v>20</v>
      </c>
      <c r="B59" t="s">
        <v>34</v>
      </c>
      <c r="C59" t="s">
        <v>35</v>
      </c>
      <c r="D59" t="s">
        <v>26</v>
      </c>
      <c r="E59" t="s">
        <v>53</v>
      </c>
      <c r="F59" t="s">
        <v>15</v>
      </c>
      <c r="G59">
        <v>6</v>
      </c>
      <c r="H59">
        <v>5</v>
      </c>
      <c r="I59">
        <v>1</v>
      </c>
      <c r="J59">
        <v>4.4000000000000004</v>
      </c>
    </row>
    <row r="60" spans="1:10" x14ac:dyDescent="0.25">
      <c r="A60" t="s">
        <v>50</v>
      </c>
      <c r="B60" t="s">
        <v>16</v>
      </c>
      <c r="C60" t="s">
        <v>60</v>
      </c>
      <c r="D60" t="s">
        <v>21</v>
      </c>
      <c r="E60" t="s">
        <v>18</v>
      </c>
      <c r="F60" t="s">
        <v>19</v>
      </c>
      <c r="G60">
        <v>8</v>
      </c>
      <c r="H60">
        <v>6</v>
      </c>
      <c r="I60">
        <v>0</v>
      </c>
      <c r="J60">
        <v>3.7</v>
      </c>
    </row>
    <row r="61" spans="1:10" x14ac:dyDescent="0.25">
      <c r="A61" t="s">
        <v>55</v>
      </c>
      <c r="B61" t="s">
        <v>37</v>
      </c>
      <c r="C61" t="s">
        <v>38</v>
      </c>
      <c r="D61" t="s">
        <v>32</v>
      </c>
      <c r="E61" t="s">
        <v>30</v>
      </c>
      <c r="F61" t="s">
        <v>19</v>
      </c>
      <c r="G61">
        <v>6</v>
      </c>
      <c r="H61">
        <v>5</v>
      </c>
      <c r="I61">
        <v>0</v>
      </c>
      <c r="J61">
        <v>1.9</v>
      </c>
    </row>
    <row r="62" spans="1:10" x14ac:dyDescent="0.25">
      <c r="A62" t="s">
        <v>31</v>
      </c>
      <c r="B62" t="s">
        <v>56</v>
      </c>
      <c r="C62" t="s">
        <v>57</v>
      </c>
      <c r="D62" t="s">
        <v>22</v>
      </c>
      <c r="E62" t="s">
        <v>53</v>
      </c>
      <c r="F62" t="s">
        <v>15</v>
      </c>
      <c r="G62">
        <v>4</v>
      </c>
      <c r="H62">
        <v>3</v>
      </c>
      <c r="I62">
        <v>0</v>
      </c>
      <c r="J62">
        <v>2</v>
      </c>
    </row>
    <row r="63" spans="1:10" x14ac:dyDescent="0.25">
      <c r="A63" t="s">
        <v>36</v>
      </c>
      <c r="B63" t="s">
        <v>41</v>
      </c>
      <c r="C63" t="s">
        <v>42</v>
      </c>
      <c r="D63" t="s">
        <v>32</v>
      </c>
      <c r="E63" t="s">
        <v>30</v>
      </c>
      <c r="F63" t="s">
        <v>15</v>
      </c>
      <c r="G63">
        <v>1</v>
      </c>
      <c r="H63">
        <v>1</v>
      </c>
      <c r="I63">
        <v>0</v>
      </c>
      <c r="J63">
        <v>3.7</v>
      </c>
    </row>
    <row r="64" spans="1:10" x14ac:dyDescent="0.25">
      <c r="A64" t="s">
        <v>45</v>
      </c>
      <c r="B64" t="s">
        <v>37</v>
      </c>
      <c r="C64" t="s">
        <v>38</v>
      </c>
      <c r="D64" t="s">
        <v>13</v>
      </c>
      <c r="E64" t="s">
        <v>22</v>
      </c>
      <c r="F64" t="s">
        <v>19</v>
      </c>
      <c r="G64">
        <v>7</v>
      </c>
      <c r="H64">
        <v>5</v>
      </c>
      <c r="I64">
        <v>1</v>
      </c>
      <c r="J64">
        <v>1.3</v>
      </c>
    </row>
    <row r="65" spans="1:10" x14ac:dyDescent="0.25">
      <c r="A65" t="s">
        <v>59</v>
      </c>
      <c r="B65" t="s">
        <v>41</v>
      </c>
      <c r="C65" t="s">
        <v>44</v>
      </c>
      <c r="D65" t="s">
        <v>22</v>
      </c>
      <c r="E65" t="s">
        <v>14</v>
      </c>
      <c r="F65" t="s">
        <v>15</v>
      </c>
      <c r="G65">
        <v>6</v>
      </c>
      <c r="H65">
        <v>6</v>
      </c>
      <c r="I65">
        <v>0</v>
      </c>
      <c r="J65">
        <v>2.9</v>
      </c>
    </row>
    <row r="66" spans="1:10" x14ac:dyDescent="0.25">
      <c r="A66" t="s">
        <v>45</v>
      </c>
      <c r="B66" t="s">
        <v>28</v>
      </c>
      <c r="C66" t="s">
        <v>29</v>
      </c>
      <c r="D66" t="s">
        <v>40</v>
      </c>
      <c r="E66" t="s">
        <v>27</v>
      </c>
      <c r="F66" t="s">
        <v>19</v>
      </c>
      <c r="G66">
        <v>3</v>
      </c>
      <c r="H66">
        <v>3</v>
      </c>
      <c r="I66">
        <v>1</v>
      </c>
      <c r="J66">
        <v>5.0999999999999996</v>
      </c>
    </row>
    <row r="67" spans="1:10" x14ac:dyDescent="0.25">
      <c r="A67" t="s">
        <v>43</v>
      </c>
      <c r="B67" t="s">
        <v>34</v>
      </c>
      <c r="C67" t="s">
        <v>51</v>
      </c>
      <c r="D67" t="s">
        <v>13</v>
      </c>
      <c r="E67" t="s">
        <v>27</v>
      </c>
      <c r="F67" t="s">
        <v>15</v>
      </c>
      <c r="G67">
        <v>2</v>
      </c>
      <c r="H67">
        <v>2</v>
      </c>
      <c r="I67">
        <v>0</v>
      </c>
      <c r="J67">
        <v>2.7</v>
      </c>
    </row>
    <row r="68" spans="1:10" x14ac:dyDescent="0.25">
      <c r="A68" t="s">
        <v>23</v>
      </c>
      <c r="B68" t="s">
        <v>46</v>
      </c>
      <c r="C68" t="s">
        <v>54</v>
      </c>
      <c r="D68" t="s">
        <v>40</v>
      </c>
      <c r="E68" t="s">
        <v>27</v>
      </c>
      <c r="F68" t="s">
        <v>15</v>
      </c>
      <c r="G68">
        <v>2</v>
      </c>
      <c r="H68">
        <v>2</v>
      </c>
      <c r="I68">
        <v>0</v>
      </c>
      <c r="J68">
        <v>3.1</v>
      </c>
    </row>
    <row r="69" spans="1:10" x14ac:dyDescent="0.25">
      <c r="A69" t="s">
        <v>20</v>
      </c>
      <c r="B69" t="s">
        <v>34</v>
      </c>
      <c r="C69" t="s">
        <v>51</v>
      </c>
      <c r="D69" t="s">
        <v>40</v>
      </c>
      <c r="E69" t="s">
        <v>18</v>
      </c>
      <c r="F69" t="s">
        <v>19</v>
      </c>
      <c r="G69">
        <v>4</v>
      </c>
      <c r="H69">
        <v>3</v>
      </c>
      <c r="I69">
        <v>1</v>
      </c>
      <c r="J69">
        <v>0.7</v>
      </c>
    </row>
    <row r="70" spans="1:10" x14ac:dyDescent="0.25">
      <c r="A70" t="s">
        <v>61</v>
      </c>
      <c r="B70" t="s">
        <v>46</v>
      </c>
      <c r="C70" t="s">
        <v>54</v>
      </c>
      <c r="D70" t="s">
        <v>13</v>
      </c>
      <c r="E70" t="s">
        <v>18</v>
      </c>
      <c r="F70" t="s">
        <v>15</v>
      </c>
      <c r="G70">
        <v>4</v>
      </c>
      <c r="H70">
        <v>4</v>
      </c>
      <c r="I70">
        <v>0</v>
      </c>
      <c r="J70">
        <v>5.4</v>
      </c>
    </row>
    <row r="71" spans="1:10" x14ac:dyDescent="0.25">
      <c r="A71" t="s">
        <v>10</v>
      </c>
      <c r="B71" t="s">
        <v>16</v>
      </c>
      <c r="C71" t="s">
        <v>17</v>
      </c>
      <c r="D71" t="s">
        <v>26</v>
      </c>
      <c r="E71" t="s">
        <v>27</v>
      </c>
      <c r="F71" t="s">
        <v>15</v>
      </c>
      <c r="G71">
        <v>3</v>
      </c>
      <c r="H71">
        <v>3</v>
      </c>
      <c r="I71">
        <v>0</v>
      </c>
      <c r="J71">
        <v>2.7</v>
      </c>
    </row>
    <row r="72" spans="1:10" x14ac:dyDescent="0.25">
      <c r="A72" t="s">
        <v>59</v>
      </c>
      <c r="B72" t="s">
        <v>28</v>
      </c>
      <c r="C72" t="s">
        <v>29</v>
      </c>
      <c r="D72" t="s">
        <v>22</v>
      </c>
      <c r="E72" t="s">
        <v>18</v>
      </c>
      <c r="F72" t="s">
        <v>19</v>
      </c>
      <c r="G72">
        <v>5</v>
      </c>
      <c r="H72">
        <v>5</v>
      </c>
      <c r="I72">
        <v>0</v>
      </c>
      <c r="J72">
        <v>2.8</v>
      </c>
    </row>
    <row r="73" spans="1:10" x14ac:dyDescent="0.25">
      <c r="A73" t="s">
        <v>33</v>
      </c>
      <c r="B73" t="s">
        <v>46</v>
      </c>
      <c r="C73" t="s">
        <v>54</v>
      </c>
      <c r="D73" t="s">
        <v>32</v>
      </c>
      <c r="E73" t="s">
        <v>22</v>
      </c>
      <c r="F73" t="s">
        <v>19</v>
      </c>
      <c r="G73">
        <v>3</v>
      </c>
      <c r="H73">
        <v>2</v>
      </c>
      <c r="I73">
        <v>0</v>
      </c>
      <c r="J73">
        <v>3</v>
      </c>
    </row>
    <row r="74" spans="1:10" x14ac:dyDescent="0.25">
      <c r="A74" t="s">
        <v>33</v>
      </c>
      <c r="B74" t="s">
        <v>24</v>
      </c>
      <c r="C74" t="s">
        <v>25</v>
      </c>
      <c r="D74" t="s">
        <v>21</v>
      </c>
      <c r="E74" t="s">
        <v>30</v>
      </c>
      <c r="F74" t="s">
        <v>15</v>
      </c>
      <c r="G74">
        <v>6</v>
      </c>
      <c r="H74">
        <v>6</v>
      </c>
      <c r="I74">
        <v>0</v>
      </c>
      <c r="J74">
        <v>2.1</v>
      </c>
    </row>
    <row r="75" spans="1:10" x14ac:dyDescent="0.25">
      <c r="A75" t="s">
        <v>10</v>
      </c>
      <c r="B75" t="s">
        <v>28</v>
      </c>
      <c r="C75" t="s">
        <v>58</v>
      </c>
      <c r="D75" t="s">
        <v>40</v>
      </c>
      <c r="E75" t="s">
        <v>27</v>
      </c>
      <c r="F75" t="s">
        <v>15</v>
      </c>
      <c r="G75">
        <v>6</v>
      </c>
      <c r="H75">
        <v>6</v>
      </c>
      <c r="I75">
        <v>0</v>
      </c>
      <c r="J75">
        <v>1.6</v>
      </c>
    </row>
    <row r="76" spans="1:10" x14ac:dyDescent="0.25">
      <c r="A76" t="s">
        <v>61</v>
      </c>
      <c r="B76" t="s">
        <v>16</v>
      </c>
      <c r="C76" t="s">
        <v>17</v>
      </c>
      <c r="D76" t="s">
        <v>22</v>
      </c>
      <c r="E76" t="s">
        <v>30</v>
      </c>
      <c r="F76" t="s">
        <v>15</v>
      </c>
      <c r="G76">
        <v>3</v>
      </c>
      <c r="H76">
        <v>2</v>
      </c>
      <c r="I76">
        <v>0</v>
      </c>
      <c r="J76">
        <v>0.5</v>
      </c>
    </row>
    <row r="77" spans="1:10" x14ac:dyDescent="0.25">
      <c r="A77" t="s">
        <v>45</v>
      </c>
      <c r="B77" t="s">
        <v>48</v>
      </c>
      <c r="C77" t="s">
        <v>49</v>
      </c>
      <c r="D77" t="s">
        <v>26</v>
      </c>
      <c r="E77" t="s">
        <v>18</v>
      </c>
      <c r="F77" t="s">
        <v>15</v>
      </c>
      <c r="G77">
        <v>7</v>
      </c>
      <c r="H77">
        <v>6</v>
      </c>
      <c r="I77">
        <v>1</v>
      </c>
      <c r="J77">
        <v>3.7</v>
      </c>
    </row>
    <row r="78" spans="1:10" x14ac:dyDescent="0.25">
      <c r="A78" t="s">
        <v>23</v>
      </c>
      <c r="B78" t="s">
        <v>28</v>
      </c>
      <c r="C78" t="s">
        <v>29</v>
      </c>
      <c r="D78" t="s">
        <v>32</v>
      </c>
      <c r="E78" t="s">
        <v>22</v>
      </c>
      <c r="F78" t="s">
        <v>19</v>
      </c>
      <c r="G78">
        <v>5</v>
      </c>
      <c r="H78">
        <v>5</v>
      </c>
      <c r="I78">
        <v>0</v>
      </c>
      <c r="J78">
        <v>2.5</v>
      </c>
    </row>
    <row r="79" spans="1:10" x14ac:dyDescent="0.25">
      <c r="A79" t="s">
        <v>45</v>
      </c>
      <c r="B79" t="s">
        <v>28</v>
      </c>
      <c r="C79" t="s">
        <v>58</v>
      </c>
      <c r="D79" t="s">
        <v>40</v>
      </c>
      <c r="E79" t="s">
        <v>22</v>
      </c>
      <c r="F79" t="s">
        <v>19</v>
      </c>
      <c r="G79">
        <v>5</v>
      </c>
      <c r="H79">
        <v>5</v>
      </c>
      <c r="I79">
        <v>0</v>
      </c>
      <c r="J79">
        <v>2.7</v>
      </c>
    </row>
    <row r="80" spans="1:10" x14ac:dyDescent="0.25">
      <c r="A80" t="s">
        <v>45</v>
      </c>
      <c r="B80" t="s">
        <v>56</v>
      </c>
      <c r="C80" t="s">
        <v>62</v>
      </c>
      <c r="D80" t="s">
        <v>13</v>
      </c>
      <c r="E80" t="s">
        <v>14</v>
      </c>
      <c r="F80" t="s">
        <v>15</v>
      </c>
      <c r="G80">
        <v>3</v>
      </c>
      <c r="H80">
        <v>2</v>
      </c>
      <c r="I80">
        <v>0</v>
      </c>
      <c r="J80">
        <v>4.0999999999999996</v>
      </c>
    </row>
    <row r="81" spans="1:10" x14ac:dyDescent="0.25">
      <c r="A81" t="s">
        <v>20</v>
      </c>
      <c r="B81" t="s">
        <v>56</v>
      </c>
      <c r="C81" t="s">
        <v>57</v>
      </c>
      <c r="D81" t="s">
        <v>32</v>
      </c>
      <c r="E81" t="s">
        <v>22</v>
      </c>
      <c r="F81" t="s">
        <v>15</v>
      </c>
      <c r="G81">
        <v>7</v>
      </c>
      <c r="H81">
        <v>6</v>
      </c>
      <c r="I81">
        <v>1</v>
      </c>
      <c r="J81">
        <v>3.8</v>
      </c>
    </row>
    <row r="82" spans="1:10" x14ac:dyDescent="0.25">
      <c r="A82" t="s">
        <v>59</v>
      </c>
      <c r="B82" t="s">
        <v>48</v>
      </c>
      <c r="C82" t="s">
        <v>63</v>
      </c>
      <c r="D82" t="s">
        <v>40</v>
      </c>
      <c r="E82" t="s">
        <v>27</v>
      </c>
      <c r="F82" t="s">
        <v>19</v>
      </c>
      <c r="G82">
        <v>3</v>
      </c>
      <c r="H82">
        <v>2</v>
      </c>
      <c r="I82">
        <v>0</v>
      </c>
      <c r="J82">
        <v>2.4</v>
      </c>
    </row>
    <row r="83" spans="1:10" x14ac:dyDescent="0.25">
      <c r="A83" t="s">
        <v>20</v>
      </c>
      <c r="B83" t="s">
        <v>56</v>
      </c>
      <c r="C83" t="s">
        <v>57</v>
      </c>
      <c r="D83" t="s">
        <v>32</v>
      </c>
      <c r="E83" t="s">
        <v>22</v>
      </c>
      <c r="F83" t="s">
        <v>19</v>
      </c>
      <c r="G83">
        <v>5</v>
      </c>
      <c r="H83">
        <v>4</v>
      </c>
      <c r="I83">
        <v>0</v>
      </c>
      <c r="J83">
        <v>3.6</v>
      </c>
    </row>
    <row r="84" spans="1:10" x14ac:dyDescent="0.25">
      <c r="A84" t="s">
        <v>10</v>
      </c>
      <c r="B84" t="s">
        <v>56</v>
      </c>
      <c r="C84" t="s">
        <v>62</v>
      </c>
      <c r="D84" t="s">
        <v>22</v>
      </c>
      <c r="E84" t="s">
        <v>14</v>
      </c>
      <c r="F84" t="s">
        <v>19</v>
      </c>
      <c r="G84">
        <v>7</v>
      </c>
      <c r="H84">
        <v>5</v>
      </c>
      <c r="I84">
        <v>0</v>
      </c>
      <c r="J84">
        <v>3.9</v>
      </c>
    </row>
    <row r="85" spans="1:10" x14ac:dyDescent="0.25">
      <c r="A85" t="s">
        <v>55</v>
      </c>
      <c r="B85" t="s">
        <v>37</v>
      </c>
      <c r="C85" t="s">
        <v>39</v>
      </c>
      <c r="D85" t="s">
        <v>40</v>
      </c>
      <c r="E85" t="s">
        <v>18</v>
      </c>
      <c r="F85" t="s">
        <v>15</v>
      </c>
      <c r="G85">
        <v>5</v>
      </c>
      <c r="H85">
        <v>4</v>
      </c>
      <c r="I85">
        <v>0</v>
      </c>
      <c r="J85">
        <v>3.1</v>
      </c>
    </row>
    <row r="86" spans="1:10" x14ac:dyDescent="0.25">
      <c r="A86" t="s">
        <v>45</v>
      </c>
      <c r="B86" t="s">
        <v>41</v>
      </c>
      <c r="C86" t="s">
        <v>44</v>
      </c>
      <c r="D86" t="s">
        <v>40</v>
      </c>
      <c r="E86" t="s">
        <v>53</v>
      </c>
      <c r="F86" t="s">
        <v>15</v>
      </c>
      <c r="G86">
        <v>5</v>
      </c>
      <c r="H86">
        <v>4</v>
      </c>
      <c r="I86">
        <v>0</v>
      </c>
      <c r="J86">
        <v>4.5</v>
      </c>
    </row>
    <row r="87" spans="1:10" x14ac:dyDescent="0.25">
      <c r="A87" t="s">
        <v>45</v>
      </c>
      <c r="B87" t="s">
        <v>28</v>
      </c>
      <c r="C87" t="s">
        <v>29</v>
      </c>
      <c r="D87" t="s">
        <v>13</v>
      </c>
      <c r="E87" t="s">
        <v>18</v>
      </c>
      <c r="F87" t="s">
        <v>19</v>
      </c>
      <c r="G87">
        <v>5</v>
      </c>
      <c r="H87">
        <v>5</v>
      </c>
      <c r="I87">
        <v>1</v>
      </c>
      <c r="J87">
        <v>3.4</v>
      </c>
    </row>
    <row r="88" spans="1:10" x14ac:dyDescent="0.25">
      <c r="A88" t="s">
        <v>23</v>
      </c>
      <c r="B88" t="s">
        <v>37</v>
      </c>
      <c r="C88" t="s">
        <v>39</v>
      </c>
      <c r="D88" t="s">
        <v>32</v>
      </c>
      <c r="E88" t="s">
        <v>22</v>
      </c>
      <c r="F88" t="s">
        <v>19</v>
      </c>
      <c r="G88">
        <v>6</v>
      </c>
      <c r="H88">
        <v>6</v>
      </c>
      <c r="I88">
        <v>0</v>
      </c>
      <c r="J88">
        <v>1.2</v>
      </c>
    </row>
    <row r="89" spans="1:10" x14ac:dyDescent="0.25">
      <c r="A89" t="s">
        <v>45</v>
      </c>
      <c r="B89" t="s">
        <v>16</v>
      </c>
      <c r="C89" t="s">
        <v>17</v>
      </c>
      <c r="D89" t="s">
        <v>32</v>
      </c>
      <c r="E89" t="s">
        <v>22</v>
      </c>
      <c r="F89" t="s">
        <v>19</v>
      </c>
      <c r="G89">
        <v>6</v>
      </c>
      <c r="H89">
        <v>5</v>
      </c>
      <c r="I89">
        <v>1</v>
      </c>
      <c r="J89">
        <v>4.5</v>
      </c>
    </row>
    <row r="90" spans="1:10" x14ac:dyDescent="0.25">
      <c r="A90" t="s">
        <v>59</v>
      </c>
      <c r="B90" t="s">
        <v>28</v>
      </c>
      <c r="C90" t="s">
        <v>29</v>
      </c>
      <c r="D90" t="s">
        <v>13</v>
      </c>
      <c r="E90" t="s">
        <v>30</v>
      </c>
      <c r="F90" t="s">
        <v>15</v>
      </c>
      <c r="G90">
        <v>7</v>
      </c>
      <c r="H90">
        <v>6</v>
      </c>
      <c r="I90">
        <v>1</v>
      </c>
      <c r="J90">
        <v>2.9</v>
      </c>
    </row>
    <row r="91" spans="1:10" x14ac:dyDescent="0.25">
      <c r="A91" t="s">
        <v>10</v>
      </c>
      <c r="B91" t="s">
        <v>41</v>
      </c>
      <c r="C91" t="s">
        <v>44</v>
      </c>
      <c r="D91" t="s">
        <v>22</v>
      </c>
      <c r="E91" t="s">
        <v>18</v>
      </c>
      <c r="F91" t="s">
        <v>19</v>
      </c>
      <c r="G91">
        <v>6</v>
      </c>
      <c r="H91">
        <v>5</v>
      </c>
      <c r="I91">
        <v>0</v>
      </c>
      <c r="J91">
        <v>3.8</v>
      </c>
    </row>
    <row r="92" spans="1:10" x14ac:dyDescent="0.25">
      <c r="A92" t="s">
        <v>23</v>
      </c>
      <c r="B92" t="s">
        <v>34</v>
      </c>
      <c r="C92" t="s">
        <v>51</v>
      </c>
      <c r="D92" t="s">
        <v>21</v>
      </c>
      <c r="E92" t="s">
        <v>27</v>
      </c>
      <c r="F92" t="s">
        <v>15</v>
      </c>
      <c r="G92">
        <v>3</v>
      </c>
      <c r="H92">
        <v>3</v>
      </c>
      <c r="I92">
        <v>0</v>
      </c>
      <c r="J92">
        <v>3.8</v>
      </c>
    </row>
    <row r="93" spans="1:10" x14ac:dyDescent="0.25">
      <c r="A93" t="s">
        <v>33</v>
      </c>
      <c r="B93" t="s">
        <v>11</v>
      </c>
      <c r="C93" t="s">
        <v>12</v>
      </c>
      <c r="D93" t="s">
        <v>22</v>
      </c>
      <c r="E93" t="s">
        <v>18</v>
      </c>
      <c r="F93" t="s">
        <v>15</v>
      </c>
      <c r="G93">
        <v>5</v>
      </c>
      <c r="H93">
        <v>5</v>
      </c>
      <c r="I93">
        <v>0</v>
      </c>
      <c r="J93">
        <v>3.1</v>
      </c>
    </row>
    <row r="94" spans="1:10" x14ac:dyDescent="0.25">
      <c r="A94" t="s">
        <v>23</v>
      </c>
      <c r="B94" t="s">
        <v>11</v>
      </c>
      <c r="C94" t="s">
        <v>52</v>
      </c>
      <c r="D94" t="s">
        <v>13</v>
      </c>
      <c r="E94" t="s">
        <v>53</v>
      </c>
      <c r="F94" t="s">
        <v>15</v>
      </c>
      <c r="G94">
        <v>6</v>
      </c>
      <c r="H94">
        <v>5</v>
      </c>
      <c r="I94">
        <v>0</v>
      </c>
      <c r="J94">
        <v>2.2000000000000002</v>
      </c>
    </row>
    <row r="95" spans="1:10" x14ac:dyDescent="0.25">
      <c r="A95" t="s">
        <v>55</v>
      </c>
      <c r="B95" t="s">
        <v>16</v>
      </c>
      <c r="C95" t="s">
        <v>60</v>
      </c>
      <c r="D95" t="s">
        <v>22</v>
      </c>
      <c r="E95" t="s">
        <v>14</v>
      </c>
      <c r="F95" t="s">
        <v>15</v>
      </c>
      <c r="G95">
        <v>5</v>
      </c>
      <c r="H95">
        <v>4</v>
      </c>
      <c r="I95">
        <v>0</v>
      </c>
      <c r="J95">
        <v>2.8</v>
      </c>
    </row>
    <row r="96" spans="1:10" x14ac:dyDescent="0.25">
      <c r="A96" t="s">
        <v>31</v>
      </c>
      <c r="B96" t="s">
        <v>11</v>
      </c>
      <c r="C96" t="s">
        <v>52</v>
      </c>
      <c r="D96" t="s">
        <v>13</v>
      </c>
      <c r="E96" t="s">
        <v>14</v>
      </c>
      <c r="F96" t="s">
        <v>19</v>
      </c>
      <c r="G96">
        <v>2</v>
      </c>
      <c r="H96">
        <v>2</v>
      </c>
      <c r="I96">
        <v>0</v>
      </c>
      <c r="J96">
        <v>2.7</v>
      </c>
    </row>
    <row r="97" spans="1:10" x14ac:dyDescent="0.25">
      <c r="A97" t="s">
        <v>36</v>
      </c>
      <c r="B97" t="s">
        <v>34</v>
      </c>
      <c r="C97" t="s">
        <v>51</v>
      </c>
      <c r="D97" t="s">
        <v>13</v>
      </c>
      <c r="E97" t="s">
        <v>30</v>
      </c>
      <c r="F97" t="s">
        <v>15</v>
      </c>
      <c r="G97">
        <v>5</v>
      </c>
      <c r="H97">
        <v>4</v>
      </c>
      <c r="I97">
        <v>1</v>
      </c>
      <c r="J97">
        <v>4.5</v>
      </c>
    </row>
    <row r="98" spans="1:10" x14ac:dyDescent="0.25">
      <c r="A98" t="s">
        <v>59</v>
      </c>
      <c r="B98" t="s">
        <v>48</v>
      </c>
      <c r="C98" t="s">
        <v>49</v>
      </c>
      <c r="D98" t="s">
        <v>13</v>
      </c>
      <c r="E98" t="s">
        <v>18</v>
      </c>
      <c r="F98" t="s">
        <v>19</v>
      </c>
      <c r="G98">
        <v>4</v>
      </c>
      <c r="H98">
        <v>4</v>
      </c>
      <c r="I98">
        <v>0</v>
      </c>
      <c r="J98">
        <v>2.9</v>
      </c>
    </row>
    <row r="99" spans="1:10" x14ac:dyDescent="0.25">
      <c r="A99" t="s">
        <v>61</v>
      </c>
      <c r="B99" t="s">
        <v>41</v>
      </c>
      <c r="C99" t="s">
        <v>42</v>
      </c>
      <c r="D99" t="s">
        <v>13</v>
      </c>
      <c r="E99" t="s">
        <v>53</v>
      </c>
      <c r="F99" t="s">
        <v>15</v>
      </c>
      <c r="G99">
        <v>3</v>
      </c>
      <c r="H99">
        <v>3</v>
      </c>
      <c r="I99">
        <v>0</v>
      </c>
      <c r="J99">
        <v>3</v>
      </c>
    </row>
    <row r="100" spans="1:10" x14ac:dyDescent="0.25">
      <c r="A100" t="s">
        <v>55</v>
      </c>
      <c r="B100" t="s">
        <v>37</v>
      </c>
      <c r="C100" t="s">
        <v>39</v>
      </c>
      <c r="D100" t="s">
        <v>13</v>
      </c>
      <c r="E100" t="s">
        <v>30</v>
      </c>
      <c r="F100" t="s">
        <v>15</v>
      </c>
      <c r="G100">
        <v>3</v>
      </c>
      <c r="H100">
        <v>3</v>
      </c>
      <c r="I100">
        <v>0</v>
      </c>
      <c r="J100">
        <v>3.2</v>
      </c>
    </row>
    <row r="101" spans="1:10" x14ac:dyDescent="0.25">
      <c r="A101" t="s">
        <v>31</v>
      </c>
      <c r="B101" t="s">
        <v>16</v>
      </c>
      <c r="C101" t="s">
        <v>17</v>
      </c>
      <c r="D101" t="s">
        <v>21</v>
      </c>
      <c r="E101" t="s">
        <v>18</v>
      </c>
      <c r="F101" t="s">
        <v>19</v>
      </c>
      <c r="G101">
        <v>5</v>
      </c>
      <c r="H101">
        <v>5</v>
      </c>
      <c r="I101">
        <v>0</v>
      </c>
      <c r="J101">
        <v>3.3</v>
      </c>
    </row>
    <row r="102" spans="1:10" x14ac:dyDescent="0.25">
      <c r="A102" t="s">
        <v>50</v>
      </c>
      <c r="B102" t="s">
        <v>34</v>
      </c>
      <c r="C102" t="s">
        <v>51</v>
      </c>
      <c r="D102" t="s">
        <v>22</v>
      </c>
      <c r="E102" t="s">
        <v>53</v>
      </c>
      <c r="F102" t="s">
        <v>15</v>
      </c>
      <c r="G102">
        <v>1</v>
      </c>
      <c r="H102">
        <v>1</v>
      </c>
      <c r="I102">
        <v>0</v>
      </c>
      <c r="J102">
        <v>1.8</v>
      </c>
    </row>
    <row r="103" spans="1:10" x14ac:dyDescent="0.25">
      <c r="A103" t="s">
        <v>59</v>
      </c>
      <c r="B103" t="s">
        <v>46</v>
      </c>
      <c r="C103" t="s">
        <v>54</v>
      </c>
      <c r="D103" t="s">
        <v>21</v>
      </c>
      <c r="E103" t="s">
        <v>14</v>
      </c>
      <c r="F103" t="s">
        <v>19</v>
      </c>
      <c r="G103">
        <v>6</v>
      </c>
      <c r="H103">
        <v>6</v>
      </c>
      <c r="I103">
        <v>1</v>
      </c>
      <c r="J103">
        <v>2.2000000000000002</v>
      </c>
    </row>
    <row r="104" spans="1:10" x14ac:dyDescent="0.25">
      <c r="A104" t="s">
        <v>43</v>
      </c>
      <c r="B104" t="s">
        <v>37</v>
      </c>
      <c r="C104" t="s">
        <v>38</v>
      </c>
      <c r="D104" t="s">
        <v>32</v>
      </c>
      <c r="E104" t="s">
        <v>18</v>
      </c>
      <c r="F104" t="s">
        <v>19</v>
      </c>
      <c r="G104">
        <v>7</v>
      </c>
      <c r="H104">
        <v>7</v>
      </c>
      <c r="I104">
        <v>0</v>
      </c>
      <c r="J104">
        <v>1.7</v>
      </c>
    </row>
    <row r="105" spans="1:10" x14ac:dyDescent="0.25">
      <c r="A105" t="s">
        <v>61</v>
      </c>
      <c r="B105" t="s">
        <v>56</v>
      </c>
      <c r="C105" t="s">
        <v>57</v>
      </c>
      <c r="D105" t="s">
        <v>21</v>
      </c>
      <c r="E105" t="s">
        <v>27</v>
      </c>
      <c r="F105" t="s">
        <v>19</v>
      </c>
      <c r="G105">
        <v>5</v>
      </c>
      <c r="H105">
        <v>5</v>
      </c>
      <c r="I105">
        <v>1</v>
      </c>
      <c r="J105">
        <v>3.7</v>
      </c>
    </row>
    <row r="106" spans="1:10" x14ac:dyDescent="0.25">
      <c r="A106" t="s">
        <v>23</v>
      </c>
      <c r="B106" t="s">
        <v>24</v>
      </c>
      <c r="C106" t="s">
        <v>25</v>
      </c>
      <c r="D106" t="s">
        <v>26</v>
      </c>
      <c r="E106" t="s">
        <v>18</v>
      </c>
      <c r="F106" t="s">
        <v>15</v>
      </c>
      <c r="G106">
        <v>4</v>
      </c>
      <c r="H106">
        <v>3</v>
      </c>
      <c r="I106">
        <v>0</v>
      </c>
      <c r="J106">
        <v>4.5999999999999996</v>
      </c>
    </row>
    <row r="107" spans="1:10" x14ac:dyDescent="0.25">
      <c r="A107" t="s">
        <v>36</v>
      </c>
      <c r="B107" t="s">
        <v>37</v>
      </c>
      <c r="C107" t="s">
        <v>39</v>
      </c>
      <c r="D107" t="s">
        <v>32</v>
      </c>
      <c r="E107" t="s">
        <v>53</v>
      </c>
      <c r="F107" t="s">
        <v>19</v>
      </c>
      <c r="G107">
        <v>6</v>
      </c>
      <c r="H107">
        <v>6</v>
      </c>
      <c r="I107">
        <v>1</v>
      </c>
      <c r="J107">
        <v>4.5999999999999996</v>
      </c>
    </row>
    <row r="108" spans="1:10" x14ac:dyDescent="0.25">
      <c r="A108" t="s">
        <v>20</v>
      </c>
      <c r="B108" t="s">
        <v>37</v>
      </c>
      <c r="C108" t="s">
        <v>38</v>
      </c>
      <c r="D108" t="s">
        <v>26</v>
      </c>
      <c r="E108" t="s">
        <v>14</v>
      </c>
      <c r="F108" t="s">
        <v>19</v>
      </c>
      <c r="G108">
        <v>3</v>
      </c>
      <c r="H108">
        <v>3</v>
      </c>
      <c r="I108">
        <v>0</v>
      </c>
      <c r="J108">
        <v>2</v>
      </c>
    </row>
    <row r="109" spans="1:10" x14ac:dyDescent="0.25">
      <c r="A109" t="s">
        <v>23</v>
      </c>
      <c r="B109" t="s">
        <v>56</v>
      </c>
      <c r="C109" t="s">
        <v>62</v>
      </c>
      <c r="D109" t="s">
        <v>21</v>
      </c>
      <c r="E109" t="s">
        <v>27</v>
      </c>
      <c r="F109" t="s">
        <v>15</v>
      </c>
      <c r="G109">
        <v>6</v>
      </c>
      <c r="H109">
        <v>6</v>
      </c>
      <c r="I109">
        <v>0</v>
      </c>
      <c r="J109">
        <v>4.0999999999999996</v>
      </c>
    </row>
    <row r="110" spans="1:10" x14ac:dyDescent="0.25">
      <c r="A110" t="s">
        <v>61</v>
      </c>
      <c r="B110" t="s">
        <v>56</v>
      </c>
      <c r="C110" t="s">
        <v>57</v>
      </c>
      <c r="D110" t="s">
        <v>13</v>
      </c>
      <c r="E110" t="s">
        <v>27</v>
      </c>
      <c r="F110" t="s">
        <v>15</v>
      </c>
      <c r="G110">
        <v>3</v>
      </c>
      <c r="H110">
        <v>2</v>
      </c>
      <c r="I110">
        <v>0</v>
      </c>
      <c r="J110">
        <v>3.2</v>
      </c>
    </row>
    <row r="111" spans="1:10" x14ac:dyDescent="0.25">
      <c r="A111" t="s">
        <v>10</v>
      </c>
      <c r="B111" t="s">
        <v>28</v>
      </c>
      <c r="C111" t="s">
        <v>58</v>
      </c>
      <c r="D111" t="s">
        <v>13</v>
      </c>
      <c r="E111" t="s">
        <v>22</v>
      </c>
      <c r="F111" t="s">
        <v>19</v>
      </c>
      <c r="G111">
        <v>7</v>
      </c>
      <c r="H111">
        <v>6</v>
      </c>
      <c r="I111">
        <v>0</v>
      </c>
      <c r="J111">
        <v>2.7</v>
      </c>
    </row>
    <row r="112" spans="1:10" x14ac:dyDescent="0.25">
      <c r="A112" t="s">
        <v>61</v>
      </c>
      <c r="B112" t="s">
        <v>28</v>
      </c>
      <c r="C112" t="s">
        <v>29</v>
      </c>
      <c r="D112" t="s">
        <v>13</v>
      </c>
      <c r="E112" t="s">
        <v>14</v>
      </c>
      <c r="F112" t="s">
        <v>15</v>
      </c>
      <c r="G112">
        <v>4</v>
      </c>
      <c r="H112">
        <v>4</v>
      </c>
      <c r="I112">
        <v>0</v>
      </c>
      <c r="J112">
        <v>3.4</v>
      </c>
    </row>
    <row r="113" spans="1:10" x14ac:dyDescent="0.25">
      <c r="A113" t="s">
        <v>55</v>
      </c>
      <c r="B113" t="s">
        <v>37</v>
      </c>
      <c r="C113" t="s">
        <v>39</v>
      </c>
      <c r="D113" t="s">
        <v>22</v>
      </c>
      <c r="E113" t="s">
        <v>14</v>
      </c>
      <c r="F113" t="s">
        <v>15</v>
      </c>
      <c r="G113">
        <v>9</v>
      </c>
      <c r="H113">
        <v>8</v>
      </c>
      <c r="I113">
        <v>1</v>
      </c>
      <c r="J113">
        <v>3.6</v>
      </c>
    </row>
    <row r="114" spans="1:10" x14ac:dyDescent="0.25">
      <c r="A114" t="s">
        <v>43</v>
      </c>
      <c r="B114" t="s">
        <v>37</v>
      </c>
      <c r="C114" t="s">
        <v>38</v>
      </c>
      <c r="D114" t="s">
        <v>22</v>
      </c>
      <c r="E114" t="s">
        <v>18</v>
      </c>
      <c r="F114" t="s">
        <v>15</v>
      </c>
      <c r="G114">
        <v>3</v>
      </c>
      <c r="H114">
        <v>3</v>
      </c>
      <c r="I114">
        <v>0</v>
      </c>
      <c r="J114">
        <v>3</v>
      </c>
    </row>
    <row r="115" spans="1:10" x14ac:dyDescent="0.25">
      <c r="A115" t="s">
        <v>50</v>
      </c>
      <c r="B115" t="s">
        <v>37</v>
      </c>
      <c r="C115" t="s">
        <v>38</v>
      </c>
      <c r="D115" t="s">
        <v>26</v>
      </c>
      <c r="E115" t="s">
        <v>22</v>
      </c>
      <c r="F115" t="s">
        <v>15</v>
      </c>
      <c r="G115">
        <v>5</v>
      </c>
      <c r="H115">
        <v>5</v>
      </c>
      <c r="I115">
        <v>0</v>
      </c>
      <c r="J115">
        <v>3.7</v>
      </c>
    </row>
    <row r="116" spans="1:10" x14ac:dyDescent="0.25">
      <c r="A116" t="s">
        <v>36</v>
      </c>
      <c r="B116" t="s">
        <v>56</v>
      </c>
      <c r="C116" t="s">
        <v>57</v>
      </c>
      <c r="D116" t="s">
        <v>26</v>
      </c>
      <c r="E116" t="s">
        <v>14</v>
      </c>
      <c r="F116" t="s">
        <v>15</v>
      </c>
      <c r="G116">
        <v>4</v>
      </c>
      <c r="H116">
        <v>4</v>
      </c>
      <c r="I116">
        <v>0</v>
      </c>
      <c r="J116">
        <v>2.2999999999999998</v>
      </c>
    </row>
    <row r="117" spans="1:10" x14ac:dyDescent="0.25">
      <c r="A117" t="s">
        <v>10</v>
      </c>
      <c r="B117" t="s">
        <v>56</v>
      </c>
      <c r="C117" t="s">
        <v>62</v>
      </c>
      <c r="D117" t="s">
        <v>22</v>
      </c>
      <c r="E117" t="s">
        <v>53</v>
      </c>
      <c r="F117" t="s">
        <v>19</v>
      </c>
      <c r="G117">
        <v>4</v>
      </c>
      <c r="H117">
        <v>3</v>
      </c>
      <c r="I117">
        <v>0</v>
      </c>
      <c r="J117">
        <v>4</v>
      </c>
    </row>
    <row r="118" spans="1:10" x14ac:dyDescent="0.25">
      <c r="A118" t="s">
        <v>55</v>
      </c>
      <c r="B118" t="s">
        <v>11</v>
      </c>
      <c r="C118" t="s">
        <v>52</v>
      </c>
      <c r="D118" t="s">
        <v>40</v>
      </c>
      <c r="E118" t="s">
        <v>14</v>
      </c>
      <c r="F118" t="s">
        <v>15</v>
      </c>
      <c r="G118">
        <v>13</v>
      </c>
      <c r="H118">
        <v>12</v>
      </c>
      <c r="I118">
        <v>1</v>
      </c>
      <c r="J118">
        <v>2.6</v>
      </c>
    </row>
    <row r="119" spans="1:10" x14ac:dyDescent="0.25">
      <c r="A119" t="s">
        <v>50</v>
      </c>
      <c r="B119" t="s">
        <v>56</v>
      </c>
      <c r="C119" t="s">
        <v>57</v>
      </c>
      <c r="D119" t="s">
        <v>40</v>
      </c>
      <c r="E119" t="s">
        <v>22</v>
      </c>
      <c r="F119" t="s">
        <v>19</v>
      </c>
      <c r="G119">
        <v>4</v>
      </c>
      <c r="H119">
        <v>4</v>
      </c>
      <c r="I119">
        <v>2</v>
      </c>
      <c r="J119">
        <v>2.7</v>
      </c>
    </row>
    <row r="120" spans="1:10" x14ac:dyDescent="0.25">
      <c r="A120" t="s">
        <v>20</v>
      </c>
      <c r="B120" t="s">
        <v>48</v>
      </c>
      <c r="C120" t="s">
        <v>49</v>
      </c>
      <c r="D120" t="s">
        <v>32</v>
      </c>
      <c r="E120" t="s">
        <v>14</v>
      </c>
      <c r="F120" t="s">
        <v>15</v>
      </c>
      <c r="G120">
        <v>6</v>
      </c>
      <c r="H120">
        <v>6</v>
      </c>
      <c r="I120">
        <v>1</v>
      </c>
      <c r="J120">
        <v>3</v>
      </c>
    </row>
    <row r="121" spans="1:10" x14ac:dyDescent="0.25">
      <c r="A121" t="s">
        <v>23</v>
      </c>
      <c r="B121" t="s">
        <v>11</v>
      </c>
      <c r="C121" t="s">
        <v>12</v>
      </c>
      <c r="D121" t="s">
        <v>32</v>
      </c>
      <c r="E121" t="s">
        <v>53</v>
      </c>
      <c r="F121" t="s">
        <v>19</v>
      </c>
      <c r="G121">
        <v>7</v>
      </c>
      <c r="H121">
        <v>7</v>
      </c>
      <c r="I121">
        <v>0</v>
      </c>
      <c r="J121">
        <v>3.7</v>
      </c>
    </row>
    <row r="122" spans="1:10" x14ac:dyDescent="0.25">
      <c r="A122" t="s">
        <v>10</v>
      </c>
      <c r="B122" t="s">
        <v>37</v>
      </c>
      <c r="C122" t="s">
        <v>38</v>
      </c>
      <c r="D122" t="s">
        <v>26</v>
      </c>
      <c r="E122" t="s">
        <v>18</v>
      </c>
      <c r="F122" t="s">
        <v>15</v>
      </c>
      <c r="G122">
        <v>4</v>
      </c>
      <c r="H122">
        <v>2</v>
      </c>
      <c r="I122">
        <v>1</v>
      </c>
      <c r="J122">
        <v>2.6</v>
      </c>
    </row>
    <row r="123" spans="1:10" x14ac:dyDescent="0.25">
      <c r="A123" t="s">
        <v>55</v>
      </c>
      <c r="B123" t="s">
        <v>48</v>
      </c>
      <c r="C123" t="s">
        <v>49</v>
      </c>
      <c r="D123" t="s">
        <v>40</v>
      </c>
      <c r="E123" t="s">
        <v>30</v>
      </c>
      <c r="F123" t="s">
        <v>15</v>
      </c>
      <c r="G123">
        <v>5</v>
      </c>
      <c r="H123">
        <v>5</v>
      </c>
      <c r="I123">
        <v>0</v>
      </c>
      <c r="J123">
        <v>1.8</v>
      </c>
    </row>
    <row r="124" spans="1:10" x14ac:dyDescent="0.25">
      <c r="A124" t="s">
        <v>50</v>
      </c>
      <c r="B124" t="s">
        <v>48</v>
      </c>
      <c r="C124" t="s">
        <v>49</v>
      </c>
      <c r="D124" t="s">
        <v>26</v>
      </c>
      <c r="E124" t="s">
        <v>27</v>
      </c>
      <c r="F124" t="s">
        <v>19</v>
      </c>
      <c r="G124">
        <v>4</v>
      </c>
      <c r="H124">
        <v>3</v>
      </c>
      <c r="I124">
        <v>1</v>
      </c>
      <c r="J124">
        <v>3.3</v>
      </c>
    </row>
    <row r="125" spans="1:10" x14ac:dyDescent="0.25">
      <c r="A125" t="s">
        <v>61</v>
      </c>
      <c r="B125" t="s">
        <v>41</v>
      </c>
      <c r="C125" t="s">
        <v>44</v>
      </c>
      <c r="D125" t="s">
        <v>21</v>
      </c>
      <c r="E125" t="s">
        <v>30</v>
      </c>
      <c r="F125" t="s">
        <v>19</v>
      </c>
      <c r="G125">
        <v>4</v>
      </c>
      <c r="H125">
        <v>4</v>
      </c>
      <c r="I125">
        <v>0</v>
      </c>
      <c r="J125">
        <v>3.3</v>
      </c>
    </row>
    <row r="126" spans="1:10" x14ac:dyDescent="0.25">
      <c r="A126" t="s">
        <v>45</v>
      </c>
      <c r="B126" t="s">
        <v>41</v>
      </c>
      <c r="C126" t="s">
        <v>42</v>
      </c>
      <c r="D126" t="s">
        <v>32</v>
      </c>
      <c r="E126" t="s">
        <v>22</v>
      </c>
      <c r="F126" t="s">
        <v>15</v>
      </c>
      <c r="G126">
        <v>3</v>
      </c>
      <c r="H126">
        <v>3</v>
      </c>
      <c r="I126">
        <v>0</v>
      </c>
      <c r="J126">
        <v>-0.5</v>
      </c>
    </row>
    <row r="127" spans="1:10" x14ac:dyDescent="0.25">
      <c r="A127" t="s">
        <v>55</v>
      </c>
      <c r="B127" t="s">
        <v>28</v>
      </c>
      <c r="C127" t="s">
        <v>58</v>
      </c>
      <c r="D127" t="s">
        <v>13</v>
      </c>
      <c r="E127" t="s">
        <v>22</v>
      </c>
      <c r="F127" t="s">
        <v>19</v>
      </c>
      <c r="G127">
        <v>10</v>
      </c>
      <c r="H127">
        <v>9</v>
      </c>
      <c r="I127">
        <v>1</v>
      </c>
      <c r="J127">
        <v>2.1</v>
      </c>
    </row>
    <row r="128" spans="1:10" x14ac:dyDescent="0.25">
      <c r="A128" t="s">
        <v>61</v>
      </c>
      <c r="B128" t="s">
        <v>34</v>
      </c>
      <c r="C128" t="s">
        <v>35</v>
      </c>
      <c r="D128" t="s">
        <v>40</v>
      </c>
      <c r="E128" t="s">
        <v>18</v>
      </c>
      <c r="F128" t="s">
        <v>15</v>
      </c>
      <c r="G128">
        <v>7</v>
      </c>
      <c r="H128">
        <v>6</v>
      </c>
      <c r="I128">
        <v>0</v>
      </c>
      <c r="J128">
        <v>4.2</v>
      </c>
    </row>
    <row r="129" spans="1:10" x14ac:dyDescent="0.25">
      <c r="A129" t="s">
        <v>36</v>
      </c>
      <c r="B129" t="s">
        <v>46</v>
      </c>
      <c r="C129" t="s">
        <v>47</v>
      </c>
      <c r="D129" t="s">
        <v>22</v>
      </c>
      <c r="E129" t="s">
        <v>14</v>
      </c>
      <c r="F129" t="s">
        <v>19</v>
      </c>
      <c r="G129">
        <v>4</v>
      </c>
      <c r="H129">
        <v>4</v>
      </c>
      <c r="I129">
        <v>0</v>
      </c>
      <c r="J129">
        <v>2.2000000000000002</v>
      </c>
    </row>
    <row r="130" spans="1:10" x14ac:dyDescent="0.25">
      <c r="A130" t="s">
        <v>33</v>
      </c>
      <c r="B130" t="s">
        <v>46</v>
      </c>
      <c r="C130" t="s">
        <v>47</v>
      </c>
      <c r="D130" t="s">
        <v>26</v>
      </c>
      <c r="E130" t="s">
        <v>53</v>
      </c>
      <c r="F130" t="s">
        <v>15</v>
      </c>
      <c r="G130">
        <v>6</v>
      </c>
      <c r="H130">
        <v>5</v>
      </c>
      <c r="I130">
        <v>0</v>
      </c>
      <c r="J130">
        <v>2.9</v>
      </c>
    </row>
    <row r="131" spans="1:10" x14ac:dyDescent="0.25">
      <c r="A131" t="s">
        <v>23</v>
      </c>
      <c r="B131" t="s">
        <v>16</v>
      </c>
      <c r="C131" t="s">
        <v>60</v>
      </c>
      <c r="D131" t="s">
        <v>40</v>
      </c>
      <c r="E131" t="s">
        <v>53</v>
      </c>
      <c r="F131" t="s">
        <v>19</v>
      </c>
      <c r="G131">
        <v>5</v>
      </c>
      <c r="H131">
        <v>5</v>
      </c>
      <c r="I131">
        <v>0</v>
      </c>
      <c r="J131">
        <v>3.3</v>
      </c>
    </row>
    <row r="132" spans="1:10" x14ac:dyDescent="0.25">
      <c r="A132" t="s">
        <v>43</v>
      </c>
      <c r="B132" t="s">
        <v>28</v>
      </c>
      <c r="C132" t="s">
        <v>29</v>
      </c>
      <c r="D132" t="s">
        <v>40</v>
      </c>
      <c r="E132" t="s">
        <v>22</v>
      </c>
      <c r="F132" t="s">
        <v>15</v>
      </c>
      <c r="G132">
        <v>4</v>
      </c>
      <c r="H132">
        <v>3</v>
      </c>
      <c r="I132">
        <v>1</v>
      </c>
      <c r="J132">
        <v>3.4</v>
      </c>
    </row>
    <row r="133" spans="1:10" x14ac:dyDescent="0.25">
      <c r="A133" t="s">
        <v>10</v>
      </c>
      <c r="B133" t="s">
        <v>11</v>
      </c>
      <c r="C133" t="s">
        <v>12</v>
      </c>
      <c r="D133" t="s">
        <v>26</v>
      </c>
      <c r="E133" t="s">
        <v>30</v>
      </c>
      <c r="F133" t="s">
        <v>19</v>
      </c>
      <c r="G133">
        <v>1</v>
      </c>
      <c r="H133">
        <v>1</v>
      </c>
      <c r="I133">
        <v>0</v>
      </c>
      <c r="J133">
        <v>2.5</v>
      </c>
    </row>
    <row r="134" spans="1:10" x14ac:dyDescent="0.25">
      <c r="A134" t="s">
        <v>45</v>
      </c>
      <c r="B134" t="s">
        <v>28</v>
      </c>
      <c r="C134" t="s">
        <v>58</v>
      </c>
      <c r="D134" t="s">
        <v>21</v>
      </c>
      <c r="E134" t="s">
        <v>14</v>
      </c>
      <c r="F134" t="s">
        <v>15</v>
      </c>
      <c r="G134">
        <v>7</v>
      </c>
      <c r="H134">
        <v>6</v>
      </c>
      <c r="I134">
        <v>0</v>
      </c>
      <c r="J134">
        <v>4.0999999999999996</v>
      </c>
    </row>
    <row r="135" spans="1:10" x14ac:dyDescent="0.25">
      <c r="A135" t="s">
        <v>23</v>
      </c>
      <c r="B135" t="s">
        <v>37</v>
      </c>
      <c r="C135" t="s">
        <v>38</v>
      </c>
      <c r="D135" t="s">
        <v>13</v>
      </c>
      <c r="E135" t="s">
        <v>30</v>
      </c>
      <c r="F135" t="s">
        <v>19</v>
      </c>
      <c r="G135">
        <v>5</v>
      </c>
      <c r="H135">
        <v>4</v>
      </c>
      <c r="I135">
        <v>0</v>
      </c>
      <c r="J135">
        <v>4.3</v>
      </c>
    </row>
    <row r="136" spans="1:10" x14ac:dyDescent="0.25">
      <c r="A136" t="s">
        <v>61</v>
      </c>
      <c r="B136" t="s">
        <v>34</v>
      </c>
      <c r="C136" t="s">
        <v>51</v>
      </c>
      <c r="D136" t="s">
        <v>13</v>
      </c>
      <c r="E136" t="s">
        <v>27</v>
      </c>
      <c r="F136" t="s">
        <v>19</v>
      </c>
      <c r="G136">
        <v>5</v>
      </c>
      <c r="H136">
        <v>5</v>
      </c>
      <c r="I136">
        <v>0</v>
      </c>
      <c r="J136">
        <v>4</v>
      </c>
    </row>
    <row r="137" spans="1:10" x14ac:dyDescent="0.25">
      <c r="A137" t="s">
        <v>59</v>
      </c>
      <c r="B137" t="s">
        <v>34</v>
      </c>
      <c r="C137" t="s">
        <v>35</v>
      </c>
      <c r="D137" t="s">
        <v>32</v>
      </c>
      <c r="E137" t="s">
        <v>27</v>
      </c>
      <c r="F137" t="s">
        <v>19</v>
      </c>
      <c r="G137">
        <v>9</v>
      </c>
      <c r="H137">
        <v>9</v>
      </c>
      <c r="I137">
        <v>1</v>
      </c>
      <c r="J137">
        <v>2.7</v>
      </c>
    </row>
    <row r="138" spans="1:10" x14ac:dyDescent="0.25">
      <c r="A138" t="s">
        <v>55</v>
      </c>
      <c r="B138" t="s">
        <v>37</v>
      </c>
      <c r="C138" t="s">
        <v>38</v>
      </c>
      <c r="D138" t="s">
        <v>26</v>
      </c>
      <c r="E138" t="s">
        <v>18</v>
      </c>
      <c r="F138" t="s">
        <v>19</v>
      </c>
      <c r="G138">
        <v>4</v>
      </c>
      <c r="H138">
        <v>3</v>
      </c>
      <c r="I138">
        <v>0</v>
      </c>
      <c r="J138">
        <v>3</v>
      </c>
    </row>
    <row r="139" spans="1:10" x14ac:dyDescent="0.25">
      <c r="A139" t="s">
        <v>55</v>
      </c>
      <c r="B139" t="s">
        <v>24</v>
      </c>
      <c r="C139" t="s">
        <v>25</v>
      </c>
      <c r="D139" t="s">
        <v>26</v>
      </c>
      <c r="E139" t="s">
        <v>53</v>
      </c>
      <c r="F139" t="s">
        <v>19</v>
      </c>
      <c r="G139">
        <v>4</v>
      </c>
      <c r="H139">
        <v>4</v>
      </c>
      <c r="I139">
        <v>0</v>
      </c>
      <c r="J139">
        <v>1.6</v>
      </c>
    </row>
    <row r="140" spans="1:10" x14ac:dyDescent="0.25">
      <c r="A140" t="s">
        <v>23</v>
      </c>
      <c r="B140" t="s">
        <v>28</v>
      </c>
      <c r="C140" t="s">
        <v>29</v>
      </c>
      <c r="D140" t="s">
        <v>22</v>
      </c>
      <c r="E140" t="s">
        <v>53</v>
      </c>
      <c r="F140" t="s">
        <v>15</v>
      </c>
      <c r="G140">
        <v>4</v>
      </c>
      <c r="H140">
        <v>3</v>
      </c>
      <c r="I140">
        <v>1</v>
      </c>
      <c r="J140">
        <v>2</v>
      </c>
    </row>
    <row r="141" spans="1:10" x14ac:dyDescent="0.25">
      <c r="A141" t="s">
        <v>33</v>
      </c>
      <c r="B141" t="s">
        <v>28</v>
      </c>
      <c r="C141" t="s">
        <v>58</v>
      </c>
      <c r="D141" t="s">
        <v>40</v>
      </c>
      <c r="E141" t="s">
        <v>27</v>
      </c>
      <c r="F141" t="s">
        <v>19</v>
      </c>
      <c r="G141">
        <v>6</v>
      </c>
      <c r="H141">
        <v>6</v>
      </c>
      <c r="I141">
        <v>0</v>
      </c>
      <c r="J141">
        <v>3</v>
      </c>
    </row>
    <row r="142" spans="1:10" x14ac:dyDescent="0.25">
      <c r="A142" t="s">
        <v>45</v>
      </c>
      <c r="B142" t="s">
        <v>28</v>
      </c>
      <c r="C142" t="s">
        <v>58</v>
      </c>
      <c r="D142" t="s">
        <v>26</v>
      </c>
      <c r="E142" t="s">
        <v>14</v>
      </c>
      <c r="F142" t="s">
        <v>19</v>
      </c>
      <c r="G142">
        <v>3</v>
      </c>
      <c r="H142">
        <v>3</v>
      </c>
      <c r="I142">
        <v>0</v>
      </c>
      <c r="J142">
        <v>3.2</v>
      </c>
    </row>
    <row r="143" spans="1:10" x14ac:dyDescent="0.25">
      <c r="A143" t="s">
        <v>55</v>
      </c>
      <c r="B143" t="s">
        <v>28</v>
      </c>
      <c r="C143" t="s">
        <v>58</v>
      </c>
      <c r="D143" t="s">
        <v>21</v>
      </c>
      <c r="E143" t="s">
        <v>18</v>
      </c>
      <c r="F143" t="s">
        <v>15</v>
      </c>
      <c r="G143">
        <v>4</v>
      </c>
      <c r="H143">
        <v>4</v>
      </c>
      <c r="I143">
        <v>0</v>
      </c>
      <c r="J143">
        <v>1.9</v>
      </c>
    </row>
    <row r="144" spans="1:10" x14ac:dyDescent="0.25">
      <c r="A144" t="s">
        <v>61</v>
      </c>
      <c r="B144" t="s">
        <v>37</v>
      </c>
      <c r="C144" t="s">
        <v>39</v>
      </c>
      <c r="D144" t="s">
        <v>13</v>
      </c>
      <c r="E144" t="s">
        <v>14</v>
      </c>
      <c r="F144" t="s">
        <v>15</v>
      </c>
      <c r="G144">
        <v>2</v>
      </c>
      <c r="H144">
        <v>2</v>
      </c>
      <c r="I144">
        <v>0</v>
      </c>
      <c r="J144">
        <v>3.4</v>
      </c>
    </row>
    <row r="145" spans="1:10" x14ac:dyDescent="0.25">
      <c r="A145" t="s">
        <v>50</v>
      </c>
      <c r="B145" t="s">
        <v>48</v>
      </c>
      <c r="C145" t="s">
        <v>63</v>
      </c>
      <c r="D145" t="s">
        <v>22</v>
      </c>
      <c r="E145" t="s">
        <v>53</v>
      </c>
      <c r="F145" t="s">
        <v>19</v>
      </c>
      <c r="G145">
        <v>7</v>
      </c>
      <c r="H145">
        <v>6</v>
      </c>
      <c r="I145">
        <v>0</v>
      </c>
      <c r="J145">
        <v>3.7</v>
      </c>
    </row>
    <row r="146" spans="1:10" x14ac:dyDescent="0.25">
      <c r="A146" t="s">
        <v>36</v>
      </c>
      <c r="B146" t="s">
        <v>24</v>
      </c>
      <c r="C146" t="s">
        <v>64</v>
      </c>
      <c r="D146" t="s">
        <v>21</v>
      </c>
      <c r="E146" t="s">
        <v>18</v>
      </c>
      <c r="F146" t="s">
        <v>19</v>
      </c>
      <c r="G146">
        <v>2</v>
      </c>
      <c r="H146">
        <v>2</v>
      </c>
      <c r="I146">
        <v>0</v>
      </c>
      <c r="J146">
        <v>2.7</v>
      </c>
    </row>
    <row r="147" spans="1:10" x14ac:dyDescent="0.25">
      <c r="A147" t="s">
        <v>23</v>
      </c>
      <c r="B147" t="s">
        <v>46</v>
      </c>
      <c r="C147" t="s">
        <v>47</v>
      </c>
      <c r="D147" t="s">
        <v>21</v>
      </c>
      <c r="E147" t="s">
        <v>30</v>
      </c>
      <c r="F147" t="s">
        <v>19</v>
      </c>
      <c r="G147">
        <v>7</v>
      </c>
      <c r="H147">
        <v>7</v>
      </c>
      <c r="I147">
        <v>3</v>
      </c>
      <c r="J147">
        <v>3.4</v>
      </c>
    </row>
    <row r="148" spans="1:10" x14ac:dyDescent="0.25">
      <c r="A148" t="s">
        <v>31</v>
      </c>
      <c r="B148" t="s">
        <v>24</v>
      </c>
      <c r="C148" t="s">
        <v>25</v>
      </c>
      <c r="D148" t="s">
        <v>40</v>
      </c>
      <c r="E148" t="s">
        <v>14</v>
      </c>
      <c r="F148" t="s">
        <v>15</v>
      </c>
      <c r="G148">
        <v>4</v>
      </c>
      <c r="H148">
        <v>4</v>
      </c>
      <c r="I148">
        <v>0</v>
      </c>
      <c r="J148">
        <v>4.0999999999999996</v>
      </c>
    </row>
    <row r="149" spans="1:10" x14ac:dyDescent="0.25">
      <c r="A149" t="s">
        <v>33</v>
      </c>
      <c r="B149" t="s">
        <v>37</v>
      </c>
      <c r="C149" t="s">
        <v>38</v>
      </c>
      <c r="D149" t="s">
        <v>40</v>
      </c>
      <c r="E149" t="s">
        <v>22</v>
      </c>
      <c r="F149" t="s">
        <v>15</v>
      </c>
      <c r="G149">
        <v>6</v>
      </c>
      <c r="H149">
        <v>5</v>
      </c>
      <c r="I149">
        <v>0</v>
      </c>
      <c r="J149">
        <v>2.9</v>
      </c>
    </row>
    <row r="150" spans="1:10" x14ac:dyDescent="0.25">
      <c r="A150" t="s">
        <v>45</v>
      </c>
      <c r="B150" t="s">
        <v>41</v>
      </c>
      <c r="C150" t="s">
        <v>42</v>
      </c>
      <c r="D150" t="s">
        <v>13</v>
      </c>
      <c r="E150" t="s">
        <v>30</v>
      </c>
      <c r="F150" t="s">
        <v>15</v>
      </c>
      <c r="G150">
        <v>9</v>
      </c>
      <c r="H150">
        <v>8</v>
      </c>
      <c r="I150">
        <v>1</v>
      </c>
      <c r="J150">
        <v>2.4</v>
      </c>
    </row>
    <row r="151" spans="1:10" x14ac:dyDescent="0.25">
      <c r="A151" t="s">
        <v>61</v>
      </c>
      <c r="B151" t="s">
        <v>56</v>
      </c>
      <c r="C151" t="s">
        <v>57</v>
      </c>
      <c r="D151" t="s">
        <v>13</v>
      </c>
      <c r="E151" t="s">
        <v>14</v>
      </c>
      <c r="F151" t="s">
        <v>15</v>
      </c>
      <c r="G151">
        <v>5</v>
      </c>
      <c r="H151">
        <v>4</v>
      </c>
      <c r="I151">
        <v>0</v>
      </c>
      <c r="J151">
        <v>3.4</v>
      </c>
    </row>
    <row r="152" spans="1:10" x14ac:dyDescent="0.25">
      <c r="A152" t="s">
        <v>23</v>
      </c>
      <c r="B152" t="s">
        <v>37</v>
      </c>
      <c r="C152" t="s">
        <v>39</v>
      </c>
      <c r="D152" t="s">
        <v>13</v>
      </c>
      <c r="E152" t="s">
        <v>18</v>
      </c>
      <c r="F152" t="s">
        <v>19</v>
      </c>
      <c r="G152">
        <v>6</v>
      </c>
      <c r="H152">
        <v>6</v>
      </c>
      <c r="I152">
        <v>2</v>
      </c>
      <c r="J152">
        <v>3.8</v>
      </c>
    </row>
    <row r="153" spans="1:10" x14ac:dyDescent="0.25">
      <c r="A153" t="s">
        <v>61</v>
      </c>
      <c r="B153" t="s">
        <v>56</v>
      </c>
      <c r="C153" t="s">
        <v>57</v>
      </c>
      <c r="D153" t="s">
        <v>13</v>
      </c>
      <c r="E153" t="s">
        <v>53</v>
      </c>
      <c r="F153" t="s">
        <v>19</v>
      </c>
      <c r="G153">
        <v>5</v>
      </c>
      <c r="H153">
        <v>5</v>
      </c>
      <c r="I153">
        <v>0</v>
      </c>
      <c r="J153">
        <v>1.8</v>
      </c>
    </row>
    <row r="154" spans="1:10" x14ac:dyDescent="0.25">
      <c r="A154" t="s">
        <v>33</v>
      </c>
      <c r="B154" t="s">
        <v>16</v>
      </c>
      <c r="C154" t="s">
        <v>60</v>
      </c>
      <c r="D154" t="s">
        <v>32</v>
      </c>
      <c r="E154" t="s">
        <v>14</v>
      </c>
      <c r="F154" t="s">
        <v>19</v>
      </c>
      <c r="G154">
        <v>7</v>
      </c>
      <c r="H154">
        <v>7</v>
      </c>
      <c r="I154">
        <v>0</v>
      </c>
      <c r="J154">
        <v>3.8</v>
      </c>
    </row>
    <row r="155" spans="1:10" x14ac:dyDescent="0.25">
      <c r="A155" t="s">
        <v>45</v>
      </c>
      <c r="B155" t="s">
        <v>48</v>
      </c>
      <c r="C155" t="s">
        <v>63</v>
      </c>
      <c r="D155" t="s">
        <v>32</v>
      </c>
      <c r="E155" t="s">
        <v>30</v>
      </c>
      <c r="F155" t="s">
        <v>19</v>
      </c>
      <c r="G155">
        <v>6</v>
      </c>
      <c r="H155">
        <v>6</v>
      </c>
      <c r="I155">
        <v>0</v>
      </c>
      <c r="J155">
        <v>4.2</v>
      </c>
    </row>
    <row r="156" spans="1:10" x14ac:dyDescent="0.25">
      <c r="A156" t="s">
        <v>31</v>
      </c>
      <c r="B156" t="s">
        <v>11</v>
      </c>
      <c r="C156" t="s">
        <v>12</v>
      </c>
      <c r="D156" t="s">
        <v>40</v>
      </c>
      <c r="E156" t="s">
        <v>18</v>
      </c>
      <c r="F156" t="s">
        <v>15</v>
      </c>
      <c r="G156">
        <v>3</v>
      </c>
      <c r="H156">
        <v>3</v>
      </c>
      <c r="I156">
        <v>1</v>
      </c>
      <c r="J156">
        <v>3.1</v>
      </c>
    </row>
    <row r="157" spans="1:10" x14ac:dyDescent="0.25">
      <c r="A157" t="s">
        <v>36</v>
      </c>
      <c r="B157" t="s">
        <v>46</v>
      </c>
      <c r="C157" t="s">
        <v>54</v>
      </c>
      <c r="D157" t="s">
        <v>22</v>
      </c>
      <c r="E157" t="s">
        <v>27</v>
      </c>
      <c r="F157" t="s">
        <v>19</v>
      </c>
      <c r="G157">
        <v>1</v>
      </c>
      <c r="H157">
        <v>0</v>
      </c>
      <c r="I157">
        <v>1</v>
      </c>
      <c r="J157">
        <v>1</v>
      </c>
    </row>
    <row r="158" spans="1:10" x14ac:dyDescent="0.25">
      <c r="A158" t="s">
        <v>45</v>
      </c>
      <c r="B158" t="s">
        <v>28</v>
      </c>
      <c r="C158" t="s">
        <v>58</v>
      </c>
      <c r="D158" t="s">
        <v>32</v>
      </c>
      <c r="E158" t="s">
        <v>53</v>
      </c>
      <c r="F158" t="s">
        <v>19</v>
      </c>
      <c r="G158">
        <v>0</v>
      </c>
      <c r="H158">
        <v>0</v>
      </c>
      <c r="I158">
        <v>0</v>
      </c>
      <c r="J158">
        <v>2.9</v>
      </c>
    </row>
    <row r="159" spans="1:10" x14ac:dyDescent="0.25">
      <c r="A159" t="s">
        <v>33</v>
      </c>
      <c r="B159" t="s">
        <v>11</v>
      </c>
      <c r="C159" t="s">
        <v>52</v>
      </c>
      <c r="D159" t="s">
        <v>40</v>
      </c>
      <c r="E159" t="s">
        <v>22</v>
      </c>
      <c r="F159" t="s">
        <v>19</v>
      </c>
      <c r="G159">
        <v>4</v>
      </c>
      <c r="H159">
        <v>4</v>
      </c>
      <c r="I159">
        <v>0</v>
      </c>
      <c r="J159">
        <v>4.0999999999999996</v>
      </c>
    </row>
    <row r="160" spans="1:10" x14ac:dyDescent="0.25">
      <c r="A160" t="s">
        <v>10</v>
      </c>
      <c r="B160" t="s">
        <v>46</v>
      </c>
      <c r="C160" t="s">
        <v>47</v>
      </c>
      <c r="D160" t="s">
        <v>22</v>
      </c>
      <c r="E160" t="s">
        <v>30</v>
      </c>
      <c r="F160" t="s">
        <v>19</v>
      </c>
      <c r="G160">
        <v>5</v>
      </c>
      <c r="H160">
        <v>4</v>
      </c>
      <c r="I160">
        <v>0</v>
      </c>
      <c r="J160">
        <v>3.9</v>
      </c>
    </row>
    <row r="161" spans="1:10" x14ac:dyDescent="0.25">
      <c r="A161" t="s">
        <v>31</v>
      </c>
      <c r="B161" t="s">
        <v>28</v>
      </c>
      <c r="C161" t="s">
        <v>29</v>
      </c>
      <c r="D161" t="s">
        <v>22</v>
      </c>
      <c r="E161" t="s">
        <v>27</v>
      </c>
      <c r="F161" t="s">
        <v>19</v>
      </c>
      <c r="G161">
        <v>6</v>
      </c>
      <c r="H161">
        <v>4</v>
      </c>
      <c r="I161">
        <v>0</v>
      </c>
      <c r="J161">
        <v>3.5</v>
      </c>
    </row>
    <row r="162" spans="1:10" x14ac:dyDescent="0.25">
      <c r="A162" t="s">
        <v>23</v>
      </c>
      <c r="B162" t="s">
        <v>41</v>
      </c>
      <c r="C162" t="s">
        <v>44</v>
      </c>
      <c r="D162" t="s">
        <v>21</v>
      </c>
      <c r="E162" t="s">
        <v>18</v>
      </c>
      <c r="F162" t="s">
        <v>19</v>
      </c>
      <c r="G162">
        <v>5</v>
      </c>
      <c r="H162">
        <v>4</v>
      </c>
      <c r="I162">
        <v>3</v>
      </c>
      <c r="J162">
        <v>4</v>
      </c>
    </row>
    <row r="163" spans="1:10" x14ac:dyDescent="0.25">
      <c r="A163" t="s">
        <v>59</v>
      </c>
      <c r="B163" t="s">
        <v>46</v>
      </c>
      <c r="C163" t="s">
        <v>47</v>
      </c>
      <c r="D163" t="s">
        <v>22</v>
      </c>
      <c r="E163" t="s">
        <v>27</v>
      </c>
      <c r="F163" t="s">
        <v>15</v>
      </c>
      <c r="G163">
        <v>10</v>
      </c>
      <c r="H163">
        <v>8</v>
      </c>
      <c r="I163">
        <v>0</v>
      </c>
      <c r="J163">
        <v>2.7</v>
      </c>
    </row>
    <row r="164" spans="1:10" x14ac:dyDescent="0.25">
      <c r="A164" t="s">
        <v>23</v>
      </c>
      <c r="B164" t="s">
        <v>34</v>
      </c>
      <c r="C164" t="s">
        <v>35</v>
      </c>
      <c r="D164" t="s">
        <v>22</v>
      </c>
      <c r="E164" t="s">
        <v>27</v>
      </c>
      <c r="F164" t="s">
        <v>19</v>
      </c>
      <c r="G164">
        <v>1</v>
      </c>
      <c r="H164">
        <v>1</v>
      </c>
      <c r="I164">
        <v>0</v>
      </c>
      <c r="J164">
        <v>4.5999999999999996</v>
      </c>
    </row>
    <row r="165" spans="1:10" x14ac:dyDescent="0.25">
      <c r="A165" t="s">
        <v>20</v>
      </c>
      <c r="B165" t="s">
        <v>16</v>
      </c>
      <c r="C165" t="s">
        <v>17</v>
      </c>
      <c r="D165" t="s">
        <v>32</v>
      </c>
      <c r="E165" t="s">
        <v>22</v>
      </c>
      <c r="F165" t="s">
        <v>19</v>
      </c>
      <c r="G165">
        <v>4</v>
      </c>
      <c r="H165">
        <v>4</v>
      </c>
      <c r="I165">
        <v>0</v>
      </c>
      <c r="J165">
        <v>2.2000000000000002</v>
      </c>
    </row>
    <row r="166" spans="1:10" x14ac:dyDescent="0.25">
      <c r="A166" t="s">
        <v>31</v>
      </c>
      <c r="B166" t="s">
        <v>56</v>
      </c>
      <c r="C166" t="s">
        <v>57</v>
      </c>
      <c r="D166" t="s">
        <v>26</v>
      </c>
      <c r="E166" t="s">
        <v>14</v>
      </c>
      <c r="F166" t="s">
        <v>19</v>
      </c>
      <c r="G166">
        <v>7</v>
      </c>
      <c r="H166">
        <v>7</v>
      </c>
      <c r="I166">
        <v>0</v>
      </c>
      <c r="J166">
        <v>4.4000000000000004</v>
      </c>
    </row>
    <row r="167" spans="1:10" x14ac:dyDescent="0.25">
      <c r="A167" t="s">
        <v>50</v>
      </c>
      <c r="B167" t="s">
        <v>28</v>
      </c>
      <c r="C167" t="s">
        <v>29</v>
      </c>
      <c r="D167" t="s">
        <v>26</v>
      </c>
      <c r="E167" t="s">
        <v>30</v>
      </c>
      <c r="F167" t="s">
        <v>19</v>
      </c>
      <c r="G167">
        <v>6</v>
      </c>
      <c r="H167">
        <v>6</v>
      </c>
      <c r="I167">
        <v>0</v>
      </c>
      <c r="J167">
        <v>1.2</v>
      </c>
    </row>
    <row r="168" spans="1:10" x14ac:dyDescent="0.25">
      <c r="A168" t="s">
        <v>43</v>
      </c>
      <c r="B168" t="s">
        <v>37</v>
      </c>
      <c r="C168" t="s">
        <v>38</v>
      </c>
      <c r="D168" t="s">
        <v>26</v>
      </c>
      <c r="E168" t="s">
        <v>14</v>
      </c>
      <c r="F168" t="s">
        <v>19</v>
      </c>
      <c r="G168">
        <v>6</v>
      </c>
      <c r="H168">
        <v>6</v>
      </c>
      <c r="I168">
        <v>0</v>
      </c>
      <c r="J168">
        <v>2.1</v>
      </c>
    </row>
    <row r="169" spans="1:10" x14ac:dyDescent="0.25">
      <c r="A169" t="s">
        <v>55</v>
      </c>
      <c r="B169" t="s">
        <v>41</v>
      </c>
      <c r="C169" t="s">
        <v>42</v>
      </c>
      <c r="D169" t="s">
        <v>22</v>
      </c>
      <c r="E169" t="s">
        <v>14</v>
      </c>
      <c r="F169" t="s">
        <v>19</v>
      </c>
      <c r="G169">
        <v>6</v>
      </c>
      <c r="H169">
        <v>6</v>
      </c>
      <c r="I169">
        <v>0</v>
      </c>
      <c r="J169">
        <v>2</v>
      </c>
    </row>
    <row r="170" spans="1:10" x14ac:dyDescent="0.25">
      <c r="A170" t="s">
        <v>50</v>
      </c>
      <c r="B170" t="s">
        <v>28</v>
      </c>
      <c r="C170" t="s">
        <v>29</v>
      </c>
      <c r="D170" t="s">
        <v>40</v>
      </c>
      <c r="E170" t="s">
        <v>18</v>
      </c>
      <c r="F170" t="s">
        <v>15</v>
      </c>
      <c r="G170">
        <v>5</v>
      </c>
      <c r="H170">
        <v>5</v>
      </c>
      <c r="I170">
        <v>0</v>
      </c>
      <c r="J170">
        <v>3</v>
      </c>
    </row>
    <row r="171" spans="1:10" x14ac:dyDescent="0.25">
      <c r="A171" t="s">
        <v>36</v>
      </c>
      <c r="B171" t="s">
        <v>28</v>
      </c>
      <c r="C171" t="s">
        <v>58</v>
      </c>
      <c r="D171" t="s">
        <v>40</v>
      </c>
      <c r="E171" t="s">
        <v>53</v>
      </c>
      <c r="F171" t="s">
        <v>15</v>
      </c>
      <c r="G171">
        <v>6</v>
      </c>
      <c r="H171">
        <v>5</v>
      </c>
      <c r="I171">
        <v>0</v>
      </c>
      <c r="J171">
        <v>3.6</v>
      </c>
    </row>
    <row r="172" spans="1:10" x14ac:dyDescent="0.25">
      <c r="A172" t="s">
        <v>33</v>
      </c>
      <c r="B172" t="s">
        <v>41</v>
      </c>
      <c r="C172" t="s">
        <v>42</v>
      </c>
      <c r="D172" t="s">
        <v>40</v>
      </c>
      <c r="E172" t="s">
        <v>22</v>
      </c>
      <c r="F172" t="s">
        <v>15</v>
      </c>
      <c r="G172">
        <v>6</v>
      </c>
      <c r="H172">
        <v>5</v>
      </c>
      <c r="I172">
        <v>0</v>
      </c>
      <c r="J172">
        <v>2.7</v>
      </c>
    </row>
    <row r="173" spans="1:10" x14ac:dyDescent="0.25">
      <c r="A173" t="s">
        <v>10</v>
      </c>
      <c r="B173" t="s">
        <v>48</v>
      </c>
      <c r="C173" t="s">
        <v>63</v>
      </c>
      <c r="D173" t="s">
        <v>13</v>
      </c>
      <c r="E173" t="s">
        <v>22</v>
      </c>
      <c r="F173" t="s">
        <v>19</v>
      </c>
      <c r="G173">
        <v>5</v>
      </c>
      <c r="H173">
        <v>4</v>
      </c>
      <c r="I173">
        <v>1</v>
      </c>
      <c r="J173">
        <v>4.2</v>
      </c>
    </row>
    <row r="174" spans="1:10" x14ac:dyDescent="0.25">
      <c r="A174" t="s">
        <v>10</v>
      </c>
      <c r="B174" t="s">
        <v>37</v>
      </c>
      <c r="C174" t="s">
        <v>39</v>
      </c>
      <c r="D174" t="s">
        <v>26</v>
      </c>
      <c r="E174" t="s">
        <v>14</v>
      </c>
      <c r="F174" t="s">
        <v>15</v>
      </c>
      <c r="G174">
        <v>2</v>
      </c>
      <c r="H174">
        <v>2</v>
      </c>
      <c r="I174">
        <v>0</v>
      </c>
      <c r="J174">
        <v>1.5</v>
      </c>
    </row>
    <row r="175" spans="1:10" x14ac:dyDescent="0.25">
      <c r="A175" t="s">
        <v>10</v>
      </c>
      <c r="B175" t="s">
        <v>34</v>
      </c>
      <c r="C175" t="s">
        <v>51</v>
      </c>
      <c r="D175" t="s">
        <v>21</v>
      </c>
      <c r="E175" t="s">
        <v>14</v>
      </c>
      <c r="F175" t="s">
        <v>15</v>
      </c>
      <c r="G175">
        <v>6</v>
      </c>
      <c r="H175">
        <v>6</v>
      </c>
      <c r="I175">
        <v>0</v>
      </c>
      <c r="J175">
        <v>3.3</v>
      </c>
    </row>
    <row r="176" spans="1:10" x14ac:dyDescent="0.25">
      <c r="A176" t="s">
        <v>33</v>
      </c>
      <c r="B176" t="s">
        <v>34</v>
      </c>
      <c r="C176" t="s">
        <v>51</v>
      </c>
      <c r="D176" t="s">
        <v>22</v>
      </c>
      <c r="E176" t="s">
        <v>18</v>
      </c>
      <c r="F176" t="s">
        <v>15</v>
      </c>
      <c r="G176">
        <v>4</v>
      </c>
      <c r="H176">
        <v>4</v>
      </c>
      <c r="I176">
        <v>0</v>
      </c>
      <c r="J176">
        <v>1.9</v>
      </c>
    </row>
    <row r="177" spans="1:10" x14ac:dyDescent="0.25">
      <c r="A177" t="s">
        <v>23</v>
      </c>
      <c r="B177" t="s">
        <v>11</v>
      </c>
      <c r="C177" t="s">
        <v>52</v>
      </c>
      <c r="D177" t="s">
        <v>32</v>
      </c>
      <c r="E177" t="s">
        <v>53</v>
      </c>
      <c r="F177" t="s">
        <v>19</v>
      </c>
      <c r="G177">
        <v>3</v>
      </c>
      <c r="H177">
        <v>2</v>
      </c>
      <c r="I177">
        <v>0</v>
      </c>
      <c r="J177">
        <v>2.2999999999999998</v>
      </c>
    </row>
    <row r="178" spans="1:10" x14ac:dyDescent="0.25">
      <c r="A178" t="s">
        <v>33</v>
      </c>
      <c r="B178" t="s">
        <v>41</v>
      </c>
      <c r="C178" t="s">
        <v>44</v>
      </c>
      <c r="D178" t="s">
        <v>40</v>
      </c>
      <c r="E178" t="s">
        <v>30</v>
      </c>
      <c r="F178" t="s">
        <v>15</v>
      </c>
      <c r="G178">
        <v>9</v>
      </c>
      <c r="H178">
        <v>8</v>
      </c>
      <c r="I178">
        <v>0</v>
      </c>
      <c r="J178">
        <v>3.1</v>
      </c>
    </row>
    <row r="179" spans="1:10" x14ac:dyDescent="0.25">
      <c r="A179" t="s">
        <v>33</v>
      </c>
      <c r="B179" t="s">
        <v>41</v>
      </c>
      <c r="C179" t="s">
        <v>42</v>
      </c>
      <c r="D179" t="s">
        <v>21</v>
      </c>
      <c r="E179" t="s">
        <v>18</v>
      </c>
      <c r="F179" t="s">
        <v>19</v>
      </c>
      <c r="G179">
        <v>5</v>
      </c>
      <c r="H179">
        <v>5</v>
      </c>
      <c r="I179">
        <v>0</v>
      </c>
      <c r="J179">
        <v>2.2999999999999998</v>
      </c>
    </row>
    <row r="180" spans="1:10" x14ac:dyDescent="0.25">
      <c r="A180" t="s">
        <v>10</v>
      </c>
      <c r="B180" t="s">
        <v>46</v>
      </c>
      <c r="C180" t="s">
        <v>54</v>
      </c>
      <c r="D180" t="s">
        <v>13</v>
      </c>
      <c r="E180" t="s">
        <v>22</v>
      </c>
      <c r="F180" t="s">
        <v>19</v>
      </c>
      <c r="G180">
        <v>6</v>
      </c>
      <c r="H180">
        <v>3</v>
      </c>
      <c r="I180">
        <v>1</v>
      </c>
      <c r="J180">
        <v>4.2</v>
      </c>
    </row>
    <row r="181" spans="1:10" x14ac:dyDescent="0.25">
      <c r="A181" t="s">
        <v>23</v>
      </c>
      <c r="B181" t="s">
        <v>48</v>
      </c>
      <c r="C181" t="s">
        <v>63</v>
      </c>
      <c r="D181" t="s">
        <v>13</v>
      </c>
      <c r="E181" t="s">
        <v>53</v>
      </c>
      <c r="F181" t="s">
        <v>19</v>
      </c>
      <c r="G181">
        <v>4</v>
      </c>
      <c r="H181">
        <v>3</v>
      </c>
      <c r="I181">
        <v>0</v>
      </c>
      <c r="J181">
        <v>3.1</v>
      </c>
    </row>
    <row r="182" spans="1:10" x14ac:dyDescent="0.25">
      <c r="A182" t="s">
        <v>20</v>
      </c>
      <c r="B182" t="s">
        <v>41</v>
      </c>
      <c r="C182" t="s">
        <v>42</v>
      </c>
      <c r="D182" t="s">
        <v>13</v>
      </c>
      <c r="E182" t="s">
        <v>30</v>
      </c>
      <c r="F182" t="s">
        <v>15</v>
      </c>
      <c r="G182">
        <v>3</v>
      </c>
      <c r="H182">
        <v>3</v>
      </c>
      <c r="I182">
        <v>0</v>
      </c>
      <c r="J182">
        <v>3.1</v>
      </c>
    </row>
    <row r="183" spans="1:10" x14ac:dyDescent="0.25">
      <c r="A183" t="s">
        <v>33</v>
      </c>
      <c r="B183" t="s">
        <v>24</v>
      </c>
      <c r="C183" t="s">
        <v>25</v>
      </c>
      <c r="D183" t="s">
        <v>22</v>
      </c>
      <c r="E183" t="s">
        <v>30</v>
      </c>
      <c r="F183" t="s">
        <v>15</v>
      </c>
      <c r="G183">
        <v>8</v>
      </c>
      <c r="H183">
        <v>8</v>
      </c>
      <c r="I183">
        <v>1</v>
      </c>
      <c r="J183">
        <v>3.7</v>
      </c>
    </row>
    <row r="184" spans="1:10" x14ac:dyDescent="0.25">
      <c r="A184" t="s">
        <v>36</v>
      </c>
      <c r="B184" t="s">
        <v>46</v>
      </c>
      <c r="C184" t="s">
        <v>47</v>
      </c>
      <c r="D184" t="s">
        <v>40</v>
      </c>
      <c r="E184" t="s">
        <v>22</v>
      </c>
      <c r="F184" t="s">
        <v>15</v>
      </c>
      <c r="G184">
        <v>7</v>
      </c>
      <c r="H184">
        <v>7</v>
      </c>
      <c r="I184">
        <v>0</v>
      </c>
      <c r="J184">
        <v>3.5</v>
      </c>
    </row>
    <row r="185" spans="1:10" x14ac:dyDescent="0.25">
      <c r="A185" t="s">
        <v>43</v>
      </c>
      <c r="B185" t="s">
        <v>37</v>
      </c>
      <c r="C185" t="s">
        <v>38</v>
      </c>
      <c r="D185" t="s">
        <v>32</v>
      </c>
      <c r="E185" t="s">
        <v>30</v>
      </c>
      <c r="F185" t="s">
        <v>15</v>
      </c>
      <c r="G185">
        <v>8</v>
      </c>
      <c r="H185">
        <v>7</v>
      </c>
      <c r="I185">
        <v>0</v>
      </c>
      <c r="J185">
        <v>2.1</v>
      </c>
    </row>
    <row r="186" spans="1:10" x14ac:dyDescent="0.25">
      <c r="A186" t="s">
        <v>61</v>
      </c>
      <c r="B186" t="s">
        <v>41</v>
      </c>
      <c r="C186" t="s">
        <v>42</v>
      </c>
      <c r="D186" t="s">
        <v>32</v>
      </c>
      <c r="E186" t="s">
        <v>53</v>
      </c>
      <c r="F186" t="s">
        <v>15</v>
      </c>
      <c r="G186">
        <v>4</v>
      </c>
      <c r="H186">
        <v>4</v>
      </c>
      <c r="I186">
        <v>0</v>
      </c>
      <c r="J186">
        <v>3.1</v>
      </c>
    </row>
    <row r="187" spans="1:10" x14ac:dyDescent="0.25">
      <c r="A187" t="s">
        <v>33</v>
      </c>
      <c r="B187" t="s">
        <v>48</v>
      </c>
      <c r="C187" t="s">
        <v>49</v>
      </c>
      <c r="D187" t="s">
        <v>40</v>
      </c>
      <c r="E187" t="s">
        <v>27</v>
      </c>
      <c r="F187" t="s">
        <v>15</v>
      </c>
      <c r="G187">
        <v>5</v>
      </c>
      <c r="H187">
        <v>4</v>
      </c>
      <c r="I187">
        <v>0</v>
      </c>
      <c r="J187">
        <v>3.5</v>
      </c>
    </row>
    <row r="188" spans="1:10" x14ac:dyDescent="0.25">
      <c r="A188" t="s">
        <v>10</v>
      </c>
      <c r="B188" t="s">
        <v>34</v>
      </c>
      <c r="C188" t="s">
        <v>35</v>
      </c>
      <c r="D188" t="s">
        <v>40</v>
      </c>
      <c r="E188" t="s">
        <v>30</v>
      </c>
      <c r="F188" t="s">
        <v>15</v>
      </c>
      <c r="G188">
        <v>3</v>
      </c>
      <c r="H188">
        <v>2</v>
      </c>
      <c r="I188">
        <v>0</v>
      </c>
      <c r="J188">
        <v>3.1</v>
      </c>
    </row>
    <row r="189" spans="1:10" x14ac:dyDescent="0.25">
      <c r="A189" t="s">
        <v>50</v>
      </c>
      <c r="B189" t="s">
        <v>16</v>
      </c>
      <c r="C189" t="s">
        <v>60</v>
      </c>
      <c r="D189" t="s">
        <v>21</v>
      </c>
      <c r="E189" t="s">
        <v>14</v>
      </c>
      <c r="F189" t="s">
        <v>15</v>
      </c>
      <c r="G189">
        <v>3</v>
      </c>
      <c r="H189">
        <v>3</v>
      </c>
      <c r="I189">
        <v>0</v>
      </c>
      <c r="J189">
        <v>2.7</v>
      </c>
    </row>
    <row r="190" spans="1:10" x14ac:dyDescent="0.25">
      <c r="A190" t="s">
        <v>31</v>
      </c>
      <c r="B190" t="s">
        <v>11</v>
      </c>
      <c r="C190" t="s">
        <v>12</v>
      </c>
      <c r="D190" t="s">
        <v>13</v>
      </c>
      <c r="E190" t="s">
        <v>22</v>
      </c>
      <c r="F190" t="s">
        <v>15</v>
      </c>
      <c r="G190">
        <v>6</v>
      </c>
      <c r="H190">
        <v>5</v>
      </c>
      <c r="I190">
        <v>0</v>
      </c>
      <c r="J190">
        <v>2</v>
      </c>
    </row>
    <row r="191" spans="1:10" x14ac:dyDescent="0.25">
      <c r="A191" t="s">
        <v>55</v>
      </c>
      <c r="B191" t="s">
        <v>41</v>
      </c>
      <c r="C191" t="s">
        <v>44</v>
      </c>
      <c r="D191" t="s">
        <v>26</v>
      </c>
      <c r="E191" t="s">
        <v>14</v>
      </c>
      <c r="F191" t="s">
        <v>19</v>
      </c>
      <c r="G191">
        <v>7</v>
      </c>
      <c r="H191">
        <v>7</v>
      </c>
      <c r="I191">
        <v>0</v>
      </c>
      <c r="J191">
        <v>2.8</v>
      </c>
    </row>
    <row r="192" spans="1:10" x14ac:dyDescent="0.25">
      <c r="A192" t="s">
        <v>10</v>
      </c>
      <c r="B192" t="s">
        <v>56</v>
      </c>
      <c r="C192" t="s">
        <v>57</v>
      </c>
      <c r="D192" t="s">
        <v>21</v>
      </c>
      <c r="E192" t="s">
        <v>14</v>
      </c>
      <c r="F192" t="s">
        <v>15</v>
      </c>
      <c r="G192">
        <v>2</v>
      </c>
      <c r="H192">
        <v>2</v>
      </c>
      <c r="I192">
        <v>0</v>
      </c>
      <c r="J192">
        <v>1.5</v>
      </c>
    </row>
    <row r="193" spans="1:10" x14ac:dyDescent="0.25">
      <c r="A193" t="s">
        <v>59</v>
      </c>
      <c r="B193" t="s">
        <v>11</v>
      </c>
      <c r="C193" t="s">
        <v>12</v>
      </c>
      <c r="D193" t="s">
        <v>22</v>
      </c>
      <c r="E193" t="s">
        <v>27</v>
      </c>
      <c r="F193" t="s">
        <v>15</v>
      </c>
      <c r="G193">
        <v>1</v>
      </c>
      <c r="H193">
        <v>0</v>
      </c>
      <c r="I193">
        <v>0</v>
      </c>
      <c r="J193">
        <v>3.2</v>
      </c>
    </row>
    <row r="194" spans="1:10" x14ac:dyDescent="0.25">
      <c r="A194" t="s">
        <v>33</v>
      </c>
      <c r="B194" t="s">
        <v>48</v>
      </c>
      <c r="C194" t="s">
        <v>63</v>
      </c>
      <c r="D194" t="s">
        <v>21</v>
      </c>
      <c r="E194" t="s">
        <v>53</v>
      </c>
      <c r="F194" t="s">
        <v>19</v>
      </c>
      <c r="G194">
        <v>6</v>
      </c>
      <c r="H194">
        <v>6</v>
      </c>
      <c r="I194">
        <v>0</v>
      </c>
      <c r="J194">
        <v>4.2</v>
      </c>
    </row>
    <row r="195" spans="1:10" x14ac:dyDescent="0.25">
      <c r="A195" t="s">
        <v>43</v>
      </c>
      <c r="B195" t="s">
        <v>34</v>
      </c>
      <c r="C195" t="s">
        <v>35</v>
      </c>
      <c r="D195" t="s">
        <v>22</v>
      </c>
      <c r="E195" t="s">
        <v>18</v>
      </c>
      <c r="F195" t="s">
        <v>15</v>
      </c>
      <c r="G195">
        <v>8</v>
      </c>
      <c r="H195">
        <v>7</v>
      </c>
      <c r="I195">
        <v>0</v>
      </c>
      <c r="J195">
        <v>2.1</v>
      </c>
    </row>
    <row r="196" spans="1:10" x14ac:dyDescent="0.25">
      <c r="A196" t="s">
        <v>59</v>
      </c>
      <c r="B196" t="s">
        <v>41</v>
      </c>
      <c r="C196" t="s">
        <v>42</v>
      </c>
      <c r="D196" t="s">
        <v>13</v>
      </c>
      <c r="E196" t="s">
        <v>14</v>
      </c>
      <c r="F196" t="s">
        <v>19</v>
      </c>
      <c r="G196">
        <v>4</v>
      </c>
      <c r="H196">
        <v>4</v>
      </c>
      <c r="I196">
        <v>0</v>
      </c>
      <c r="J196">
        <v>3.3</v>
      </c>
    </row>
    <row r="197" spans="1:10" x14ac:dyDescent="0.25">
      <c r="A197" t="s">
        <v>61</v>
      </c>
      <c r="B197" t="s">
        <v>24</v>
      </c>
      <c r="C197" t="s">
        <v>25</v>
      </c>
      <c r="D197" t="s">
        <v>13</v>
      </c>
      <c r="E197" t="s">
        <v>27</v>
      </c>
      <c r="F197" t="s">
        <v>15</v>
      </c>
      <c r="G197">
        <v>3</v>
      </c>
      <c r="H197">
        <v>2</v>
      </c>
      <c r="I197">
        <v>0</v>
      </c>
      <c r="J197">
        <v>3.8</v>
      </c>
    </row>
    <row r="198" spans="1:10" x14ac:dyDescent="0.25">
      <c r="A198" t="s">
        <v>43</v>
      </c>
      <c r="B198" t="s">
        <v>41</v>
      </c>
      <c r="C198" t="s">
        <v>42</v>
      </c>
      <c r="D198" t="s">
        <v>32</v>
      </c>
      <c r="E198" t="s">
        <v>22</v>
      </c>
      <c r="F198" t="s">
        <v>15</v>
      </c>
      <c r="G198">
        <v>2</v>
      </c>
      <c r="H198">
        <v>2</v>
      </c>
      <c r="I198">
        <v>0</v>
      </c>
      <c r="J198">
        <v>1.7</v>
      </c>
    </row>
    <row r="199" spans="1:10" x14ac:dyDescent="0.25">
      <c r="A199" t="s">
        <v>45</v>
      </c>
      <c r="B199" t="s">
        <v>46</v>
      </c>
      <c r="C199" t="s">
        <v>47</v>
      </c>
      <c r="D199" t="s">
        <v>40</v>
      </c>
      <c r="E199" t="s">
        <v>27</v>
      </c>
      <c r="F199" t="s">
        <v>15</v>
      </c>
      <c r="G199">
        <v>4</v>
      </c>
      <c r="H199">
        <v>4</v>
      </c>
      <c r="I199">
        <v>0</v>
      </c>
      <c r="J199">
        <v>2</v>
      </c>
    </row>
    <row r="200" spans="1:10" x14ac:dyDescent="0.25">
      <c r="A200" t="s">
        <v>43</v>
      </c>
      <c r="B200" t="s">
        <v>34</v>
      </c>
      <c r="C200" t="s">
        <v>51</v>
      </c>
      <c r="D200" t="s">
        <v>26</v>
      </c>
      <c r="E200" t="s">
        <v>22</v>
      </c>
      <c r="F200" t="s">
        <v>15</v>
      </c>
      <c r="G200">
        <v>2</v>
      </c>
      <c r="H200">
        <v>2</v>
      </c>
      <c r="I200">
        <v>1</v>
      </c>
      <c r="J200">
        <v>4</v>
      </c>
    </row>
    <row r="201" spans="1:10" x14ac:dyDescent="0.25">
      <c r="A201" t="s">
        <v>10</v>
      </c>
      <c r="B201" t="s">
        <v>56</v>
      </c>
      <c r="C201" t="s">
        <v>62</v>
      </c>
      <c r="D201" t="s">
        <v>22</v>
      </c>
      <c r="E201" t="s">
        <v>18</v>
      </c>
      <c r="F201" t="s">
        <v>15</v>
      </c>
      <c r="G201">
        <v>3</v>
      </c>
      <c r="H201">
        <v>3</v>
      </c>
      <c r="I201">
        <v>0</v>
      </c>
      <c r="J201">
        <v>2.2000000000000002</v>
      </c>
    </row>
    <row r="202" spans="1:10" x14ac:dyDescent="0.25">
      <c r="A202" t="s">
        <v>23</v>
      </c>
      <c r="B202" t="s">
        <v>24</v>
      </c>
      <c r="C202" t="s">
        <v>64</v>
      </c>
      <c r="D202" t="s">
        <v>13</v>
      </c>
      <c r="E202" t="s">
        <v>18</v>
      </c>
      <c r="F202" t="s">
        <v>19</v>
      </c>
      <c r="G202">
        <v>5</v>
      </c>
      <c r="H202">
        <v>3</v>
      </c>
      <c r="I202">
        <v>0</v>
      </c>
      <c r="J202">
        <v>4.5</v>
      </c>
    </row>
    <row r="203" spans="1:10" x14ac:dyDescent="0.25">
      <c r="A203" t="s">
        <v>43</v>
      </c>
      <c r="B203" t="s">
        <v>41</v>
      </c>
      <c r="C203" t="s">
        <v>42</v>
      </c>
      <c r="D203" t="s">
        <v>40</v>
      </c>
      <c r="E203" t="s">
        <v>14</v>
      </c>
      <c r="F203" t="s">
        <v>15</v>
      </c>
      <c r="G203">
        <v>5</v>
      </c>
      <c r="H203">
        <v>5</v>
      </c>
      <c r="I203">
        <v>0</v>
      </c>
      <c r="J203">
        <v>3.5</v>
      </c>
    </row>
    <row r="204" spans="1:10" x14ac:dyDescent="0.25">
      <c r="A204" t="s">
        <v>50</v>
      </c>
      <c r="B204" t="s">
        <v>46</v>
      </c>
      <c r="C204" t="s">
        <v>54</v>
      </c>
      <c r="D204" t="s">
        <v>32</v>
      </c>
      <c r="E204" t="s">
        <v>30</v>
      </c>
      <c r="F204" t="s">
        <v>15</v>
      </c>
      <c r="G204">
        <v>5</v>
      </c>
      <c r="H204">
        <v>4</v>
      </c>
      <c r="I204">
        <v>0</v>
      </c>
      <c r="J204">
        <v>3.9</v>
      </c>
    </row>
    <row r="205" spans="1:10" x14ac:dyDescent="0.25">
      <c r="A205" t="s">
        <v>61</v>
      </c>
      <c r="B205" t="s">
        <v>41</v>
      </c>
      <c r="C205" t="s">
        <v>42</v>
      </c>
      <c r="D205" t="s">
        <v>40</v>
      </c>
      <c r="E205" t="s">
        <v>53</v>
      </c>
      <c r="F205" t="s">
        <v>15</v>
      </c>
      <c r="G205">
        <v>10</v>
      </c>
      <c r="H205">
        <v>9</v>
      </c>
      <c r="I205">
        <v>2</v>
      </c>
      <c r="J205">
        <v>2.4</v>
      </c>
    </row>
    <row r="206" spans="1:10" x14ac:dyDescent="0.25">
      <c r="A206" t="s">
        <v>31</v>
      </c>
      <c r="B206" t="s">
        <v>48</v>
      </c>
      <c r="C206" t="s">
        <v>49</v>
      </c>
      <c r="D206" t="s">
        <v>40</v>
      </c>
      <c r="E206" t="s">
        <v>22</v>
      </c>
      <c r="F206" t="s">
        <v>19</v>
      </c>
      <c r="G206">
        <v>2</v>
      </c>
      <c r="H206">
        <v>2</v>
      </c>
      <c r="I206">
        <v>0</v>
      </c>
      <c r="J206">
        <v>2.5</v>
      </c>
    </row>
    <row r="207" spans="1:10" x14ac:dyDescent="0.25">
      <c r="A207" t="s">
        <v>23</v>
      </c>
      <c r="B207" t="s">
        <v>37</v>
      </c>
      <c r="C207" t="s">
        <v>38</v>
      </c>
      <c r="D207" t="s">
        <v>22</v>
      </c>
      <c r="E207" t="s">
        <v>53</v>
      </c>
      <c r="F207" t="s">
        <v>15</v>
      </c>
      <c r="G207">
        <v>8</v>
      </c>
      <c r="H207">
        <v>6</v>
      </c>
      <c r="I207">
        <v>0</v>
      </c>
      <c r="J207">
        <v>3.6</v>
      </c>
    </row>
    <row r="208" spans="1:10" x14ac:dyDescent="0.25">
      <c r="A208" t="s">
        <v>61</v>
      </c>
      <c r="B208" t="s">
        <v>56</v>
      </c>
      <c r="C208" t="s">
        <v>57</v>
      </c>
      <c r="D208" t="s">
        <v>40</v>
      </c>
      <c r="E208" t="s">
        <v>18</v>
      </c>
      <c r="F208" t="s">
        <v>19</v>
      </c>
      <c r="G208">
        <v>3</v>
      </c>
      <c r="H208">
        <v>3</v>
      </c>
      <c r="I208">
        <v>0</v>
      </c>
      <c r="J208">
        <v>4.3</v>
      </c>
    </row>
    <row r="209" spans="1:10" x14ac:dyDescent="0.25">
      <c r="A209" t="s">
        <v>23</v>
      </c>
      <c r="B209" t="s">
        <v>41</v>
      </c>
      <c r="C209" t="s">
        <v>44</v>
      </c>
      <c r="D209" t="s">
        <v>40</v>
      </c>
      <c r="E209" t="s">
        <v>14</v>
      </c>
      <c r="F209" t="s">
        <v>19</v>
      </c>
      <c r="G209">
        <v>5</v>
      </c>
      <c r="H209">
        <v>4</v>
      </c>
      <c r="I209">
        <v>0</v>
      </c>
      <c r="J209">
        <v>2.6</v>
      </c>
    </row>
    <row r="210" spans="1:10" x14ac:dyDescent="0.25">
      <c r="A210" t="s">
        <v>45</v>
      </c>
      <c r="B210" t="s">
        <v>41</v>
      </c>
      <c r="C210" t="s">
        <v>42</v>
      </c>
      <c r="D210" t="s">
        <v>26</v>
      </c>
      <c r="E210" t="s">
        <v>27</v>
      </c>
      <c r="F210" t="s">
        <v>19</v>
      </c>
      <c r="G210">
        <v>0</v>
      </c>
      <c r="H210">
        <v>0</v>
      </c>
      <c r="I210">
        <v>0</v>
      </c>
      <c r="J210">
        <v>2.2000000000000002</v>
      </c>
    </row>
    <row r="211" spans="1:10" x14ac:dyDescent="0.25">
      <c r="A211" t="s">
        <v>59</v>
      </c>
      <c r="B211" t="s">
        <v>46</v>
      </c>
      <c r="C211" t="s">
        <v>47</v>
      </c>
      <c r="D211" t="s">
        <v>26</v>
      </c>
      <c r="E211" t="s">
        <v>22</v>
      </c>
      <c r="F211" t="s">
        <v>15</v>
      </c>
      <c r="G211">
        <v>4</v>
      </c>
      <c r="H211">
        <v>3</v>
      </c>
      <c r="I211">
        <v>2</v>
      </c>
      <c r="J211">
        <v>3.6</v>
      </c>
    </row>
    <row r="212" spans="1:10" x14ac:dyDescent="0.25">
      <c r="A212" t="s">
        <v>31</v>
      </c>
      <c r="B212" t="s">
        <v>34</v>
      </c>
      <c r="C212" t="s">
        <v>35</v>
      </c>
      <c r="D212" t="s">
        <v>32</v>
      </c>
      <c r="E212" t="s">
        <v>14</v>
      </c>
      <c r="F212" t="s">
        <v>19</v>
      </c>
      <c r="G212">
        <v>8</v>
      </c>
      <c r="H212">
        <v>7</v>
      </c>
      <c r="I212">
        <v>0</v>
      </c>
      <c r="J212">
        <v>2.4</v>
      </c>
    </row>
    <row r="213" spans="1:10" x14ac:dyDescent="0.25">
      <c r="A213" t="s">
        <v>59</v>
      </c>
      <c r="B213" t="s">
        <v>11</v>
      </c>
      <c r="C213" t="s">
        <v>12</v>
      </c>
      <c r="D213" t="s">
        <v>21</v>
      </c>
      <c r="E213" t="s">
        <v>27</v>
      </c>
      <c r="F213" t="s">
        <v>19</v>
      </c>
      <c r="G213">
        <v>5</v>
      </c>
      <c r="H213">
        <v>4</v>
      </c>
      <c r="I213">
        <v>1</v>
      </c>
      <c r="J213">
        <v>5.6</v>
      </c>
    </row>
    <row r="214" spans="1:10" x14ac:dyDescent="0.25">
      <c r="A214" t="s">
        <v>23</v>
      </c>
      <c r="B214" t="s">
        <v>16</v>
      </c>
      <c r="C214" t="s">
        <v>17</v>
      </c>
      <c r="D214" t="s">
        <v>26</v>
      </c>
      <c r="E214" t="s">
        <v>53</v>
      </c>
      <c r="F214" t="s">
        <v>19</v>
      </c>
      <c r="G214">
        <v>4</v>
      </c>
      <c r="H214">
        <v>4</v>
      </c>
      <c r="I214">
        <v>0</v>
      </c>
      <c r="J214">
        <v>3.9</v>
      </c>
    </row>
    <row r="215" spans="1:10" x14ac:dyDescent="0.25">
      <c r="A215" t="s">
        <v>43</v>
      </c>
      <c r="B215" t="s">
        <v>46</v>
      </c>
      <c r="C215" t="s">
        <v>47</v>
      </c>
      <c r="D215" t="s">
        <v>22</v>
      </c>
      <c r="E215" t="s">
        <v>18</v>
      </c>
      <c r="F215" t="s">
        <v>19</v>
      </c>
      <c r="G215">
        <v>4</v>
      </c>
      <c r="H215">
        <v>4</v>
      </c>
      <c r="I215">
        <v>0</v>
      </c>
      <c r="J215">
        <v>3.7</v>
      </c>
    </row>
    <row r="216" spans="1:10" x14ac:dyDescent="0.25">
      <c r="A216" t="s">
        <v>31</v>
      </c>
      <c r="B216" t="s">
        <v>16</v>
      </c>
      <c r="C216" t="s">
        <v>17</v>
      </c>
      <c r="D216" t="s">
        <v>22</v>
      </c>
      <c r="E216" t="s">
        <v>22</v>
      </c>
      <c r="F216" t="s">
        <v>15</v>
      </c>
      <c r="G216">
        <v>8</v>
      </c>
      <c r="H216">
        <v>8</v>
      </c>
      <c r="I216">
        <v>1</v>
      </c>
      <c r="J216">
        <v>4.2</v>
      </c>
    </row>
    <row r="217" spans="1:10" x14ac:dyDescent="0.25">
      <c r="A217" t="s">
        <v>36</v>
      </c>
      <c r="B217" t="s">
        <v>37</v>
      </c>
      <c r="C217" t="s">
        <v>38</v>
      </c>
      <c r="D217" t="s">
        <v>21</v>
      </c>
      <c r="E217" t="s">
        <v>22</v>
      </c>
      <c r="F217" t="s">
        <v>19</v>
      </c>
      <c r="G217">
        <v>4</v>
      </c>
      <c r="H217">
        <v>4</v>
      </c>
      <c r="I217">
        <v>1</v>
      </c>
      <c r="J217">
        <v>1.1000000000000001</v>
      </c>
    </row>
    <row r="218" spans="1:10" x14ac:dyDescent="0.25">
      <c r="A218" t="s">
        <v>55</v>
      </c>
      <c r="B218" t="s">
        <v>11</v>
      </c>
      <c r="C218" t="s">
        <v>12</v>
      </c>
      <c r="D218" t="s">
        <v>22</v>
      </c>
      <c r="E218" t="s">
        <v>22</v>
      </c>
      <c r="F218" t="s">
        <v>15</v>
      </c>
      <c r="G218">
        <v>5</v>
      </c>
      <c r="H218">
        <v>4</v>
      </c>
      <c r="I218">
        <v>1</v>
      </c>
      <c r="J218">
        <v>3.5</v>
      </c>
    </row>
    <row r="219" spans="1:10" x14ac:dyDescent="0.25">
      <c r="A219" t="s">
        <v>55</v>
      </c>
      <c r="B219" t="s">
        <v>16</v>
      </c>
      <c r="C219" t="s">
        <v>60</v>
      </c>
      <c r="D219" t="s">
        <v>13</v>
      </c>
      <c r="E219" t="s">
        <v>53</v>
      </c>
      <c r="F219" t="s">
        <v>19</v>
      </c>
      <c r="G219">
        <v>3</v>
      </c>
      <c r="H219">
        <v>3</v>
      </c>
      <c r="I219">
        <v>0</v>
      </c>
      <c r="J219">
        <v>2.5</v>
      </c>
    </row>
    <row r="220" spans="1:10" x14ac:dyDescent="0.25">
      <c r="A220" t="s">
        <v>33</v>
      </c>
      <c r="B220" t="s">
        <v>24</v>
      </c>
      <c r="C220" t="s">
        <v>64</v>
      </c>
      <c r="D220" t="s">
        <v>13</v>
      </c>
      <c r="E220" t="s">
        <v>18</v>
      </c>
      <c r="F220" t="s">
        <v>19</v>
      </c>
      <c r="G220">
        <v>5</v>
      </c>
      <c r="H220">
        <v>4</v>
      </c>
      <c r="I220">
        <v>0</v>
      </c>
      <c r="J220">
        <v>2.9</v>
      </c>
    </row>
    <row r="221" spans="1:10" x14ac:dyDescent="0.25">
      <c r="A221" t="s">
        <v>61</v>
      </c>
      <c r="B221" t="s">
        <v>41</v>
      </c>
      <c r="C221" t="s">
        <v>42</v>
      </c>
      <c r="D221" t="s">
        <v>26</v>
      </c>
      <c r="E221" t="s">
        <v>14</v>
      </c>
      <c r="F221" t="s">
        <v>15</v>
      </c>
      <c r="G221">
        <v>4</v>
      </c>
      <c r="H221">
        <v>3</v>
      </c>
      <c r="I221">
        <v>0</v>
      </c>
      <c r="J221">
        <v>2.8</v>
      </c>
    </row>
    <row r="222" spans="1:10" x14ac:dyDescent="0.25">
      <c r="A222" t="s">
        <v>10</v>
      </c>
      <c r="B222" t="s">
        <v>46</v>
      </c>
      <c r="C222" t="s">
        <v>54</v>
      </c>
      <c r="D222" t="s">
        <v>13</v>
      </c>
      <c r="E222" t="s">
        <v>18</v>
      </c>
      <c r="F222" t="s">
        <v>19</v>
      </c>
      <c r="G222">
        <v>3</v>
      </c>
      <c r="H222">
        <v>3</v>
      </c>
      <c r="I222">
        <v>1</v>
      </c>
      <c r="J222">
        <v>3.1</v>
      </c>
    </row>
    <row r="223" spans="1:10" x14ac:dyDescent="0.25">
      <c r="A223" t="s">
        <v>45</v>
      </c>
      <c r="B223" t="s">
        <v>37</v>
      </c>
      <c r="C223" t="s">
        <v>38</v>
      </c>
      <c r="D223" t="s">
        <v>32</v>
      </c>
      <c r="E223" t="s">
        <v>22</v>
      </c>
      <c r="F223" t="s">
        <v>19</v>
      </c>
      <c r="G223">
        <v>3</v>
      </c>
      <c r="H223">
        <v>3</v>
      </c>
      <c r="I223">
        <v>1</v>
      </c>
      <c r="J223">
        <v>1.9</v>
      </c>
    </row>
    <row r="224" spans="1:10" x14ac:dyDescent="0.25">
      <c r="A224" t="s">
        <v>61</v>
      </c>
      <c r="B224" t="s">
        <v>48</v>
      </c>
      <c r="C224" t="s">
        <v>63</v>
      </c>
      <c r="D224" t="s">
        <v>26</v>
      </c>
      <c r="E224" t="s">
        <v>27</v>
      </c>
      <c r="F224" t="s">
        <v>15</v>
      </c>
      <c r="G224">
        <v>4</v>
      </c>
      <c r="H224">
        <v>3</v>
      </c>
      <c r="I224">
        <v>1</v>
      </c>
      <c r="J224">
        <v>3.8</v>
      </c>
    </row>
    <row r="225" spans="1:10" x14ac:dyDescent="0.25">
      <c r="A225" t="s">
        <v>61</v>
      </c>
      <c r="B225" t="s">
        <v>16</v>
      </c>
      <c r="C225" t="s">
        <v>60</v>
      </c>
      <c r="D225" t="s">
        <v>40</v>
      </c>
      <c r="E225" t="s">
        <v>30</v>
      </c>
      <c r="F225" t="s">
        <v>15</v>
      </c>
      <c r="G225">
        <v>6</v>
      </c>
      <c r="H225">
        <v>6</v>
      </c>
      <c r="I225">
        <v>0</v>
      </c>
      <c r="J225">
        <v>1.7</v>
      </c>
    </row>
    <row r="226" spans="1:10" x14ac:dyDescent="0.25">
      <c r="A226" t="s">
        <v>23</v>
      </c>
      <c r="B226" t="s">
        <v>28</v>
      </c>
      <c r="C226" t="s">
        <v>29</v>
      </c>
      <c r="D226" t="s">
        <v>21</v>
      </c>
      <c r="E226" t="s">
        <v>27</v>
      </c>
      <c r="F226" t="s">
        <v>19</v>
      </c>
      <c r="G226">
        <v>5</v>
      </c>
      <c r="H226">
        <v>4</v>
      </c>
      <c r="I226">
        <v>0</v>
      </c>
      <c r="J226">
        <v>3.4</v>
      </c>
    </row>
    <row r="227" spans="1:10" x14ac:dyDescent="0.25">
      <c r="A227" t="s">
        <v>33</v>
      </c>
      <c r="B227" t="s">
        <v>46</v>
      </c>
      <c r="C227" t="s">
        <v>54</v>
      </c>
      <c r="D227" t="s">
        <v>40</v>
      </c>
      <c r="E227" t="s">
        <v>30</v>
      </c>
      <c r="F227" t="s">
        <v>15</v>
      </c>
      <c r="G227">
        <v>3</v>
      </c>
      <c r="H227">
        <v>2</v>
      </c>
      <c r="I227">
        <v>0</v>
      </c>
      <c r="J227">
        <v>4.8</v>
      </c>
    </row>
    <row r="228" spans="1:10" x14ac:dyDescent="0.25">
      <c r="A228" t="s">
        <v>61</v>
      </c>
      <c r="B228" t="s">
        <v>24</v>
      </c>
      <c r="C228" t="s">
        <v>25</v>
      </c>
      <c r="D228" t="s">
        <v>13</v>
      </c>
      <c r="E228" t="s">
        <v>18</v>
      </c>
      <c r="F228" t="s">
        <v>15</v>
      </c>
      <c r="G228">
        <v>5</v>
      </c>
      <c r="H228">
        <v>5</v>
      </c>
      <c r="I228">
        <v>1</v>
      </c>
      <c r="J228">
        <v>2.4</v>
      </c>
    </row>
    <row r="229" spans="1:10" x14ac:dyDescent="0.25">
      <c r="A229" t="s">
        <v>20</v>
      </c>
      <c r="B229" t="s">
        <v>46</v>
      </c>
      <c r="C229" t="s">
        <v>47</v>
      </c>
      <c r="D229" t="s">
        <v>32</v>
      </c>
      <c r="E229" t="s">
        <v>22</v>
      </c>
      <c r="F229" t="s">
        <v>15</v>
      </c>
      <c r="G229">
        <v>4</v>
      </c>
      <c r="H229">
        <v>3</v>
      </c>
      <c r="I229">
        <v>0</v>
      </c>
      <c r="J229">
        <v>2.9</v>
      </c>
    </row>
    <row r="230" spans="1:10" x14ac:dyDescent="0.25">
      <c r="A230" t="s">
        <v>55</v>
      </c>
      <c r="B230" t="s">
        <v>28</v>
      </c>
      <c r="C230" t="s">
        <v>29</v>
      </c>
      <c r="D230" t="s">
        <v>40</v>
      </c>
      <c r="E230" t="s">
        <v>30</v>
      </c>
      <c r="F230" t="s">
        <v>15</v>
      </c>
      <c r="G230">
        <v>8</v>
      </c>
      <c r="H230">
        <v>8</v>
      </c>
      <c r="I230">
        <v>0</v>
      </c>
      <c r="J230">
        <v>3.1</v>
      </c>
    </row>
    <row r="231" spans="1:10" x14ac:dyDescent="0.25">
      <c r="A231" t="s">
        <v>20</v>
      </c>
      <c r="B231" t="s">
        <v>48</v>
      </c>
      <c r="C231" t="s">
        <v>49</v>
      </c>
      <c r="D231" t="s">
        <v>21</v>
      </c>
      <c r="E231" t="s">
        <v>30</v>
      </c>
      <c r="F231" t="s">
        <v>15</v>
      </c>
      <c r="G231">
        <v>7</v>
      </c>
      <c r="H231">
        <v>6</v>
      </c>
      <c r="I231">
        <v>0</v>
      </c>
      <c r="J231">
        <v>3.9</v>
      </c>
    </row>
    <row r="232" spans="1:10" x14ac:dyDescent="0.25">
      <c r="A232" t="s">
        <v>23</v>
      </c>
      <c r="B232" t="s">
        <v>56</v>
      </c>
      <c r="C232" t="s">
        <v>57</v>
      </c>
      <c r="D232" t="s">
        <v>22</v>
      </c>
      <c r="E232" t="s">
        <v>22</v>
      </c>
      <c r="F232" t="s">
        <v>19</v>
      </c>
      <c r="G232">
        <v>8</v>
      </c>
      <c r="H232">
        <v>7</v>
      </c>
      <c r="I232">
        <v>0</v>
      </c>
      <c r="J232">
        <v>2.7</v>
      </c>
    </row>
    <row r="233" spans="1:10" x14ac:dyDescent="0.25">
      <c r="A233" t="s">
        <v>20</v>
      </c>
      <c r="B233" t="s">
        <v>41</v>
      </c>
      <c r="C233" t="s">
        <v>42</v>
      </c>
      <c r="D233" t="s">
        <v>13</v>
      </c>
      <c r="E233" t="s">
        <v>18</v>
      </c>
      <c r="F233" t="s">
        <v>15</v>
      </c>
      <c r="G233">
        <v>5</v>
      </c>
      <c r="H233">
        <v>5</v>
      </c>
      <c r="I233">
        <v>1</v>
      </c>
      <c r="J233">
        <v>2.6</v>
      </c>
    </row>
    <row r="234" spans="1:10" x14ac:dyDescent="0.25">
      <c r="A234" t="s">
        <v>55</v>
      </c>
      <c r="B234" t="s">
        <v>48</v>
      </c>
      <c r="C234" t="s">
        <v>49</v>
      </c>
      <c r="D234" t="s">
        <v>26</v>
      </c>
      <c r="E234" t="s">
        <v>30</v>
      </c>
      <c r="F234" t="s">
        <v>19</v>
      </c>
      <c r="G234">
        <v>9</v>
      </c>
      <c r="H234">
        <v>9</v>
      </c>
      <c r="I234">
        <v>0</v>
      </c>
      <c r="J234">
        <v>4.2</v>
      </c>
    </row>
    <row r="235" spans="1:10" x14ac:dyDescent="0.25">
      <c r="A235" t="s">
        <v>23</v>
      </c>
      <c r="B235" t="s">
        <v>34</v>
      </c>
      <c r="C235" t="s">
        <v>51</v>
      </c>
      <c r="D235" t="s">
        <v>22</v>
      </c>
      <c r="E235" t="s">
        <v>30</v>
      </c>
      <c r="F235" t="s">
        <v>15</v>
      </c>
      <c r="G235">
        <v>5</v>
      </c>
      <c r="H235">
        <v>4</v>
      </c>
      <c r="I235">
        <v>0</v>
      </c>
      <c r="J235">
        <v>5.6</v>
      </c>
    </row>
    <row r="236" spans="1:10" x14ac:dyDescent="0.25">
      <c r="A236" t="s">
        <v>50</v>
      </c>
      <c r="B236" t="s">
        <v>56</v>
      </c>
      <c r="C236" t="s">
        <v>57</v>
      </c>
      <c r="D236" t="s">
        <v>13</v>
      </c>
      <c r="E236" t="s">
        <v>18</v>
      </c>
      <c r="F236" t="s">
        <v>15</v>
      </c>
      <c r="G236">
        <v>7</v>
      </c>
      <c r="H236">
        <v>7</v>
      </c>
      <c r="I236">
        <v>0</v>
      </c>
      <c r="J236">
        <v>3.8</v>
      </c>
    </row>
    <row r="237" spans="1:10" x14ac:dyDescent="0.25">
      <c r="A237" t="s">
        <v>55</v>
      </c>
      <c r="B237" t="s">
        <v>37</v>
      </c>
      <c r="C237" t="s">
        <v>38</v>
      </c>
      <c r="D237" t="s">
        <v>40</v>
      </c>
      <c r="E237" t="s">
        <v>53</v>
      </c>
      <c r="F237" t="s">
        <v>15</v>
      </c>
      <c r="G237">
        <v>2</v>
      </c>
      <c r="H237">
        <v>2</v>
      </c>
      <c r="I237">
        <v>0</v>
      </c>
      <c r="J237">
        <v>3.5</v>
      </c>
    </row>
    <row r="238" spans="1:10" x14ac:dyDescent="0.25">
      <c r="A238" t="s">
        <v>36</v>
      </c>
      <c r="B238" t="s">
        <v>41</v>
      </c>
      <c r="C238" t="s">
        <v>42</v>
      </c>
      <c r="D238" t="s">
        <v>13</v>
      </c>
      <c r="E238" t="s">
        <v>27</v>
      </c>
      <c r="F238" t="s">
        <v>15</v>
      </c>
      <c r="G238">
        <v>8</v>
      </c>
      <c r="H238">
        <v>7</v>
      </c>
      <c r="I238">
        <v>0</v>
      </c>
      <c r="J238">
        <v>2.5</v>
      </c>
    </row>
    <row r="239" spans="1:10" x14ac:dyDescent="0.25">
      <c r="A239" t="s">
        <v>55</v>
      </c>
      <c r="B239" t="s">
        <v>37</v>
      </c>
      <c r="C239" t="s">
        <v>38</v>
      </c>
      <c r="D239" t="s">
        <v>40</v>
      </c>
      <c r="E239" t="s">
        <v>22</v>
      </c>
      <c r="F239" t="s">
        <v>15</v>
      </c>
      <c r="G239">
        <v>5</v>
      </c>
      <c r="H239">
        <v>4</v>
      </c>
      <c r="I239">
        <v>0</v>
      </c>
      <c r="J239">
        <v>3.2</v>
      </c>
    </row>
    <row r="240" spans="1:10" x14ac:dyDescent="0.25">
      <c r="A240" t="s">
        <v>45</v>
      </c>
      <c r="B240" t="s">
        <v>28</v>
      </c>
      <c r="C240" t="s">
        <v>58</v>
      </c>
      <c r="D240" t="s">
        <v>40</v>
      </c>
      <c r="E240" t="s">
        <v>22</v>
      </c>
      <c r="F240" t="s">
        <v>19</v>
      </c>
      <c r="G240">
        <v>2</v>
      </c>
      <c r="H240">
        <v>2</v>
      </c>
      <c r="I240">
        <v>0</v>
      </c>
      <c r="J240">
        <v>3.7</v>
      </c>
    </row>
    <row r="241" spans="1:10" x14ac:dyDescent="0.25">
      <c r="A241" t="s">
        <v>36</v>
      </c>
      <c r="B241" t="s">
        <v>28</v>
      </c>
      <c r="C241" t="s">
        <v>29</v>
      </c>
      <c r="D241" t="s">
        <v>26</v>
      </c>
      <c r="E241" t="s">
        <v>22</v>
      </c>
      <c r="F241" t="s">
        <v>15</v>
      </c>
      <c r="G241">
        <v>5</v>
      </c>
      <c r="H241">
        <v>5</v>
      </c>
      <c r="I241">
        <v>0</v>
      </c>
      <c r="J241">
        <v>3.7</v>
      </c>
    </row>
    <row r="242" spans="1:10" x14ac:dyDescent="0.25">
      <c r="A242" t="s">
        <v>10</v>
      </c>
      <c r="B242" t="s">
        <v>46</v>
      </c>
      <c r="C242" t="s">
        <v>54</v>
      </c>
      <c r="D242" t="s">
        <v>40</v>
      </c>
      <c r="E242" t="s">
        <v>30</v>
      </c>
      <c r="F242" t="s">
        <v>15</v>
      </c>
      <c r="G242">
        <v>6</v>
      </c>
      <c r="H242">
        <v>5</v>
      </c>
      <c r="I242">
        <v>1</v>
      </c>
      <c r="J242">
        <v>3.7</v>
      </c>
    </row>
    <row r="243" spans="1:10" x14ac:dyDescent="0.25">
      <c r="A243" t="s">
        <v>23</v>
      </c>
      <c r="B243" t="s">
        <v>48</v>
      </c>
      <c r="C243" t="s">
        <v>63</v>
      </c>
      <c r="D243" t="s">
        <v>21</v>
      </c>
      <c r="E243" t="s">
        <v>22</v>
      </c>
      <c r="F243" t="s">
        <v>15</v>
      </c>
      <c r="G243">
        <v>4</v>
      </c>
      <c r="H243">
        <v>2</v>
      </c>
      <c r="I243">
        <v>0</v>
      </c>
      <c r="J243">
        <v>2.6</v>
      </c>
    </row>
    <row r="244" spans="1:10" x14ac:dyDescent="0.25">
      <c r="A244" t="s">
        <v>43</v>
      </c>
      <c r="B244" t="s">
        <v>46</v>
      </c>
      <c r="C244" t="s">
        <v>54</v>
      </c>
      <c r="D244" t="s">
        <v>40</v>
      </c>
      <c r="E244" t="s">
        <v>53</v>
      </c>
      <c r="F244" t="s">
        <v>15</v>
      </c>
      <c r="G244">
        <v>5</v>
      </c>
      <c r="H244">
        <v>5</v>
      </c>
      <c r="I244">
        <v>0</v>
      </c>
      <c r="J244">
        <v>1.1000000000000001</v>
      </c>
    </row>
    <row r="245" spans="1:10" x14ac:dyDescent="0.25">
      <c r="A245" t="s">
        <v>10</v>
      </c>
      <c r="B245" t="s">
        <v>16</v>
      </c>
      <c r="C245" t="s">
        <v>17</v>
      </c>
      <c r="D245" t="s">
        <v>13</v>
      </c>
      <c r="E245" t="s">
        <v>53</v>
      </c>
      <c r="F245" t="s">
        <v>19</v>
      </c>
      <c r="G245">
        <v>4</v>
      </c>
      <c r="H245">
        <v>3</v>
      </c>
      <c r="I245">
        <v>1</v>
      </c>
      <c r="J245">
        <v>2.7</v>
      </c>
    </row>
    <row r="246" spans="1:10" x14ac:dyDescent="0.25">
      <c r="A246" t="s">
        <v>36</v>
      </c>
      <c r="B246" t="s">
        <v>41</v>
      </c>
      <c r="C246" t="s">
        <v>44</v>
      </c>
      <c r="D246" t="s">
        <v>22</v>
      </c>
      <c r="E246" t="s">
        <v>30</v>
      </c>
      <c r="F246" t="s">
        <v>19</v>
      </c>
      <c r="G246">
        <v>4</v>
      </c>
      <c r="H246">
        <v>4</v>
      </c>
      <c r="I246">
        <v>0</v>
      </c>
      <c r="J246">
        <v>3.1</v>
      </c>
    </row>
    <row r="247" spans="1:10" x14ac:dyDescent="0.25">
      <c r="A247" t="s">
        <v>36</v>
      </c>
      <c r="B247" t="s">
        <v>56</v>
      </c>
      <c r="C247" t="s">
        <v>62</v>
      </c>
      <c r="D247" t="s">
        <v>21</v>
      </c>
      <c r="E247" t="s">
        <v>30</v>
      </c>
      <c r="F247" t="s">
        <v>19</v>
      </c>
      <c r="G247">
        <v>6</v>
      </c>
      <c r="H247">
        <v>6</v>
      </c>
      <c r="I247">
        <v>1</v>
      </c>
      <c r="J247">
        <v>2.5</v>
      </c>
    </row>
    <row r="248" spans="1:10" x14ac:dyDescent="0.25">
      <c r="A248" t="s">
        <v>55</v>
      </c>
      <c r="B248" t="s">
        <v>46</v>
      </c>
      <c r="C248" t="s">
        <v>47</v>
      </c>
      <c r="D248" t="s">
        <v>13</v>
      </c>
      <c r="E248" t="s">
        <v>30</v>
      </c>
      <c r="F248" t="s">
        <v>15</v>
      </c>
      <c r="G248">
        <v>8</v>
      </c>
      <c r="H248">
        <v>7</v>
      </c>
      <c r="I248">
        <v>1</v>
      </c>
      <c r="J248">
        <v>5.0999999999999996</v>
      </c>
    </row>
    <row r="249" spans="1:10" x14ac:dyDescent="0.25">
      <c r="A249" t="s">
        <v>50</v>
      </c>
      <c r="B249" t="s">
        <v>28</v>
      </c>
      <c r="C249" t="s">
        <v>58</v>
      </c>
      <c r="D249" t="s">
        <v>22</v>
      </c>
      <c r="E249" t="s">
        <v>53</v>
      </c>
      <c r="F249" t="s">
        <v>15</v>
      </c>
      <c r="G249">
        <v>5</v>
      </c>
      <c r="H249">
        <v>5</v>
      </c>
      <c r="I249">
        <v>0</v>
      </c>
      <c r="J249">
        <v>1.9</v>
      </c>
    </row>
    <row r="250" spans="1:10" x14ac:dyDescent="0.25">
      <c r="A250" t="s">
        <v>20</v>
      </c>
      <c r="B250" t="s">
        <v>24</v>
      </c>
      <c r="C250" t="s">
        <v>64</v>
      </c>
      <c r="D250" t="s">
        <v>26</v>
      </c>
      <c r="E250" t="s">
        <v>27</v>
      </c>
      <c r="F250" t="s">
        <v>15</v>
      </c>
      <c r="G250">
        <v>6</v>
      </c>
      <c r="H250">
        <v>6</v>
      </c>
      <c r="I250">
        <v>0</v>
      </c>
      <c r="J250">
        <v>2.4</v>
      </c>
    </row>
    <row r="251" spans="1:10" x14ac:dyDescent="0.25">
      <c r="A251" t="s">
        <v>20</v>
      </c>
      <c r="B251" t="s">
        <v>37</v>
      </c>
      <c r="C251" t="s">
        <v>39</v>
      </c>
      <c r="D251" t="s">
        <v>26</v>
      </c>
      <c r="E251" t="s">
        <v>53</v>
      </c>
      <c r="F251" t="s">
        <v>15</v>
      </c>
      <c r="G251">
        <v>4</v>
      </c>
      <c r="H251">
        <v>4</v>
      </c>
      <c r="I251">
        <v>0</v>
      </c>
      <c r="J251">
        <v>3</v>
      </c>
    </row>
    <row r="252" spans="1:10" x14ac:dyDescent="0.25">
      <c r="A252" t="s">
        <v>20</v>
      </c>
      <c r="B252" t="s">
        <v>11</v>
      </c>
      <c r="C252" t="s">
        <v>12</v>
      </c>
      <c r="D252" t="s">
        <v>21</v>
      </c>
      <c r="E252" t="s">
        <v>27</v>
      </c>
      <c r="F252" t="s">
        <v>19</v>
      </c>
      <c r="G252">
        <v>3</v>
      </c>
      <c r="H252">
        <v>3</v>
      </c>
      <c r="I252">
        <v>0</v>
      </c>
      <c r="J252">
        <v>4.0999999999999996</v>
      </c>
    </row>
    <row r="253" spans="1:10" x14ac:dyDescent="0.25">
      <c r="A253" t="s">
        <v>59</v>
      </c>
      <c r="B253" t="s">
        <v>37</v>
      </c>
      <c r="C253" t="s">
        <v>39</v>
      </c>
      <c r="D253" t="s">
        <v>40</v>
      </c>
      <c r="E253" t="s">
        <v>30</v>
      </c>
      <c r="F253" t="s">
        <v>19</v>
      </c>
      <c r="G253">
        <v>5</v>
      </c>
      <c r="H253">
        <v>4</v>
      </c>
      <c r="I253">
        <v>0</v>
      </c>
      <c r="J253">
        <v>2.4</v>
      </c>
    </row>
    <row r="254" spans="1:10" x14ac:dyDescent="0.25">
      <c r="A254" t="s">
        <v>36</v>
      </c>
      <c r="B254" t="s">
        <v>28</v>
      </c>
      <c r="C254" t="s">
        <v>58</v>
      </c>
      <c r="D254" t="s">
        <v>26</v>
      </c>
      <c r="E254" t="s">
        <v>30</v>
      </c>
      <c r="F254" t="s">
        <v>15</v>
      </c>
      <c r="G254">
        <v>7</v>
      </c>
      <c r="H254">
        <v>7</v>
      </c>
      <c r="I254">
        <v>0</v>
      </c>
      <c r="J254">
        <v>3.8</v>
      </c>
    </row>
    <row r="255" spans="1:10" x14ac:dyDescent="0.25">
      <c r="A255" t="s">
        <v>55</v>
      </c>
      <c r="B255" t="s">
        <v>37</v>
      </c>
      <c r="C255" t="s">
        <v>39</v>
      </c>
      <c r="D255" t="s">
        <v>21</v>
      </c>
      <c r="E255" t="s">
        <v>14</v>
      </c>
      <c r="F255" t="s">
        <v>19</v>
      </c>
      <c r="G255">
        <v>6</v>
      </c>
      <c r="H255">
        <v>5</v>
      </c>
      <c r="I255">
        <v>0</v>
      </c>
      <c r="J255">
        <v>2.8</v>
      </c>
    </row>
    <row r="256" spans="1:10" x14ac:dyDescent="0.25">
      <c r="A256" t="s">
        <v>36</v>
      </c>
      <c r="B256" t="s">
        <v>24</v>
      </c>
      <c r="C256" t="s">
        <v>25</v>
      </c>
      <c r="D256" t="s">
        <v>13</v>
      </c>
      <c r="E256" t="s">
        <v>27</v>
      </c>
      <c r="F256" t="s">
        <v>19</v>
      </c>
      <c r="G256">
        <v>3</v>
      </c>
      <c r="H256">
        <v>3</v>
      </c>
      <c r="I256">
        <v>0</v>
      </c>
      <c r="J256">
        <v>0.8</v>
      </c>
    </row>
    <row r="257" spans="1:10" x14ac:dyDescent="0.25">
      <c r="A257" t="s">
        <v>43</v>
      </c>
      <c r="B257" t="s">
        <v>41</v>
      </c>
      <c r="C257" t="s">
        <v>44</v>
      </c>
      <c r="D257" t="s">
        <v>26</v>
      </c>
      <c r="E257" t="s">
        <v>18</v>
      </c>
      <c r="F257" t="s">
        <v>15</v>
      </c>
      <c r="G257">
        <v>3</v>
      </c>
      <c r="H257">
        <v>3</v>
      </c>
      <c r="I257">
        <v>0</v>
      </c>
      <c r="J257">
        <v>2.2999999999999998</v>
      </c>
    </row>
    <row r="258" spans="1:10" x14ac:dyDescent="0.25">
      <c r="A258" t="s">
        <v>43</v>
      </c>
      <c r="B258" t="s">
        <v>56</v>
      </c>
      <c r="C258" t="s">
        <v>62</v>
      </c>
      <c r="D258" t="s">
        <v>26</v>
      </c>
      <c r="E258" t="s">
        <v>27</v>
      </c>
      <c r="F258" t="s">
        <v>19</v>
      </c>
      <c r="G258">
        <v>5</v>
      </c>
      <c r="H258">
        <v>4</v>
      </c>
      <c r="I258">
        <v>1</v>
      </c>
      <c r="J258">
        <v>4</v>
      </c>
    </row>
    <row r="259" spans="1:10" x14ac:dyDescent="0.25">
      <c r="A259" t="s">
        <v>55</v>
      </c>
      <c r="B259" t="s">
        <v>37</v>
      </c>
      <c r="C259" t="s">
        <v>39</v>
      </c>
      <c r="D259" t="s">
        <v>32</v>
      </c>
      <c r="E259" t="s">
        <v>22</v>
      </c>
      <c r="F259" t="s">
        <v>19</v>
      </c>
      <c r="G259">
        <v>3</v>
      </c>
      <c r="H259">
        <v>3</v>
      </c>
      <c r="I259">
        <v>0</v>
      </c>
      <c r="J259">
        <v>3.3</v>
      </c>
    </row>
    <row r="260" spans="1:10" x14ac:dyDescent="0.25">
      <c r="A260" t="s">
        <v>45</v>
      </c>
      <c r="B260" t="s">
        <v>34</v>
      </c>
      <c r="C260" t="s">
        <v>51</v>
      </c>
      <c r="D260" t="s">
        <v>40</v>
      </c>
      <c r="E260" t="s">
        <v>30</v>
      </c>
      <c r="F260" t="s">
        <v>19</v>
      </c>
      <c r="G260">
        <v>1</v>
      </c>
      <c r="H260">
        <v>1</v>
      </c>
      <c r="I260">
        <v>0</v>
      </c>
      <c r="J260">
        <v>2.5</v>
      </c>
    </row>
    <row r="261" spans="1:10" x14ac:dyDescent="0.25">
      <c r="A261" t="s">
        <v>50</v>
      </c>
      <c r="B261" t="s">
        <v>37</v>
      </c>
      <c r="C261" t="s">
        <v>39</v>
      </c>
      <c r="D261" t="s">
        <v>32</v>
      </c>
      <c r="E261" t="s">
        <v>14</v>
      </c>
      <c r="F261" t="s">
        <v>19</v>
      </c>
      <c r="G261">
        <v>6</v>
      </c>
      <c r="H261">
        <v>6</v>
      </c>
      <c r="I261">
        <v>0</v>
      </c>
      <c r="J261">
        <v>3.1</v>
      </c>
    </row>
    <row r="262" spans="1:10" x14ac:dyDescent="0.25">
      <c r="A262" t="s">
        <v>59</v>
      </c>
      <c r="B262" t="s">
        <v>37</v>
      </c>
      <c r="C262" t="s">
        <v>39</v>
      </c>
      <c r="D262" t="s">
        <v>26</v>
      </c>
      <c r="E262" t="s">
        <v>22</v>
      </c>
      <c r="F262" t="s">
        <v>15</v>
      </c>
      <c r="G262">
        <v>8</v>
      </c>
      <c r="H262">
        <v>8</v>
      </c>
      <c r="I262">
        <v>0</v>
      </c>
      <c r="J262">
        <v>4.3</v>
      </c>
    </row>
    <row r="263" spans="1:10" x14ac:dyDescent="0.25">
      <c r="A263" t="s">
        <v>20</v>
      </c>
      <c r="B263" t="s">
        <v>56</v>
      </c>
      <c r="C263" t="s">
        <v>62</v>
      </c>
      <c r="D263" t="s">
        <v>26</v>
      </c>
      <c r="E263" t="s">
        <v>27</v>
      </c>
      <c r="F263" t="s">
        <v>15</v>
      </c>
      <c r="G263">
        <v>5</v>
      </c>
      <c r="H263">
        <v>4</v>
      </c>
      <c r="I263">
        <v>0</v>
      </c>
      <c r="J263">
        <v>1.3</v>
      </c>
    </row>
    <row r="264" spans="1:10" x14ac:dyDescent="0.25">
      <c r="A264" t="s">
        <v>61</v>
      </c>
      <c r="B264" t="s">
        <v>37</v>
      </c>
      <c r="C264" t="s">
        <v>39</v>
      </c>
      <c r="D264" t="s">
        <v>13</v>
      </c>
      <c r="E264" t="s">
        <v>22</v>
      </c>
      <c r="F264" t="s">
        <v>15</v>
      </c>
      <c r="G264">
        <v>1</v>
      </c>
      <c r="H264">
        <v>1</v>
      </c>
      <c r="I264">
        <v>0</v>
      </c>
      <c r="J264">
        <v>2.4</v>
      </c>
    </row>
    <row r="265" spans="1:10" x14ac:dyDescent="0.25">
      <c r="A265" t="s">
        <v>33</v>
      </c>
      <c r="B265" t="s">
        <v>41</v>
      </c>
      <c r="C265" t="s">
        <v>42</v>
      </c>
      <c r="D265" t="s">
        <v>40</v>
      </c>
      <c r="E265" t="s">
        <v>22</v>
      </c>
      <c r="F265" t="s">
        <v>19</v>
      </c>
      <c r="G265">
        <v>5</v>
      </c>
      <c r="H265">
        <v>3</v>
      </c>
      <c r="I265">
        <v>0</v>
      </c>
      <c r="J265">
        <v>2.8</v>
      </c>
    </row>
    <row r="266" spans="1:10" x14ac:dyDescent="0.25">
      <c r="A266" t="s">
        <v>31</v>
      </c>
      <c r="B266" t="s">
        <v>41</v>
      </c>
      <c r="C266" t="s">
        <v>44</v>
      </c>
      <c r="D266" t="s">
        <v>32</v>
      </c>
      <c r="E266" t="s">
        <v>30</v>
      </c>
      <c r="F266" t="s">
        <v>19</v>
      </c>
      <c r="G266">
        <v>3</v>
      </c>
      <c r="H266">
        <v>3</v>
      </c>
      <c r="I266">
        <v>1</v>
      </c>
      <c r="J266">
        <v>2.6</v>
      </c>
    </row>
    <row r="267" spans="1:10" x14ac:dyDescent="0.25">
      <c r="A267" t="s">
        <v>43</v>
      </c>
      <c r="B267" t="s">
        <v>41</v>
      </c>
      <c r="C267" t="s">
        <v>44</v>
      </c>
      <c r="D267" t="s">
        <v>22</v>
      </c>
      <c r="E267" t="s">
        <v>18</v>
      </c>
      <c r="F267" t="s">
        <v>15</v>
      </c>
      <c r="G267">
        <v>2</v>
      </c>
      <c r="H267">
        <v>2</v>
      </c>
      <c r="I267">
        <v>0</v>
      </c>
      <c r="J267">
        <v>2.9</v>
      </c>
    </row>
    <row r="268" spans="1:10" x14ac:dyDescent="0.25">
      <c r="A268" t="s">
        <v>59</v>
      </c>
      <c r="B268" t="s">
        <v>46</v>
      </c>
      <c r="C268" t="s">
        <v>54</v>
      </c>
      <c r="D268" t="s">
        <v>26</v>
      </c>
      <c r="E268" t="s">
        <v>30</v>
      </c>
      <c r="F268" t="s">
        <v>15</v>
      </c>
      <c r="G268">
        <v>5</v>
      </c>
      <c r="H268">
        <v>4</v>
      </c>
      <c r="I268">
        <v>0</v>
      </c>
      <c r="J268">
        <v>1.5</v>
      </c>
    </row>
    <row r="269" spans="1:10" x14ac:dyDescent="0.25">
      <c r="A269" t="s">
        <v>55</v>
      </c>
      <c r="B269" t="s">
        <v>24</v>
      </c>
      <c r="C269" t="s">
        <v>25</v>
      </c>
      <c r="D269" t="s">
        <v>26</v>
      </c>
      <c r="E269" t="s">
        <v>18</v>
      </c>
      <c r="F269" t="s">
        <v>19</v>
      </c>
      <c r="G269">
        <v>5</v>
      </c>
      <c r="H269">
        <v>4</v>
      </c>
      <c r="I269">
        <v>0</v>
      </c>
      <c r="J269">
        <v>1.5</v>
      </c>
    </row>
    <row r="270" spans="1:10" x14ac:dyDescent="0.25">
      <c r="A270" t="s">
        <v>31</v>
      </c>
      <c r="B270" t="s">
        <v>24</v>
      </c>
      <c r="C270" t="s">
        <v>25</v>
      </c>
      <c r="D270" t="s">
        <v>40</v>
      </c>
      <c r="E270" t="s">
        <v>14</v>
      </c>
      <c r="F270" t="s">
        <v>19</v>
      </c>
      <c r="G270">
        <v>3</v>
      </c>
      <c r="H270">
        <v>3</v>
      </c>
      <c r="I270">
        <v>0</v>
      </c>
      <c r="J270">
        <v>3.1</v>
      </c>
    </row>
    <row r="271" spans="1:10" x14ac:dyDescent="0.25">
      <c r="A271" t="s">
        <v>36</v>
      </c>
      <c r="B271" t="s">
        <v>16</v>
      </c>
      <c r="C271" t="s">
        <v>60</v>
      </c>
      <c r="D271" t="s">
        <v>13</v>
      </c>
      <c r="E271" t="s">
        <v>27</v>
      </c>
      <c r="F271" t="s">
        <v>15</v>
      </c>
      <c r="G271">
        <v>5</v>
      </c>
      <c r="H271">
        <v>5</v>
      </c>
      <c r="I271">
        <v>2</v>
      </c>
      <c r="J271">
        <v>3.5</v>
      </c>
    </row>
    <row r="272" spans="1:10" x14ac:dyDescent="0.25">
      <c r="A272" t="s">
        <v>20</v>
      </c>
      <c r="B272" t="s">
        <v>37</v>
      </c>
      <c r="C272" t="s">
        <v>38</v>
      </c>
      <c r="D272" t="s">
        <v>40</v>
      </c>
      <c r="E272" t="s">
        <v>53</v>
      </c>
      <c r="F272" t="s">
        <v>19</v>
      </c>
      <c r="G272">
        <v>6</v>
      </c>
      <c r="H272">
        <v>6</v>
      </c>
      <c r="I272">
        <v>0</v>
      </c>
      <c r="J272">
        <v>3.3</v>
      </c>
    </row>
    <row r="273" spans="1:10" x14ac:dyDescent="0.25">
      <c r="A273" t="s">
        <v>10</v>
      </c>
      <c r="B273" t="s">
        <v>56</v>
      </c>
      <c r="C273" t="s">
        <v>57</v>
      </c>
      <c r="D273" t="s">
        <v>13</v>
      </c>
      <c r="E273" t="s">
        <v>22</v>
      </c>
      <c r="F273" t="s">
        <v>15</v>
      </c>
      <c r="G273">
        <v>4</v>
      </c>
      <c r="H273">
        <v>3</v>
      </c>
      <c r="I273">
        <v>0</v>
      </c>
      <c r="J273">
        <v>3.5</v>
      </c>
    </row>
    <row r="274" spans="1:10" x14ac:dyDescent="0.25">
      <c r="A274" t="s">
        <v>61</v>
      </c>
      <c r="B274" t="s">
        <v>46</v>
      </c>
      <c r="C274" t="s">
        <v>54</v>
      </c>
      <c r="D274" t="s">
        <v>13</v>
      </c>
      <c r="E274" t="s">
        <v>22</v>
      </c>
      <c r="F274" t="s">
        <v>19</v>
      </c>
      <c r="G274">
        <v>8</v>
      </c>
      <c r="H274">
        <v>8</v>
      </c>
      <c r="I274">
        <v>0</v>
      </c>
      <c r="J274">
        <v>2.4</v>
      </c>
    </row>
    <row r="275" spans="1:10" x14ac:dyDescent="0.25">
      <c r="A275" t="s">
        <v>10</v>
      </c>
      <c r="B275" t="s">
        <v>34</v>
      </c>
      <c r="C275" t="s">
        <v>51</v>
      </c>
      <c r="D275" t="s">
        <v>40</v>
      </c>
      <c r="E275" t="s">
        <v>53</v>
      </c>
      <c r="F275" t="s">
        <v>15</v>
      </c>
      <c r="G275">
        <v>10</v>
      </c>
      <c r="H275">
        <v>10</v>
      </c>
      <c r="I275">
        <v>1</v>
      </c>
      <c r="J275">
        <v>4.4000000000000004</v>
      </c>
    </row>
    <row r="276" spans="1:10" x14ac:dyDescent="0.25">
      <c r="A276" t="s">
        <v>10</v>
      </c>
      <c r="B276" t="s">
        <v>34</v>
      </c>
      <c r="C276" t="s">
        <v>35</v>
      </c>
      <c r="D276" t="s">
        <v>21</v>
      </c>
      <c r="E276" t="s">
        <v>27</v>
      </c>
      <c r="F276" t="s">
        <v>19</v>
      </c>
      <c r="G276">
        <v>6</v>
      </c>
      <c r="H276">
        <v>5</v>
      </c>
      <c r="I276">
        <v>1</v>
      </c>
      <c r="J276">
        <v>3</v>
      </c>
    </row>
    <row r="277" spans="1:10" x14ac:dyDescent="0.25">
      <c r="A277" t="s">
        <v>36</v>
      </c>
      <c r="B277" t="s">
        <v>28</v>
      </c>
      <c r="C277" t="s">
        <v>29</v>
      </c>
      <c r="D277" t="s">
        <v>26</v>
      </c>
      <c r="E277" t="s">
        <v>53</v>
      </c>
      <c r="F277" t="s">
        <v>19</v>
      </c>
      <c r="G277">
        <v>5</v>
      </c>
      <c r="H277">
        <v>4</v>
      </c>
      <c r="I277">
        <v>0</v>
      </c>
      <c r="J277">
        <v>2.6</v>
      </c>
    </row>
    <row r="278" spans="1:10" x14ac:dyDescent="0.25">
      <c r="A278" t="s">
        <v>10</v>
      </c>
      <c r="B278" t="s">
        <v>11</v>
      </c>
      <c r="C278" t="s">
        <v>52</v>
      </c>
      <c r="D278" t="s">
        <v>21</v>
      </c>
      <c r="E278" t="s">
        <v>18</v>
      </c>
      <c r="F278" t="s">
        <v>15</v>
      </c>
      <c r="G278">
        <v>2</v>
      </c>
      <c r="H278">
        <v>0</v>
      </c>
      <c r="I278">
        <v>0</v>
      </c>
      <c r="J278">
        <v>2.5</v>
      </c>
    </row>
    <row r="279" spans="1:10" x14ac:dyDescent="0.25">
      <c r="A279" t="s">
        <v>33</v>
      </c>
      <c r="B279" t="s">
        <v>11</v>
      </c>
      <c r="C279" t="s">
        <v>52</v>
      </c>
      <c r="D279" t="s">
        <v>40</v>
      </c>
      <c r="E279" t="s">
        <v>27</v>
      </c>
      <c r="F279" t="s">
        <v>15</v>
      </c>
      <c r="G279">
        <v>3</v>
      </c>
      <c r="H279">
        <v>3</v>
      </c>
      <c r="I279">
        <v>0</v>
      </c>
      <c r="J279">
        <v>3.9</v>
      </c>
    </row>
    <row r="280" spans="1:10" x14ac:dyDescent="0.25">
      <c r="A280" t="s">
        <v>43</v>
      </c>
      <c r="B280" t="s">
        <v>24</v>
      </c>
      <c r="C280" t="s">
        <v>64</v>
      </c>
      <c r="D280" t="s">
        <v>13</v>
      </c>
      <c r="E280" t="s">
        <v>53</v>
      </c>
      <c r="F280" t="s">
        <v>15</v>
      </c>
      <c r="G280">
        <v>7</v>
      </c>
      <c r="H280">
        <v>7</v>
      </c>
      <c r="I280">
        <v>0</v>
      </c>
      <c r="J280">
        <v>2.8</v>
      </c>
    </row>
    <row r="281" spans="1:10" x14ac:dyDescent="0.25">
      <c r="A281" t="s">
        <v>20</v>
      </c>
      <c r="B281" t="s">
        <v>48</v>
      </c>
      <c r="C281" t="s">
        <v>49</v>
      </c>
      <c r="D281" t="s">
        <v>22</v>
      </c>
      <c r="E281" t="s">
        <v>30</v>
      </c>
      <c r="F281" t="s">
        <v>15</v>
      </c>
      <c r="G281">
        <v>3</v>
      </c>
      <c r="H281">
        <v>2</v>
      </c>
      <c r="I281">
        <v>0</v>
      </c>
      <c r="J281">
        <v>2.5</v>
      </c>
    </row>
    <row r="282" spans="1:10" x14ac:dyDescent="0.25">
      <c r="A282" t="s">
        <v>10</v>
      </c>
      <c r="B282" t="s">
        <v>11</v>
      </c>
      <c r="C282" t="s">
        <v>12</v>
      </c>
      <c r="D282" t="s">
        <v>21</v>
      </c>
      <c r="E282" t="s">
        <v>53</v>
      </c>
      <c r="F282" t="s">
        <v>15</v>
      </c>
      <c r="G282">
        <v>4</v>
      </c>
      <c r="H282">
        <v>4</v>
      </c>
      <c r="I282">
        <v>0</v>
      </c>
      <c r="J282">
        <v>1.4</v>
      </c>
    </row>
    <row r="283" spans="1:10" x14ac:dyDescent="0.25">
      <c r="A283" t="s">
        <v>55</v>
      </c>
      <c r="B283" t="s">
        <v>34</v>
      </c>
      <c r="C283" t="s">
        <v>51</v>
      </c>
      <c r="D283" t="s">
        <v>22</v>
      </c>
      <c r="E283" t="s">
        <v>22</v>
      </c>
      <c r="F283" t="s">
        <v>15</v>
      </c>
      <c r="G283">
        <v>6</v>
      </c>
      <c r="H283">
        <v>6</v>
      </c>
      <c r="I283">
        <v>0</v>
      </c>
      <c r="J283">
        <v>2.2000000000000002</v>
      </c>
    </row>
    <row r="284" spans="1:10" x14ac:dyDescent="0.25">
      <c r="A284" t="s">
        <v>10</v>
      </c>
      <c r="B284" t="s">
        <v>28</v>
      </c>
      <c r="C284" t="s">
        <v>58</v>
      </c>
      <c r="D284" t="s">
        <v>26</v>
      </c>
      <c r="E284" t="s">
        <v>30</v>
      </c>
      <c r="F284" t="s">
        <v>19</v>
      </c>
      <c r="G284">
        <v>7</v>
      </c>
      <c r="H284">
        <v>7</v>
      </c>
      <c r="I284">
        <v>0</v>
      </c>
      <c r="J284">
        <v>2.4</v>
      </c>
    </row>
    <row r="285" spans="1:10" x14ac:dyDescent="0.25">
      <c r="A285" t="s">
        <v>33</v>
      </c>
      <c r="B285" t="s">
        <v>41</v>
      </c>
      <c r="C285" t="s">
        <v>44</v>
      </c>
      <c r="D285" t="s">
        <v>22</v>
      </c>
      <c r="E285" t="s">
        <v>14</v>
      </c>
      <c r="F285" t="s">
        <v>15</v>
      </c>
      <c r="G285">
        <v>7</v>
      </c>
      <c r="H285">
        <v>6</v>
      </c>
      <c r="I285">
        <v>0</v>
      </c>
      <c r="J285">
        <v>3.2</v>
      </c>
    </row>
    <row r="286" spans="1:10" x14ac:dyDescent="0.25">
      <c r="A286" t="s">
        <v>45</v>
      </c>
      <c r="B286" t="s">
        <v>46</v>
      </c>
      <c r="C286" t="s">
        <v>47</v>
      </c>
      <c r="D286" t="s">
        <v>26</v>
      </c>
      <c r="E286" t="s">
        <v>18</v>
      </c>
      <c r="F286" t="s">
        <v>15</v>
      </c>
      <c r="G286">
        <v>4</v>
      </c>
      <c r="H286">
        <v>3</v>
      </c>
      <c r="I286">
        <v>0</v>
      </c>
      <c r="J286">
        <v>3</v>
      </c>
    </row>
    <row r="287" spans="1:10" x14ac:dyDescent="0.25">
      <c r="A287" t="s">
        <v>20</v>
      </c>
      <c r="B287" t="s">
        <v>48</v>
      </c>
      <c r="C287" t="s">
        <v>63</v>
      </c>
      <c r="D287" t="s">
        <v>13</v>
      </c>
      <c r="E287" t="s">
        <v>22</v>
      </c>
      <c r="F287" t="s">
        <v>15</v>
      </c>
      <c r="G287">
        <v>3</v>
      </c>
      <c r="H287">
        <v>2</v>
      </c>
      <c r="I287">
        <v>0</v>
      </c>
      <c r="J287">
        <v>3</v>
      </c>
    </row>
    <row r="288" spans="1:10" x14ac:dyDescent="0.25">
      <c r="A288" t="s">
        <v>31</v>
      </c>
      <c r="B288" t="s">
        <v>37</v>
      </c>
      <c r="C288" t="s">
        <v>38</v>
      </c>
      <c r="D288" t="s">
        <v>13</v>
      </c>
      <c r="E288" t="s">
        <v>53</v>
      </c>
      <c r="F288" t="s">
        <v>19</v>
      </c>
      <c r="G288">
        <v>3</v>
      </c>
      <c r="H288">
        <v>3</v>
      </c>
      <c r="I288">
        <v>0</v>
      </c>
      <c r="J288">
        <v>2.5</v>
      </c>
    </row>
    <row r="289" spans="1:10" x14ac:dyDescent="0.25">
      <c r="A289" t="s">
        <v>55</v>
      </c>
      <c r="B289" t="s">
        <v>37</v>
      </c>
      <c r="C289" t="s">
        <v>38</v>
      </c>
      <c r="D289" t="s">
        <v>21</v>
      </c>
      <c r="E289" t="s">
        <v>22</v>
      </c>
      <c r="F289" t="s">
        <v>19</v>
      </c>
      <c r="G289">
        <v>7</v>
      </c>
      <c r="H289">
        <v>6</v>
      </c>
      <c r="I289">
        <v>0</v>
      </c>
      <c r="J289">
        <v>3.9</v>
      </c>
    </row>
    <row r="290" spans="1:10" x14ac:dyDescent="0.25">
      <c r="A290" t="s">
        <v>59</v>
      </c>
      <c r="B290" t="s">
        <v>24</v>
      </c>
      <c r="C290" t="s">
        <v>25</v>
      </c>
      <c r="D290" t="s">
        <v>21</v>
      </c>
      <c r="E290" t="s">
        <v>18</v>
      </c>
      <c r="F290" t="s">
        <v>15</v>
      </c>
      <c r="G290">
        <v>2</v>
      </c>
      <c r="H290">
        <v>2</v>
      </c>
      <c r="I290">
        <v>0</v>
      </c>
      <c r="J290">
        <v>3.2</v>
      </c>
    </row>
    <row r="291" spans="1:10" x14ac:dyDescent="0.25">
      <c r="A291" t="s">
        <v>61</v>
      </c>
      <c r="B291" t="s">
        <v>24</v>
      </c>
      <c r="C291" t="s">
        <v>64</v>
      </c>
      <c r="D291" t="s">
        <v>40</v>
      </c>
      <c r="E291" t="s">
        <v>53</v>
      </c>
      <c r="F291" t="s">
        <v>19</v>
      </c>
      <c r="G291">
        <v>7</v>
      </c>
      <c r="H291">
        <v>7</v>
      </c>
      <c r="I291">
        <v>2</v>
      </c>
      <c r="J291">
        <v>3.1</v>
      </c>
    </row>
    <row r="292" spans="1:10" x14ac:dyDescent="0.25">
      <c r="A292" t="s">
        <v>43</v>
      </c>
      <c r="B292" t="s">
        <v>16</v>
      </c>
      <c r="C292" t="s">
        <v>17</v>
      </c>
      <c r="D292" t="s">
        <v>26</v>
      </c>
      <c r="E292" t="s">
        <v>27</v>
      </c>
      <c r="F292" t="s">
        <v>15</v>
      </c>
      <c r="G292">
        <v>5</v>
      </c>
      <c r="H292">
        <v>5</v>
      </c>
      <c r="I292">
        <v>0</v>
      </c>
      <c r="J292">
        <v>4.2</v>
      </c>
    </row>
    <row r="293" spans="1:10" x14ac:dyDescent="0.25">
      <c r="A293" t="s">
        <v>20</v>
      </c>
      <c r="B293" t="s">
        <v>48</v>
      </c>
      <c r="C293" t="s">
        <v>63</v>
      </c>
      <c r="D293" t="s">
        <v>13</v>
      </c>
      <c r="E293" t="s">
        <v>14</v>
      </c>
      <c r="F293" t="s">
        <v>19</v>
      </c>
      <c r="G293">
        <v>7</v>
      </c>
      <c r="H293">
        <v>7</v>
      </c>
      <c r="I293">
        <v>0</v>
      </c>
      <c r="J293">
        <v>2.7</v>
      </c>
    </row>
    <row r="294" spans="1:10" x14ac:dyDescent="0.25">
      <c r="A294" t="s">
        <v>20</v>
      </c>
      <c r="B294" t="s">
        <v>41</v>
      </c>
      <c r="C294" t="s">
        <v>44</v>
      </c>
      <c r="D294" t="s">
        <v>26</v>
      </c>
      <c r="E294" t="s">
        <v>14</v>
      </c>
      <c r="F294" t="s">
        <v>19</v>
      </c>
      <c r="G294">
        <v>6</v>
      </c>
      <c r="H294">
        <v>4</v>
      </c>
      <c r="I294">
        <v>0</v>
      </c>
      <c r="J294">
        <v>2.5</v>
      </c>
    </row>
    <row r="295" spans="1:10" x14ac:dyDescent="0.25">
      <c r="A295" t="s">
        <v>10</v>
      </c>
      <c r="B295" t="s">
        <v>48</v>
      </c>
      <c r="C295" t="s">
        <v>49</v>
      </c>
      <c r="D295" t="s">
        <v>40</v>
      </c>
      <c r="E295" t="s">
        <v>22</v>
      </c>
      <c r="F295" t="s">
        <v>19</v>
      </c>
      <c r="G295">
        <v>4</v>
      </c>
      <c r="H295">
        <v>4</v>
      </c>
      <c r="I295">
        <v>0</v>
      </c>
      <c r="J295">
        <v>2.8</v>
      </c>
    </row>
    <row r="296" spans="1:10" x14ac:dyDescent="0.25">
      <c r="A296" t="s">
        <v>50</v>
      </c>
      <c r="B296" t="s">
        <v>56</v>
      </c>
      <c r="C296" t="s">
        <v>62</v>
      </c>
      <c r="D296" t="s">
        <v>21</v>
      </c>
      <c r="E296" t="s">
        <v>18</v>
      </c>
      <c r="F296" t="s">
        <v>15</v>
      </c>
      <c r="G296">
        <v>1</v>
      </c>
      <c r="H296">
        <v>1</v>
      </c>
      <c r="I296">
        <v>0</v>
      </c>
      <c r="J296">
        <v>3.8</v>
      </c>
    </row>
    <row r="297" spans="1:10" x14ac:dyDescent="0.25">
      <c r="A297" t="s">
        <v>50</v>
      </c>
      <c r="B297" t="s">
        <v>37</v>
      </c>
      <c r="C297" t="s">
        <v>38</v>
      </c>
      <c r="D297" t="s">
        <v>40</v>
      </c>
      <c r="E297" t="s">
        <v>22</v>
      </c>
      <c r="F297" t="s">
        <v>15</v>
      </c>
      <c r="G297">
        <v>1</v>
      </c>
      <c r="H297">
        <v>1</v>
      </c>
      <c r="I297">
        <v>1</v>
      </c>
      <c r="J297">
        <v>0.6</v>
      </c>
    </row>
    <row r="298" spans="1:10" x14ac:dyDescent="0.25">
      <c r="A298" t="s">
        <v>50</v>
      </c>
      <c r="B298" t="s">
        <v>46</v>
      </c>
      <c r="C298" t="s">
        <v>54</v>
      </c>
      <c r="D298" t="s">
        <v>22</v>
      </c>
      <c r="E298" t="s">
        <v>14</v>
      </c>
      <c r="F298" t="s">
        <v>19</v>
      </c>
      <c r="G298">
        <v>7</v>
      </c>
      <c r="H298">
        <v>7</v>
      </c>
      <c r="I298">
        <v>1</v>
      </c>
      <c r="J298">
        <v>2.8</v>
      </c>
    </row>
    <row r="299" spans="1:10" x14ac:dyDescent="0.25">
      <c r="A299" t="s">
        <v>33</v>
      </c>
      <c r="B299" t="s">
        <v>24</v>
      </c>
      <c r="C299" t="s">
        <v>25</v>
      </c>
      <c r="D299" t="s">
        <v>13</v>
      </c>
      <c r="E299" t="s">
        <v>53</v>
      </c>
      <c r="F299" t="s">
        <v>15</v>
      </c>
      <c r="G299">
        <v>1</v>
      </c>
      <c r="H299">
        <v>1</v>
      </c>
      <c r="I299">
        <v>0</v>
      </c>
      <c r="J299">
        <v>3.2</v>
      </c>
    </row>
    <row r="300" spans="1:10" x14ac:dyDescent="0.25">
      <c r="A300" t="s">
        <v>33</v>
      </c>
      <c r="B300" t="s">
        <v>16</v>
      </c>
      <c r="C300" t="s">
        <v>17</v>
      </c>
      <c r="D300" t="s">
        <v>13</v>
      </c>
      <c r="E300" t="s">
        <v>18</v>
      </c>
      <c r="F300" t="s">
        <v>19</v>
      </c>
      <c r="G300">
        <v>3</v>
      </c>
      <c r="H300">
        <v>3</v>
      </c>
      <c r="I300">
        <v>0</v>
      </c>
      <c r="J300">
        <v>3.7</v>
      </c>
    </row>
    <row r="301" spans="1:10" x14ac:dyDescent="0.25">
      <c r="A301" t="s">
        <v>55</v>
      </c>
      <c r="B301" t="s">
        <v>46</v>
      </c>
      <c r="C301" t="s">
        <v>47</v>
      </c>
      <c r="D301" t="s">
        <v>22</v>
      </c>
      <c r="E301" t="s">
        <v>22</v>
      </c>
      <c r="F301" t="s">
        <v>19</v>
      </c>
      <c r="G301">
        <v>3</v>
      </c>
      <c r="H301">
        <v>3</v>
      </c>
      <c r="I301">
        <v>0</v>
      </c>
      <c r="J301">
        <v>3.7</v>
      </c>
    </row>
    <row r="302" spans="1:10" x14ac:dyDescent="0.25">
      <c r="A302" t="s">
        <v>45</v>
      </c>
      <c r="B302" t="s">
        <v>37</v>
      </c>
      <c r="C302" t="s">
        <v>39</v>
      </c>
      <c r="D302" t="s">
        <v>21</v>
      </c>
      <c r="E302" t="s">
        <v>27</v>
      </c>
      <c r="F302" t="s">
        <v>19</v>
      </c>
      <c r="G302">
        <v>8</v>
      </c>
      <c r="H302">
        <v>5</v>
      </c>
      <c r="I302">
        <v>0</v>
      </c>
      <c r="J302">
        <v>1.7</v>
      </c>
    </row>
    <row r="303" spans="1:10" x14ac:dyDescent="0.25">
      <c r="A303" t="s">
        <v>61</v>
      </c>
      <c r="B303" t="s">
        <v>24</v>
      </c>
      <c r="C303" t="s">
        <v>64</v>
      </c>
      <c r="D303" t="s">
        <v>13</v>
      </c>
      <c r="E303" t="s">
        <v>14</v>
      </c>
      <c r="F303" t="s">
        <v>15</v>
      </c>
      <c r="G303">
        <v>5</v>
      </c>
      <c r="H303">
        <v>4</v>
      </c>
      <c r="I303">
        <v>0</v>
      </c>
      <c r="J303">
        <v>2.4</v>
      </c>
    </row>
    <row r="304" spans="1:10" x14ac:dyDescent="0.25">
      <c r="A304" t="s">
        <v>45</v>
      </c>
      <c r="B304" t="s">
        <v>48</v>
      </c>
      <c r="C304" t="s">
        <v>49</v>
      </c>
      <c r="D304" t="s">
        <v>22</v>
      </c>
      <c r="E304" t="s">
        <v>18</v>
      </c>
      <c r="F304" t="s">
        <v>19</v>
      </c>
      <c r="G304">
        <v>5</v>
      </c>
      <c r="H304">
        <v>5</v>
      </c>
      <c r="I304">
        <v>1</v>
      </c>
      <c r="J304">
        <v>2.7</v>
      </c>
    </row>
    <row r="305" spans="1:10" x14ac:dyDescent="0.25">
      <c r="A305" t="s">
        <v>43</v>
      </c>
      <c r="B305" t="s">
        <v>48</v>
      </c>
      <c r="C305" t="s">
        <v>63</v>
      </c>
      <c r="D305" t="s">
        <v>22</v>
      </c>
      <c r="E305" t="s">
        <v>14</v>
      </c>
      <c r="F305" t="s">
        <v>15</v>
      </c>
      <c r="G305">
        <v>1</v>
      </c>
      <c r="H305">
        <v>1</v>
      </c>
      <c r="I305">
        <v>0</v>
      </c>
      <c r="J305">
        <v>3.2</v>
      </c>
    </row>
    <row r="306" spans="1:10" x14ac:dyDescent="0.25">
      <c r="A306" t="s">
        <v>10</v>
      </c>
      <c r="B306" t="s">
        <v>46</v>
      </c>
      <c r="C306" t="s">
        <v>54</v>
      </c>
      <c r="D306" t="s">
        <v>22</v>
      </c>
      <c r="E306" t="s">
        <v>27</v>
      </c>
      <c r="F306" t="s">
        <v>15</v>
      </c>
      <c r="G306">
        <v>5</v>
      </c>
      <c r="H306">
        <v>5</v>
      </c>
      <c r="I306">
        <v>0</v>
      </c>
      <c r="J306">
        <v>2.8</v>
      </c>
    </row>
    <row r="307" spans="1:10" x14ac:dyDescent="0.25">
      <c r="A307" t="s">
        <v>55</v>
      </c>
      <c r="B307" t="s">
        <v>37</v>
      </c>
      <c r="C307" t="s">
        <v>39</v>
      </c>
      <c r="D307" t="s">
        <v>40</v>
      </c>
      <c r="E307" t="s">
        <v>22</v>
      </c>
      <c r="F307" t="s">
        <v>15</v>
      </c>
      <c r="G307">
        <v>3</v>
      </c>
      <c r="H307">
        <v>3</v>
      </c>
      <c r="I307">
        <v>0</v>
      </c>
      <c r="J307">
        <v>4.4000000000000004</v>
      </c>
    </row>
    <row r="308" spans="1:10" x14ac:dyDescent="0.25">
      <c r="A308" t="s">
        <v>23</v>
      </c>
      <c r="B308" t="s">
        <v>16</v>
      </c>
      <c r="C308" t="s">
        <v>60</v>
      </c>
      <c r="D308" t="s">
        <v>21</v>
      </c>
      <c r="E308" t="s">
        <v>22</v>
      </c>
      <c r="F308" t="s">
        <v>15</v>
      </c>
      <c r="G308">
        <v>6</v>
      </c>
      <c r="H308">
        <v>6</v>
      </c>
      <c r="I308">
        <v>1</v>
      </c>
      <c r="J308">
        <v>3</v>
      </c>
    </row>
    <row r="309" spans="1:10" x14ac:dyDescent="0.25">
      <c r="A309" t="s">
        <v>50</v>
      </c>
      <c r="B309" t="s">
        <v>16</v>
      </c>
      <c r="C309" t="s">
        <v>17</v>
      </c>
      <c r="D309" t="s">
        <v>21</v>
      </c>
      <c r="E309" t="s">
        <v>30</v>
      </c>
      <c r="F309" t="s">
        <v>15</v>
      </c>
      <c r="G309">
        <v>3</v>
      </c>
      <c r="H309">
        <v>3</v>
      </c>
      <c r="I309">
        <v>1</v>
      </c>
      <c r="J309">
        <v>3.3</v>
      </c>
    </row>
    <row r="310" spans="1:10" x14ac:dyDescent="0.25">
      <c r="A310" t="s">
        <v>20</v>
      </c>
      <c r="B310" t="s">
        <v>11</v>
      </c>
      <c r="C310" t="s">
        <v>12</v>
      </c>
      <c r="D310" t="s">
        <v>21</v>
      </c>
      <c r="E310" t="s">
        <v>18</v>
      </c>
      <c r="F310" t="s">
        <v>19</v>
      </c>
      <c r="G310">
        <v>9</v>
      </c>
      <c r="H310">
        <v>8</v>
      </c>
      <c r="I310">
        <v>0</v>
      </c>
      <c r="J310">
        <v>4.4000000000000004</v>
      </c>
    </row>
    <row r="311" spans="1:10" x14ac:dyDescent="0.25">
      <c r="A311" t="s">
        <v>45</v>
      </c>
      <c r="B311" t="s">
        <v>48</v>
      </c>
      <c r="C311" t="s">
        <v>49</v>
      </c>
      <c r="D311" t="s">
        <v>32</v>
      </c>
      <c r="E311" t="s">
        <v>18</v>
      </c>
      <c r="F311" t="s">
        <v>19</v>
      </c>
      <c r="G311">
        <v>4</v>
      </c>
      <c r="H311">
        <v>4</v>
      </c>
      <c r="I311">
        <v>0</v>
      </c>
      <c r="J311">
        <v>4.2</v>
      </c>
    </row>
    <row r="312" spans="1:10" x14ac:dyDescent="0.25">
      <c r="A312" t="s">
        <v>31</v>
      </c>
      <c r="B312" t="s">
        <v>28</v>
      </c>
      <c r="C312" t="s">
        <v>58</v>
      </c>
      <c r="D312" t="s">
        <v>32</v>
      </c>
      <c r="E312" t="s">
        <v>18</v>
      </c>
      <c r="F312" t="s">
        <v>15</v>
      </c>
      <c r="G312">
        <v>6</v>
      </c>
      <c r="H312">
        <v>6</v>
      </c>
      <c r="I312">
        <v>0</v>
      </c>
      <c r="J312">
        <v>3</v>
      </c>
    </row>
    <row r="313" spans="1:10" x14ac:dyDescent="0.25">
      <c r="A313" t="s">
        <v>59</v>
      </c>
      <c r="B313" t="s">
        <v>34</v>
      </c>
      <c r="C313" t="s">
        <v>35</v>
      </c>
      <c r="D313" t="s">
        <v>13</v>
      </c>
      <c r="E313" t="s">
        <v>14</v>
      </c>
      <c r="F313" t="s">
        <v>19</v>
      </c>
      <c r="G313">
        <v>6</v>
      </c>
      <c r="H313">
        <v>5</v>
      </c>
      <c r="I313">
        <v>0</v>
      </c>
      <c r="J313">
        <v>2.5</v>
      </c>
    </row>
    <row r="314" spans="1:10" x14ac:dyDescent="0.25">
      <c r="A314" t="s">
        <v>59</v>
      </c>
      <c r="B314" t="s">
        <v>34</v>
      </c>
      <c r="C314" t="s">
        <v>35</v>
      </c>
      <c r="D314" t="s">
        <v>26</v>
      </c>
      <c r="E314" t="s">
        <v>30</v>
      </c>
      <c r="F314" t="s">
        <v>15</v>
      </c>
      <c r="G314">
        <v>8</v>
      </c>
      <c r="H314">
        <v>8</v>
      </c>
      <c r="I314">
        <v>0</v>
      </c>
      <c r="J314">
        <v>2.2999999999999998</v>
      </c>
    </row>
    <row r="315" spans="1:10" x14ac:dyDescent="0.25">
      <c r="A315" t="s">
        <v>23</v>
      </c>
      <c r="B315" t="s">
        <v>11</v>
      </c>
      <c r="C315" t="s">
        <v>52</v>
      </c>
      <c r="D315" t="s">
        <v>13</v>
      </c>
      <c r="E315" t="s">
        <v>18</v>
      </c>
      <c r="F315" t="s">
        <v>15</v>
      </c>
      <c r="G315">
        <v>4</v>
      </c>
      <c r="H315">
        <v>4</v>
      </c>
      <c r="I315">
        <v>0</v>
      </c>
      <c r="J315">
        <v>2.4</v>
      </c>
    </row>
    <row r="316" spans="1:10" x14ac:dyDescent="0.25">
      <c r="A316" t="s">
        <v>36</v>
      </c>
      <c r="B316" t="s">
        <v>48</v>
      </c>
      <c r="C316" t="s">
        <v>49</v>
      </c>
      <c r="D316" t="s">
        <v>40</v>
      </c>
      <c r="E316" t="s">
        <v>27</v>
      </c>
      <c r="F316" t="s">
        <v>15</v>
      </c>
      <c r="G316">
        <v>8</v>
      </c>
      <c r="H316">
        <v>8</v>
      </c>
      <c r="I316">
        <v>1</v>
      </c>
      <c r="J316">
        <v>4.4000000000000004</v>
      </c>
    </row>
    <row r="317" spans="1:10" x14ac:dyDescent="0.25">
      <c r="A317" t="s">
        <v>55</v>
      </c>
      <c r="B317" t="s">
        <v>34</v>
      </c>
      <c r="C317" t="s">
        <v>51</v>
      </c>
      <c r="D317" t="s">
        <v>32</v>
      </c>
      <c r="E317" t="s">
        <v>18</v>
      </c>
      <c r="F317" t="s">
        <v>15</v>
      </c>
      <c r="G317">
        <v>4</v>
      </c>
      <c r="H317">
        <v>4</v>
      </c>
      <c r="I317">
        <v>1</v>
      </c>
      <c r="J317">
        <v>2.6</v>
      </c>
    </row>
    <row r="318" spans="1:10" x14ac:dyDescent="0.25">
      <c r="A318" t="s">
        <v>50</v>
      </c>
      <c r="B318" t="s">
        <v>56</v>
      </c>
      <c r="C318" t="s">
        <v>62</v>
      </c>
      <c r="D318" t="s">
        <v>13</v>
      </c>
      <c r="E318" t="s">
        <v>30</v>
      </c>
      <c r="F318" t="s">
        <v>15</v>
      </c>
      <c r="G318">
        <v>2</v>
      </c>
      <c r="H318">
        <v>1</v>
      </c>
      <c r="I318">
        <v>0</v>
      </c>
      <c r="J318">
        <v>4.3</v>
      </c>
    </row>
    <row r="319" spans="1:10" x14ac:dyDescent="0.25">
      <c r="A319" t="s">
        <v>20</v>
      </c>
      <c r="B319" t="s">
        <v>28</v>
      </c>
      <c r="C319" t="s">
        <v>58</v>
      </c>
      <c r="D319" t="s">
        <v>13</v>
      </c>
      <c r="E319" t="s">
        <v>53</v>
      </c>
      <c r="F319" t="s">
        <v>15</v>
      </c>
      <c r="G319">
        <v>8</v>
      </c>
      <c r="H319">
        <v>8</v>
      </c>
      <c r="I319">
        <v>0</v>
      </c>
      <c r="J319">
        <v>2.6</v>
      </c>
    </row>
    <row r="320" spans="1:10" x14ac:dyDescent="0.25">
      <c r="A320" t="s">
        <v>23</v>
      </c>
      <c r="B320" t="s">
        <v>24</v>
      </c>
      <c r="C320" t="s">
        <v>25</v>
      </c>
      <c r="D320" t="s">
        <v>22</v>
      </c>
      <c r="E320" t="s">
        <v>53</v>
      </c>
      <c r="F320" t="s">
        <v>15</v>
      </c>
      <c r="G320">
        <v>2</v>
      </c>
      <c r="H320">
        <v>2</v>
      </c>
      <c r="I320">
        <v>0</v>
      </c>
      <c r="J320">
        <v>2.2999999999999998</v>
      </c>
    </row>
    <row r="321" spans="1:10" x14ac:dyDescent="0.25">
      <c r="A321" t="s">
        <v>61</v>
      </c>
      <c r="B321" t="s">
        <v>28</v>
      </c>
      <c r="C321" t="s">
        <v>58</v>
      </c>
      <c r="D321" t="s">
        <v>21</v>
      </c>
      <c r="E321" t="s">
        <v>53</v>
      </c>
      <c r="F321" t="s">
        <v>19</v>
      </c>
      <c r="G321">
        <v>2</v>
      </c>
      <c r="H321">
        <v>2</v>
      </c>
      <c r="I321">
        <v>1</v>
      </c>
      <c r="J321">
        <v>2</v>
      </c>
    </row>
    <row r="322" spans="1:10" x14ac:dyDescent="0.25">
      <c r="A322" t="s">
        <v>20</v>
      </c>
      <c r="B322" t="s">
        <v>56</v>
      </c>
      <c r="C322" t="s">
        <v>57</v>
      </c>
      <c r="D322" t="s">
        <v>26</v>
      </c>
      <c r="E322" t="s">
        <v>14</v>
      </c>
      <c r="F322" t="s">
        <v>15</v>
      </c>
      <c r="G322">
        <v>6</v>
      </c>
      <c r="H322">
        <v>5</v>
      </c>
      <c r="I322">
        <v>1</v>
      </c>
      <c r="J322">
        <v>2.5</v>
      </c>
    </row>
    <row r="323" spans="1:10" x14ac:dyDescent="0.25">
      <c r="A323" t="s">
        <v>10</v>
      </c>
      <c r="B323" t="s">
        <v>37</v>
      </c>
      <c r="C323" t="s">
        <v>39</v>
      </c>
      <c r="D323" t="s">
        <v>40</v>
      </c>
      <c r="E323" t="s">
        <v>27</v>
      </c>
      <c r="F323" t="s">
        <v>15</v>
      </c>
      <c r="G323">
        <v>7</v>
      </c>
      <c r="H323">
        <v>6</v>
      </c>
      <c r="I323">
        <v>1</v>
      </c>
      <c r="J323">
        <v>1.9</v>
      </c>
    </row>
    <row r="324" spans="1:10" x14ac:dyDescent="0.25">
      <c r="A324" t="s">
        <v>43</v>
      </c>
      <c r="B324" t="s">
        <v>11</v>
      </c>
      <c r="C324" t="s">
        <v>12</v>
      </c>
      <c r="D324" t="s">
        <v>21</v>
      </c>
      <c r="E324" t="s">
        <v>18</v>
      </c>
      <c r="F324" t="s">
        <v>15</v>
      </c>
      <c r="G324">
        <v>4</v>
      </c>
      <c r="H324">
        <v>4</v>
      </c>
      <c r="I324">
        <v>0</v>
      </c>
      <c r="J324">
        <v>4.0999999999999996</v>
      </c>
    </row>
    <row r="325" spans="1:10" x14ac:dyDescent="0.25">
      <c r="A325" t="s">
        <v>33</v>
      </c>
      <c r="B325" t="s">
        <v>56</v>
      </c>
      <c r="C325" t="s">
        <v>57</v>
      </c>
      <c r="D325" t="s">
        <v>40</v>
      </c>
      <c r="E325" t="s">
        <v>22</v>
      </c>
      <c r="F325" t="s">
        <v>15</v>
      </c>
      <c r="G325">
        <v>6</v>
      </c>
      <c r="H325">
        <v>5</v>
      </c>
      <c r="I325">
        <v>0</v>
      </c>
      <c r="J325">
        <v>2</v>
      </c>
    </row>
    <row r="326" spans="1:10" x14ac:dyDescent="0.25">
      <c r="A326" t="s">
        <v>55</v>
      </c>
      <c r="B326" t="s">
        <v>24</v>
      </c>
      <c r="C326" t="s">
        <v>25</v>
      </c>
      <c r="D326" t="s">
        <v>32</v>
      </c>
      <c r="E326" t="s">
        <v>27</v>
      </c>
      <c r="F326" t="s">
        <v>19</v>
      </c>
      <c r="G326">
        <v>8</v>
      </c>
      <c r="H326">
        <v>8</v>
      </c>
      <c r="I326">
        <v>2</v>
      </c>
      <c r="J326">
        <v>3.4</v>
      </c>
    </row>
    <row r="327" spans="1:10" x14ac:dyDescent="0.25">
      <c r="A327" t="s">
        <v>59</v>
      </c>
      <c r="B327" t="s">
        <v>24</v>
      </c>
      <c r="C327" t="s">
        <v>64</v>
      </c>
      <c r="D327" t="s">
        <v>22</v>
      </c>
      <c r="E327" t="s">
        <v>53</v>
      </c>
      <c r="F327" t="s">
        <v>19</v>
      </c>
      <c r="G327">
        <v>8</v>
      </c>
      <c r="H327">
        <v>8</v>
      </c>
      <c r="I327">
        <v>1</v>
      </c>
      <c r="J327">
        <v>3.8</v>
      </c>
    </row>
    <row r="328" spans="1:10" x14ac:dyDescent="0.25">
      <c r="A328" t="s">
        <v>61</v>
      </c>
      <c r="B328" t="s">
        <v>46</v>
      </c>
      <c r="C328" t="s">
        <v>47</v>
      </c>
      <c r="D328" t="s">
        <v>26</v>
      </c>
      <c r="E328" t="s">
        <v>18</v>
      </c>
      <c r="F328" t="s">
        <v>15</v>
      </c>
      <c r="G328">
        <v>3</v>
      </c>
      <c r="H328">
        <v>3</v>
      </c>
      <c r="I328">
        <v>0</v>
      </c>
      <c r="J328">
        <v>3.2</v>
      </c>
    </row>
    <row r="329" spans="1:10" x14ac:dyDescent="0.25">
      <c r="A329" t="s">
        <v>50</v>
      </c>
      <c r="B329" t="s">
        <v>46</v>
      </c>
      <c r="C329" t="s">
        <v>47</v>
      </c>
      <c r="D329" t="s">
        <v>26</v>
      </c>
      <c r="E329" t="s">
        <v>53</v>
      </c>
      <c r="F329" t="s">
        <v>15</v>
      </c>
      <c r="G329">
        <v>5</v>
      </c>
      <c r="H329">
        <v>4</v>
      </c>
      <c r="I329">
        <v>0</v>
      </c>
      <c r="J329">
        <v>4.3</v>
      </c>
    </row>
    <row r="330" spans="1:10" x14ac:dyDescent="0.25">
      <c r="A330" t="s">
        <v>59</v>
      </c>
      <c r="B330" t="s">
        <v>24</v>
      </c>
      <c r="C330" t="s">
        <v>25</v>
      </c>
      <c r="D330" t="s">
        <v>22</v>
      </c>
      <c r="E330" t="s">
        <v>53</v>
      </c>
      <c r="F330" t="s">
        <v>15</v>
      </c>
      <c r="G330">
        <v>4</v>
      </c>
      <c r="H330">
        <v>4</v>
      </c>
      <c r="I330">
        <v>1</v>
      </c>
      <c r="J330">
        <v>4.0999999999999996</v>
      </c>
    </row>
    <row r="331" spans="1:10" x14ac:dyDescent="0.25">
      <c r="A331" t="s">
        <v>10</v>
      </c>
      <c r="B331" t="s">
        <v>16</v>
      </c>
      <c r="C331" t="s">
        <v>17</v>
      </c>
      <c r="D331" t="s">
        <v>22</v>
      </c>
      <c r="E331" t="s">
        <v>53</v>
      </c>
      <c r="F331" t="s">
        <v>15</v>
      </c>
      <c r="G331">
        <v>5</v>
      </c>
      <c r="H331">
        <v>4</v>
      </c>
      <c r="I331">
        <v>0</v>
      </c>
      <c r="J331">
        <v>3.6</v>
      </c>
    </row>
    <row r="332" spans="1:10" x14ac:dyDescent="0.25">
      <c r="A332" t="s">
        <v>31</v>
      </c>
      <c r="B332" t="s">
        <v>48</v>
      </c>
      <c r="C332" t="s">
        <v>63</v>
      </c>
      <c r="D332" t="s">
        <v>21</v>
      </c>
      <c r="E332" t="s">
        <v>18</v>
      </c>
      <c r="F332" t="s">
        <v>15</v>
      </c>
      <c r="G332">
        <v>5</v>
      </c>
      <c r="H332">
        <v>4</v>
      </c>
      <c r="I332">
        <v>0</v>
      </c>
      <c r="J332">
        <v>2.5</v>
      </c>
    </row>
    <row r="333" spans="1:10" x14ac:dyDescent="0.25">
      <c r="A333" t="s">
        <v>45</v>
      </c>
      <c r="B333" t="s">
        <v>34</v>
      </c>
      <c r="C333" t="s">
        <v>35</v>
      </c>
      <c r="D333" t="s">
        <v>13</v>
      </c>
      <c r="E333" t="s">
        <v>27</v>
      </c>
      <c r="F333" t="s">
        <v>19</v>
      </c>
      <c r="G333">
        <v>3</v>
      </c>
      <c r="H333">
        <v>2</v>
      </c>
      <c r="I333">
        <v>0</v>
      </c>
      <c r="J333">
        <v>1.3</v>
      </c>
    </row>
    <row r="334" spans="1:10" x14ac:dyDescent="0.25">
      <c r="A334" t="s">
        <v>59</v>
      </c>
      <c r="B334" t="s">
        <v>48</v>
      </c>
      <c r="C334" t="s">
        <v>49</v>
      </c>
      <c r="D334" t="s">
        <v>21</v>
      </c>
      <c r="E334" t="s">
        <v>27</v>
      </c>
      <c r="F334" t="s">
        <v>15</v>
      </c>
      <c r="G334">
        <v>5</v>
      </c>
      <c r="H334">
        <v>5</v>
      </c>
      <c r="I334">
        <v>0</v>
      </c>
      <c r="J334">
        <v>3.3</v>
      </c>
    </row>
    <row r="335" spans="1:10" x14ac:dyDescent="0.25">
      <c r="A335" t="s">
        <v>59</v>
      </c>
      <c r="B335" t="s">
        <v>56</v>
      </c>
      <c r="C335" t="s">
        <v>62</v>
      </c>
      <c r="D335" t="s">
        <v>13</v>
      </c>
      <c r="E335" t="s">
        <v>53</v>
      </c>
      <c r="F335" t="s">
        <v>19</v>
      </c>
      <c r="G335">
        <v>2</v>
      </c>
      <c r="H335">
        <v>1</v>
      </c>
      <c r="I335">
        <v>0</v>
      </c>
      <c r="J335">
        <v>3</v>
      </c>
    </row>
    <row r="336" spans="1:10" x14ac:dyDescent="0.25">
      <c r="A336" t="s">
        <v>23</v>
      </c>
      <c r="B336" t="s">
        <v>16</v>
      </c>
      <c r="C336" t="s">
        <v>60</v>
      </c>
      <c r="D336" t="s">
        <v>21</v>
      </c>
      <c r="E336" t="s">
        <v>27</v>
      </c>
      <c r="F336" t="s">
        <v>15</v>
      </c>
      <c r="G336">
        <v>6</v>
      </c>
      <c r="H336">
        <v>6</v>
      </c>
      <c r="I336">
        <v>0</v>
      </c>
      <c r="J336">
        <v>2.1</v>
      </c>
    </row>
    <row r="337" spans="1:10" x14ac:dyDescent="0.25">
      <c r="A337" t="s">
        <v>20</v>
      </c>
      <c r="B337" t="s">
        <v>46</v>
      </c>
      <c r="C337" t="s">
        <v>47</v>
      </c>
      <c r="D337" t="s">
        <v>40</v>
      </c>
      <c r="E337" t="s">
        <v>22</v>
      </c>
      <c r="F337" t="s">
        <v>15</v>
      </c>
      <c r="G337">
        <v>4</v>
      </c>
      <c r="H337">
        <v>2</v>
      </c>
      <c r="I337">
        <v>0</v>
      </c>
      <c r="J337">
        <v>2</v>
      </c>
    </row>
    <row r="338" spans="1:10" x14ac:dyDescent="0.25">
      <c r="A338" t="s">
        <v>43</v>
      </c>
      <c r="B338" t="s">
        <v>46</v>
      </c>
      <c r="C338" t="s">
        <v>54</v>
      </c>
      <c r="D338" t="s">
        <v>32</v>
      </c>
      <c r="E338" t="s">
        <v>18</v>
      </c>
      <c r="F338" t="s">
        <v>15</v>
      </c>
      <c r="G338">
        <v>4</v>
      </c>
      <c r="H338">
        <v>4</v>
      </c>
      <c r="I338">
        <v>1</v>
      </c>
      <c r="J338">
        <v>3.8</v>
      </c>
    </row>
    <row r="339" spans="1:10" x14ac:dyDescent="0.25">
      <c r="A339" t="s">
        <v>20</v>
      </c>
      <c r="B339" t="s">
        <v>41</v>
      </c>
      <c r="C339" t="s">
        <v>44</v>
      </c>
      <c r="D339" t="s">
        <v>26</v>
      </c>
      <c r="E339" t="s">
        <v>14</v>
      </c>
      <c r="F339" t="s">
        <v>19</v>
      </c>
      <c r="G339">
        <v>7</v>
      </c>
      <c r="H339">
        <v>7</v>
      </c>
      <c r="I339">
        <v>1</v>
      </c>
      <c r="J339">
        <v>1.9</v>
      </c>
    </row>
    <row r="340" spans="1:10" x14ac:dyDescent="0.25">
      <c r="A340" t="s">
        <v>45</v>
      </c>
      <c r="B340" t="s">
        <v>56</v>
      </c>
      <c r="C340" t="s">
        <v>62</v>
      </c>
      <c r="D340" t="s">
        <v>21</v>
      </c>
      <c r="E340" t="s">
        <v>22</v>
      </c>
      <c r="F340" t="s">
        <v>19</v>
      </c>
      <c r="G340">
        <v>7</v>
      </c>
      <c r="H340">
        <v>6</v>
      </c>
      <c r="I340">
        <v>0</v>
      </c>
      <c r="J340">
        <v>3.6</v>
      </c>
    </row>
    <row r="341" spans="1:10" x14ac:dyDescent="0.25">
      <c r="A341" t="s">
        <v>10</v>
      </c>
      <c r="B341" t="s">
        <v>34</v>
      </c>
      <c r="C341" t="s">
        <v>51</v>
      </c>
      <c r="D341" t="s">
        <v>40</v>
      </c>
      <c r="E341" t="s">
        <v>53</v>
      </c>
      <c r="F341" t="s">
        <v>19</v>
      </c>
      <c r="G341">
        <v>5</v>
      </c>
      <c r="H341">
        <v>5</v>
      </c>
      <c r="I341">
        <v>0</v>
      </c>
      <c r="J341">
        <v>2.9</v>
      </c>
    </row>
    <row r="342" spans="1:10" x14ac:dyDescent="0.25">
      <c r="A342" t="s">
        <v>55</v>
      </c>
      <c r="B342" t="s">
        <v>24</v>
      </c>
      <c r="C342" t="s">
        <v>25</v>
      </c>
      <c r="D342" t="s">
        <v>40</v>
      </c>
      <c r="E342" t="s">
        <v>22</v>
      </c>
      <c r="F342" t="s">
        <v>15</v>
      </c>
      <c r="G342">
        <v>5</v>
      </c>
      <c r="H342">
        <v>4</v>
      </c>
      <c r="I342">
        <v>0</v>
      </c>
      <c r="J342">
        <v>4.7</v>
      </c>
    </row>
    <row r="343" spans="1:10" x14ac:dyDescent="0.25">
      <c r="A343" t="s">
        <v>59</v>
      </c>
      <c r="B343" t="s">
        <v>16</v>
      </c>
      <c r="C343" t="s">
        <v>17</v>
      </c>
      <c r="D343" t="s">
        <v>13</v>
      </c>
      <c r="E343" t="s">
        <v>53</v>
      </c>
      <c r="F343" t="s">
        <v>15</v>
      </c>
      <c r="G343">
        <v>4</v>
      </c>
      <c r="H343">
        <v>3</v>
      </c>
      <c r="I343">
        <v>0</v>
      </c>
      <c r="J343">
        <v>4.4000000000000004</v>
      </c>
    </row>
    <row r="344" spans="1:10" x14ac:dyDescent="0.25">
      <c r="A344" t="s">
        <v>33</v>
      </c>
      <c r="B344" t="s">
        <v>24</v>
      </c>
      <c r="C344" t="s">
        <v>64</v>
      </c>
      <c r="D344" t="s">
        <v>13</v>
      </c>
      <c r="E344" t="s">
        <v>27</v>
      </c>
      <c r="F344" t="s">
        <v>15</v>
      </c>
      <c r="G344">
        <v>1</v>
      </c>
      <c r="H344">
        <v>1</v>
      </c>
      <c r="I344">
        <v>0</v>
      </c>
      <c r="J344">
        <v>4.7</v>
      </c>
    </row>
    <row r="345" spans="1:10" x14ac:dyDescent="0.25">
      <c r="A345" t="s">
        <v>50</v>
      </c>
      <c r="B345" t="s">
        <v>41</v>
      </c>
      <c r="C345" t="s">
        <v>42</v>
      </c>
      <c r="D345" t="s">
        <v>13</v>
      </c>
      <c r="E345" t="s">
        <v>53</v>
      </c>
      <c r="F345" t="s">
        <v>19</v>
      </c>
      <c r="G345">
        <v>9</v>
      </c>
      <c r="H345">
        <v>8</v>
      </c>
      <c r="I345">
        <v>1</v>
      </c>
      <c r="J345">
        <v>2.7</v>
      </c>
    </row>
    <row r="346" spans="1:10" x14ac:dyDescent="0.25">
      <c r="A346" t="s">
        <v>45</v>
      </c>
      <c r="B346" t="s">
        <v>11</v>
      </c>
      <c r="C346" t="s">
        <v>12</v>
      </c>
      <c r="D346" t="s">
        <v>40</v>
      </c>
      <c r="E346" t="s">
        <v>53</v>
      </c>
      <c r="F346" t="s">
        <v>19</v>
      </c>
      <c r="G346">
        <v>5</v>
      </c>
      <c r="H346">
        <v>5</v>
      </c>
      <c r="I346">
        <v>0</v>
      </c>
      <c r="J346">
        <v>3.8</v>
      </c>
    </row>
    <row r="347" spans="1:10" x14ac:dyDescent="0.25">
      <c r="A347" t="s">
        <v>33</v>
      </c>
      <c r="B347" t="s">
        <v>46</v>
      </c>
      <c r="C347" t="s">
        <v>47</v>
      </c>
      <c r="D347" t="s">
        <v>26</v>
      </c>
      <c r="E347" t="s">
        <v>27</v>
      </c>
      <c r="F347" t="s">
        <v>19</v>
      </c>
      <c r="G347">
        <v>7</v>
      </c>
      <c r="H347">
        <v>6</v>
      </c>
      <c r="I347">
        <v>1</v>
      </c>
      <c r="J347">
        <v>2.7</v>
      </c>
    </row>
    <row r="348" spans="1:10" x14ac:dyDescent="0.25">
      <c r="A348" t="s">
        <v>43</v>
      </c>
      <c r="B348" t="s">
        <v>24</v>
      </c>
      <c r="C348" t="s">
        <v>25</v>
      </c>
      <c r="D348" t="s">
        <v>21</v>
      </c>
      <c r="E348" t="s">
        <v>30</v>
      </c>
      <c r="F348" t="s">
        <v>19</v>
      </c>
      <c r="G348">
        <v>4</v>
      </c>
      <c r="H348">
        <v>4</v>
      </c>
      <c r="I348">
        <v>0</v>
      </c>
      <c r="J348">
        <v>3</v>
      </c>
    </row>
    <row r="349" spans="1:10" x14ac:dyDescent="0.25">
      <c r="A349" t="s">
        <v>33</v>
      </c>
      <c r="B349" t="s">
        <v>24</v>
      </c>
      <c r="C349" t="s">
        <v>25</v>
      </c>
      <c r="D349" t="s">
        <v>13</v>
      </c>
      <c r="E349" t="s">
        <v>22</v>
      </c>
      <c r="F349" t="s">
        <v>15</v>
      </c>
      <c r="G349">
        <v>5</v>
      </c>
      <c r="H349">
        <v>5</v>
      </c>
      <c r="I349">
        <v>0</v>
      </c>
      <c r="J349">
        <v>2.2999999999999998</v>
      </c>
    </row>
    <row r="350" spans="1:10" x14ac:dyDescent="0.25">
      <c r="A350" t="s">
        <v>10</v>
      </c>
      <c r="B350" t="s">
        <v>34</v>
      </c>
      <c r="C350" t="s">
        <v>51</v>
      </c>
      <c r="D350" t="s">
        <v>40</v>
      </c>
      <c r="E350" t="s">
        <v>53</v>
      </c>
      <c r="F350" t="s">
        <v>15</v>
      </c>
      <c r="G350">
        <v>4</v>
      </c>
      <c r="H350">
        <v>3</v>
      </c>
      <c r="I350">
        <v>0</v>
      </c>
      <c r="J350">
        <v>2</v>
      </c>
    </row>
    <row r="351" spans="1:10" x14ac:dyDescent="0.25">
      <c r="A351" t="s">
        <v>45</v>
      </c>
      <c r="B351" t="s">
        <v>11</v>
      </c>
      <c r="C351" t="s">
        <v>12</v>
      </c>
      <c r="D351" t="s">
        <v>40</v>
      </c>
      <c r="E351" t="s">
        <v>27</v>
      </c>
      <c r="F351" t="s">
        <v>15</v>
      </c>
      <c r="G351">
        <v>6</v>
      </c>
      <c r="H351">
        <v>6</v>
      </c>
      <c r="I351">
        <v>1</v>
      </c>
      <c r="J351">
        <v>1.9</v>
      </c>
    </row>
    <row r="352" spans="1:10" x14ac:dyDescent="0.25">
      <c r="A352" t="s">
        <v>20</v>
      </c>
      <c r="B352" t="s">
        <v>41</v>
      </c>
      <c r="C352" t="s">
        <v>42</v>
      </c>
      <c r="D352" t="s">
        <v>22</v>
      </c>
      <c r="E352" t="s">
        <v>53</v>
      </c>
      <c r="F352" t="s">
        <v>19</v>
      </c>
      <c r="G352">
        <v>6</v>
      </c>
      <c r="H352">
        <v>6</v>
      </c>
      <c r="I352">
        <v>0</v>
      </c>
      <c r="J352">
        <v>1.6</v>
      </c>
    </row>
    <row r="353" spans="1:10" x14ac:dyDescent="0.25">
      <c r="A353" t="s">
        <v>50</v>
      </c>
      <c r="B353" t="s">
        <v>46</v>
      </c>
      <c r="C353" t="s">
        <v>47</v>
      </c>
      <c r="D353" t="s">
        <v>22</v>
      </c>
      <c r="E353" t="s">
        <v>22</v>
      </c>
      <c r="F353" t="s">
        <v>15</v>
      </c>
      <c r="G353">
        <v>9</v>
      </c>
      <c r="H353">
        <v>8</v>
      </c>
      <c r="I353">
        <v>0</v>
      </c>
      <c r="J353">
        <v>3</v>
      </c>
    </row>
    <row r="354" spans="1:10" x14ac:dyDescent="0.25">
      <c r="A354" t="s">
        <v>10</v>
      </c>
      <c r="B354" t="s">
        <v>37</v>
      </c>
      <c r="C354" t="s">
        <v>38</v>
      </c>
      <c r="D354" t="s">
        <v>32</v>
      </c>
      <c r="E354" t="s">
        <v>22</v>
      </c>
      <c r="F354" t="s">
        <v>15</v>
      </c>
      <c r="G354">
        <v>2</v>
      </c>
      <c r="H354">
        <v>2</v>
      </c>
      <c r="I354">
        <v>0</v>
      </c>
      <c r="J354">
        <v>1.8</v>
      </c>
    </row>
    <row r="355" spans="1:10" x14ac:dyDescent="0.25">
      <c r="A355" t="s">
        <v>55</v>
      </c>
      <c r="B355" t="s">
        <v>11</v>
      </c>
      <c r="C355" t="s">
        <v>52</v>
      </c>
      <c r="D355" t="s">
        <v>26</v>
      </c>
      <c r="E355" t="s">
        <v>30</v>
      </c>
      <c r="F355" t="s">
        <v>19</v>
      </c>
      <c r="G355">
        <v>1</v>
      </c>
      <c r="H355">
        <v>1</v>
      </c>
      <c r="I355">
        <v>0</v>
      </c>
      <c r="J355">
        <v>3.1</v>
      </c>
    </row>
    <row r="356" spans="1:10" x14ac:dyDescent="0.25">
      <c r="A356" t="s">
        <v>45</v>
      </c>
      <c r="B356" t="s">
        <v>56</v>
      </c>
      <c r="C356" t="s">
        <v>57</v>
      </c>
      <c r="D356" t="s">
        <v>22</v>
      </c>
      <c r="E356" t="s">
        <v>22</v>
      </c>
      <c r="F356" t="s">
        <v>15</v>
      </c>
      <c r="G356">
        <v>3</v>
      </c>
      <c r="H356">
        <v>3</v>
      </c>
      <c r="I356">
        <v>0</v>
      </c>
      <c r="J356">
        <v>1.6</v>
      </c>
    </row>
    <row r="357" spans="1:10" x14ac:dyDescent="0.25">
      <c r="A357" t="s">
        <v>55</v>
      </c>
      <c r="B357" t="s">
        <v>37</v>
      </c>
      <c r="C357" t="s">
        <v>39</v>
      </c>
      <c r="D357" t="s">
        <v>40</v>
      </c>
      <c r="E357" t="s">
        <v>22</v>
      </c>
      <c r="F357" t="s">
        <v>15</v>
      </c>
      <c r="G357">
        <v>7</v>
      </c>
      <c r="H357">
        <v>6</v>
      </c>
      <c r="I357">
        <v>0</v>
      </c>
      <c r="J357">
        <v>2.4</v>
      </c>
    </row>
    <row r="358" spans="1:10" x14ac:dyDescent="0.25">
      <c r="A358" t="s">
        <v>55</v>
      </c>
      <c r="B358" t="s">
        <v>46</v>
      </c>
      <c r="C358" t="s">
        <v>54</v>
      </c>
      <c r="D358" t="s">
        <v>22</v>
      </c>
      <c r="E358" t="s">
        <v>14</v>
      </c>
      <c r="F358" t="s">
        <v>15</v>
      </c>
      <c r="G358">
        <v>6</v>
      </c>
      <c r="H358">
        <v>6</v>
      </c>
      <c r="I358">
        <v>0</v>
      </c>
      <c r="J358">
        <v>3.4</v>
      </c>
    </row>
    <row r="359" spans="1:10" x14ac:dyDescent="0.25">
      <c r="A359" t="s">
        <v>33</v>
      </c>
      <c r="B359" t="s">
        <v>56</v>
      </c>
      <c r="C359" t="s">
        <v>62</v>
      </c>
      <c r="D359" t="s">
        <v>26</v>
      </c>
      <c r="E359" t="s">
        <v>18</v>
      </c>
      <c r="F359" t="s">
        <v>15</v>
      </c>
      <c r="G359">
        <v>5</v>
      </c>
      <c r="H359">
        <v>5</v>
      </c>
      <c r="I359">
        <v>1</v>
      </c>
      <c r="J359">
        <v>2.2000000000000002</v>
      </c>
    </row>
    <row r="360" spans="1:10" x14ac:dyDescent="0.25">
      <c r="A360" t="s">
        <v>20</v>
      </c>
      <c r="B360" t="s">
        <v>48</v>
      </c>
      <c r="C360" t="s">
        <v>49</v>
      </c>
      <c r="D360" t="s">
        <v>40</v>
      </c>
      <c r="E360" t="s">
        <v>53</v>
      </c>
      <c r="F360" t="s">
        <v>19</v>
      </c>
      <c r="G360">
        <v>5</v>
      </c>
      <c r="H360">
        <v>5</v>
      </c>
      <c r="I360">
        <v>0</v>
      </c>
      <c r="J360">
        <v>4.2</v>
      </c>
    </row>
    <row r="361" spans="1:10" x14ac:dyDescent="0.25">
      <c r="A361" t="s">
        <v>36</v>
      </c>
      <c r="B361" t="s">
        <v>56</v>
      </c>
      <c r="C361" t="s">
        <v>62</v>
      </c>
      <c r="D361" t="s">
        <v>13</v>
      </c>
      <c r="E361" t="s">
        <v>30</v>
      </c>
      <c r="F361" t="s">
        <v>15</v>
      </c>
      <c r="G361">
        <v>7</v>
      </c>
      <c r="H361">
        <v>5</v>
      </c>
      <c r="I361">
        <v>0</v>
      </c>
      <c r="J361">
        <v>3.1</v>
      </c>
    </row>
    <row r="362" spans="1:10" x14ac:dyDescent="0.25">
      <c r="A362" t="s">
        <v>59</v>
      </c>
      <c r="B362" t="s">
        <v>28</v>
      </c>
      <c r="C362" t="s">
        <v>58</v>
      </c>
      <c r="D362" t="s">
        <v>13</v>
      </c>
      <c r="E362" t="s">
        <v>14</v>
      </c>
      <c r="F362" t="s">
        <v>19</v>
      </c>
      <c r="G362">
        <v>4</v>
      </c>
      <c r="H362">
        <v>4</v>
      </c>
      <c r="I362">
        <v>1</v>
      </c>
      <c r="J362">
        <v>3.8</v>
      </c>
    </row>
    <row r="363" spans="1:10" x14ac:dyDescent="0.25">
      <c r="A363" t="s">
        <v>45</v>
      </c>
      <c r="B363" t="s">
        <v>56</v>
      </c>
      <c r="C363" t="s">
        <v>62</v>
      </c>
      <c r="D363" t="s">
        <v>22</v>
      </c>
      <c r="E363" t="s">
        <v>22</v>
      </c>
      <c r="F363" t="s">
        <v>19</v>
      </c>
      <c r="G363">
        <v>3</v>
      </c>
      <c r="H363">
        <v>3</v>
      </c>
      <c r="I363">
        <v>0</v>
      </c>
      <c r="J363">
        <v>0.8</v>
      </c>
    </row>
    <row r="364" spans="1:10" x14ac:dyDescent="0.25">
      <c r="A364" t="s">
        <v>36</v>
      </c>
      <c r="B364" t="s">
        <v>28</v>
      </c>
      <c r="C364" t="s">
        <v>58</v>
      </c>
      <c r="D364" t="s">
        <v>21</v>
      </c>
      <c r="E364" t="s">
        <v>14</v>
      </c>
      <c r="F364" t="s">
        <v>19</v>
      </c>
      <c r="G364">
        <v>5</v>
      </c>
      <c r="H364">
        <v>5</v>
      </c>
      <c r="I364">
        <v>0</v>
      </c>
      <c r="J364">
        <v>2.4</v>
      </c>
    </row>
    <row r="365" spans="1:10" x14ac:dyDescent="0.25">
      <c r="A365" t="s">
        <v>61</v>
      </c>
      <c r="B365" t="s">
        <v>46</v>
      </c>
      <c r="C365" t="s">
        <v>54</v>
      </c>
      <c r="D365" t="s">
        <v>13</v>
      </c>
      <c r="E365" t="s">
        <v>18</v>
      </c>
      <c r="F365" t="s">
        <v>15</v>
      </c>
      <c r="G365">
        <v>3</v>
      </c>
      <c r="H365">
        <v>3</v>
      </c>
      <c r="I365">
        <v>0</v>
      </c>
      <c r="J365">
        <v>0.8</v>
      </c>
    </row>
    <row r="366" spans="1:10" x14ac:dyDescent="0.25">
      <c r="A366" t="s">
        <v>43</v>
      </c>
      <c r="B366" t="s">
        <v>37</v>
      </c>
      <c r="C366" t="s">
        <v>38</v>
      </c>
      <c r="D366" t="s">
        <v>40</v>
      </c>
      <c r="E366" t="s">
        <v>53</v>
      </c>
      <c r="F366" t="s">
        <v>19</v>
      </c>
      <c r="G366">
        <v>1</v>
      </c>
      <c r="H366">
        <v>1</v>
      </c>
      <c r="I366">
        <v>0</v>
      </c>
      <c r="J366">
        <v>2.2999999999999998</v>
      </c>
    </row>
    <row r="367" spans="1:10" x14ac:dyDescent="0.25">
      <c r="A367" t="s">
        <v>36</v>
      </c>
      <c r="B367" t="s">
        <v>11</v>
      </c>
      <c r="C367" t="s">
        <v>52</v>
      </c>
      <c r="D367" t="s">
        <v>26</v>
      </c>
      <c r="E367" t="s">
        <v>22</v>
      </c>
      <c r="F367" t="s">
        <v>19</v>
      </c>
      <c r="G367">
        <v>8</v>
      </c>
      <c r="H367">
        <v>7</v>
      </c>
      <c r="I367">
        <v>0</v>
      </c>
      <c r="J367">
        <v>3.1</v>
      </c>
    </row>
    <row r="368" spans="1:10" x14ac:dyDescent="0.25">
      <c r="A368" t="s">
        <v>50</v>
      </c>
      <c r="B368" t="s">
        <v>56</v>
      </c>
      <c r="C368" t="s">
        <v>62</v>
      </c>
      <c r="D368" t="s">
        <v>32</v>
      </c>
      <c r="E368" t="s">
        <v>14</v>
      </c>
      <c r="F368" t="s">
        <v>19</v>
      </c>
      <c r="G368">
        <v>10</v>
      </c>
      <c r="H368">
        <v>9</v>
      </c>
      <c r="I368">
        <v>1</v>
      </c>
      <c r="J368">
        <v>2.2000000000000002</v>
      </c>
    </row>
    <row r="369" spans="1:10" x14ac:dyDescent="0.25">
      <c r="A369" t="s">
        <v>33</v>
      </c>
      <c r="B369" t="s">
        <v>37</v>
      </c>
      <c r="C369" t="s">
        <v>38</v>
      </c>
      <c r="D369" t="s">
        <v>40</v>
      </c>
      <c r="E369" t="s">
        <v>22</v>
      </c>
      <c r="F369" t="s">
        <v>19</v>
      </c>
      <c r="G369">
        <v>4</v>
      </c>
      <c r="H369">
        <v>4</v>
      </c>
      <c r="I369">
        <v>0</v>
      </c>
      <c r="J369">
        <v>2.2999999999999998</v>
      </c>
    </row>
    <row r="370" spans="1:10" x14ac:dyDescent="0.25">
      <c r="A370" t="s">
        <v>43</v>
      </c>
      <c r="B370" t="s">
        <v>16</v>
      </c>
      <c r="C370" t="s">
        <v>60</v>
      </c>
      <c r="D370" t="s">
        <v>21</v>
      </c>
      <c r="E370" t="s">
        <v>14</v>
      </c>
      <c r="F370" t="s">
        <v>15</v>
      </c>
      <c r="G370">
        <v>6</v>
      </c>
      <c r="H370">
        <v>5</v>
      </c>
      <c r="I370">
        <v>0</v>
      </c>
      <c r="J370">
        <v>3.2</v>
      </c>
    </row>
    <row r="371" spans="1:10" x14ac:dyDescent="0.25">
      <c r="A371" t="s">
        <v>10</v>
      </c>
      <c r="B371" t="s">
        <v>48</v>
      </c>
      <c r="C371" t="s">
        <v>49</v>
      </c>
      <c r="D371" t="s">
        <v>21</v>
      </c>
      <c r="E371" t="s">
        <v>18</v>
      </c>
      <c r="F371" t="s">
        <v>15</v>
      </c>
      <c r="G371">
        <v>4</v>
      </c>
      <c r="H371">
        <v>4</v>
      </c>
      <c r="I371">
        <v>0</v>
      </c>
      <c r="J371">
        <v>3.6</v>
      </c>
    </row>
    <row r="372" spans="1:10" x14ac:dyDescent="0.25">
      <c r="A372" t="s">
        <v>33</v>
      </c>
      <c r="B372" t="s">
        <v>24</v>
      </c>
      <c r="C372" t="s">
        <v>64</v>
      </c>
      <c r="D372" t="s">
        <v>40</v>
      </c>
      <c r="E372" t="s">
        <v>18</v>
      </c>
      <c r="F372" t="s">
        <v>19</v>
      </c>
      <c r="G372">
        <v>5</v>
      </c>
      <c r="H372">
        <v>4</v>
      </c>
      <c r="I372">
        <v>0</v>
      </c>
      <c r="J372">
        <v>2.5</v>
      </c>
    </row>
    <row r="373" spans="1:10" x14ac:dyDescent="0.25">
      <c r="A373" t="s">
        <v>23</v>
      </c>
      <c r="B373" t="s">
        <v>48</v>
      </c>
      <c r="C373" t="s">
        <v>63</v>
      </c>
      <c r="D373" t="s">
        <v>40</v>
      </c>
      <c r="E373" t="s">
        <v>14</v>
      </c>
      <c r="F373" t="s">
        <v>15</v>
      </c>
      <c r="G373">
        <v>3</v>
      </c>
      <c r="H373">
        <v>3</v>
      </c>
      <c r="I373">
        <v>0</v>
      </c>
      <c r="J373">
        <v>2.9</v>
      </c>
    </row>
    <row r="374" spans="1:10" x14ac:dyDescent="0.25">
      <c r="A374" t="s">
        <v>55</v>
      </c>
      <c r="B374" t="s">
        <v>46</v>
      </c>
      <c r="C374" t="s">
        <v>47</v>
      </c>
      <c r="D374" t="s">
        <v>22</v>
      </c>
      <c r="E374" t="s">
        <v>53</v>
      </c>
      <c r="F374" t="s">
        <v>19</v>
      </c>
      <c r="G374">
        <v>10</v>
      </c>
      <c r="H374">
        <v>10</v>
      </c>
      <c r="I374">
        <v>0</v>
      </c>
      <c r="J374">
        <v>3.8</v>
      </c>
    </row>
    <row r="375" spans="1:10" x14ac:dyDescent="0.25">
      <c r="A375" t="s">
        <v>61</v>
      </c>
      <c r="B375" t="s">
        <v>34</v>
      </c>
      <c r="C375" t="s">
        <v>51</v>
      </c>
      <c r="D375" t="s">
        <v>32</v>
      </c>
      <c r="E375" t="s">
        <v>30</v>
      </c>
      <c r="F375" t="s">
        <v>15</v>
      </c>
      <c r="G375">
        <v>4</v>
      </c>
      <c r="H375">
        <v>4</v>
      </c>
      <c r="I375">
        <v>0</v>
      </c>
      <c r="J375">
        <v>3.6</v>
      </c>
    </row>
    <row r="376" spans="1:10" x14ac:dyDescent="0.25">
      <c r="A376" t="s">
        <v>10</v>
      </c>
      <c r="B376" t="s">
        <v>16</v>
      </c>
      <c r="C376" t="s">
        <v>17</v>
      </c>
      <c r="D376" t="s">
        <v>32</v>
      </c>
      <c r="E376" t="s">
        <v>14</v>
      </c>
      <c r="F376" t="s">
        <v>19</v>
      </c>
      <c r="G376">
        <v>6</v>
      </c>
      <c r="H376">
        <v>5</v>
      </c>
      <c r="I376">
        <v>0</v>
      </c>
      <c r="J376">
        <v>3.4</v>
      </c>
    </row>
    <row r="377" spans="1:10" x14ac:dyDescent="0.25">
      <c r="A377" t="s">
        <v>23</v>
      </c>
      <c r="B377" t="s">
        <v>28</v>
      </c>
      <c r="C377" t="s">
        <v>29</v>
      </c>
      <c r="D377" t="s">
        <v>13</v>
      </c>
      <c r="E377" t="s">
        <v>30</v>
      </c>
      <c r="F377" t="s">
        <v>15</v>
      </c>
      <c r="G377">
        <v>10</v>
      </c>
      <c r="H377">
        <v>9</v>
      </c>
      <c r="I377">
        <v>2</v>
      </c>
      <c r="J377">
        <v>4.0999999999999996</v>
      </c>
    </row>
    <row r="378" spans="1:10" x14ac:dyDescent="0.25">
      <c r="A378" t="s">
        <v>59</v>
      </c>
      <c r="B378" t="s">
        <v>24</v>
      </c>
      <c r="C378" t="s">
        <v>64</v>
      </c>
      <c r="D378" t="s">
        <v>22</v>
      </c>
      <c r="E378" t="s">
        <v>27</v>
      </c>
      <c r="F378" t="s">
        <v>15</v>
      </c>
      <c r="G378">
        <v>10</v>
      </c>
      <c r="H378">
        <v>9</v>
      </c>
      <c r="I378">
        <v>1</v>
      </c>
      <c r="J378">
        <v>1.9</v>
      </c>
    </row>
    <row r="379" spans="1:10" x14ac:dyDescent="0.25">
      <c r="A379" t="s">
        <v>20</v>
      </c>
      <c r="B379" t="s">
        <v>34</v>
      </c>
      <c r="C379" t="s">
        <v>35</v>
      </c>
      <c r="D379" t="s">
        <v>22</v>
      </c>
      <c r="E379" t="s">
        <v>18</v>
      </c>
      <c r="F379" t="s">
        <v>19</v>
      </c>
      <c r="G379">
        <v>7</v>
      </c>
      <c r="H379">
        <v>6</v>
      </c>
      <c r="I379">
        <v>0</v>
      </c>
      <c r="J379">
        <v>4.5</v>
      </c>
    </row>
    <row r="380" spans="1:10" x14ac:dyDescent="0.25">
      <c r="A380" t="s">
        <v>36</v>
      </c>
      <c r="B380" t="s">
        <v>37</v>
      </c>
      <c r="C380" t="s">
        <v>38</v>
      </c>
      <c r="D380" t="s">
        <v>22</v>
      </c>
      <c r="E380" t="s">
        <v>22</v>
      </c>
      <c r="F380" t="s">
        <v>19</v>
      </c>
      <c r="G380">
        <v>5</v>
      </c>
      <c r="H380">
        <v>5</v>
      </c>
      <c r="I380">
        <v>1</v>
      </c>
      <c r="J380">
        <v>4.5999999999999996</v>
      </c>
    </row>
    <row r="381" spans="1:10" x14ac:dyDescent="0.25">
      <c r="A381" t="s">
        <v>59</v>
      </c>
      <c r="B381" t="s">
        <v>11</v>
      </c>
      <c r="C381" t="s">
        <v>52</v>
      </c>
      <c r="D381" t="s">
        <v>21</v>
      </c>
      <c r="E381" t="s">
        <v>30</v>
      </c>
      <c r="F381" t="s">
        <v>19</v>
      </c>
      <c r="G381">
        <v>7</v>
      </c>
      <c r="H381">
        <v>7</v>
      </c>
      <c r="I381">
        <v>1</v>
      </c>
      <c r="J381">
        <v>3.9</v>
      </c>
    </row>
    <row r="382" spans="1:10" x14ac:dyDescent="0.25">
      <c r="A382" t="s">
        <v>23</v>
      </c>
      <c r="B382" t="s">
        <v>11</v>
      </c>
      <c r="C382" t="s">
        <v>52</v>
      </c>
      <c r="D382" t="s">
        <v>22</v>
      </c>
      <c r="E382" t="s">
        <v>53</v>
      </c>
      <c r="F382" t="s">
        <v>15</v>
      </c>
      <c r="G382">
        <v>3</v>
      </c>
      <c r="H382">
        <v>3</v>
      </c>
      <c r="I382">
        <v>0</v>
      </c>
      <c r="J382">
        <v>3.2</v>
      </c>
    </row>
    <row r="383" spans="1:10" x14ac:dyDescent="0.25">
      <c r="A383" t="s">
        <v>20</v>
      </c>
      <c r="B383" t="s">
        <v>48</v>
      </c>
      <c r="C383" t="s">
        <v>63</v>
      </c>
      <c r="D383" t="s">
        <v>26</v>
      </c>
      <c r="E383" t="s">
        <v>18</v>
      </c>
      <c r="F383" t="s">
        <v>15</v>
      </c>
      <c r="G383">
        <v>8</v>
      </c>
      <c r="H383">
        <v>7</v>
      </c>
      <c r="I383">
        <v>3</v>
      </c>
      <c r="J383">
        <v>2.2000000000000002</v>
      </c>
    </row>
    <row r="384" spans="1:10" x14ac:dyDescent="0.25">
      <c r="A384" t="s">
        <v>23</v>
      </c>
      <c r="B384" t="s">
        <v>34</v>
      </c>
      <c r="C384" t="s">
        <v>35</v>
      </c>
      <c r="D384" t="s">
        <v>32</v>
      </c>
      <c r="E384" t="s">
        <v>18</v>
      </c>
      <c r="F384" t="s">
        <v>15</v>
      </c>
      <c r="G384">
        <v>5</v>
      </c>
      <c r="H384">
        <v>5</v>
      </c>
      <c r="I384">
        <v>0</v>
      </c>
      <c r="J384">
        <v>3.3</v>
      </c>
    </row>
    <row r="385" spans="1:10" x14ac:dyDescent="0.25">
      <c r="A385" t="s">
        <v>59</v>
      </c>
      <c r="B385" t="s">
        <v>16</v>
      </c>
      <c r="C385" t="s">
        <v>17</v>
      </c>
      <c r="D385" t="s">
        <v>13</v>
      </c>
      <c r="E385" t="s">
        <v>18</v>
      </c>
      <c r="F385" t="s">
        <v>15</v>
      </c>
      <c r="G385">
        <v>3</v>
      </c>
      <c r="H385">
        <v>3</v>
      </c>
      <c r="I385">
        <v>0</v>
      </c>
      <c r="J385">
        <v>3.3</v>
      </c>
    </row>
    <row r="386" spans="1:10" x14ac:dyDescent="0.25">
      <c r="A386" t="s">
        <v>10</v>
      </c>
      <c r="B386" t="s">
        <v>11</v>
      </c>
      <c r="C386" t="s">
        <v>52</v>
      </c>
      <c r="D386" t="s">
        <v>32</v>
      </c>
      <c r="E386" t="s">
        <v>53</v>
      </c>
      <c r="F386" t="s">
        <v>15</v>
      </c>
      <c r="G386">
        <v>3</v>
      </c>
      <c r="H386">
        <v>3</v>
      </c>
      <c r="I386">
        <v>1</v>
      </c>
      <c r="J386">
        <v>1.3</v>
      </c>
    </row>
    <row r="387" spans="1:10" x14ac:dyDescent="0.25">
      <c r="A387" t="s">
        <v>36</v>
      </c>
      <c r="B387" t="s">
        <v>48</v>
      </c>
      <c r="C387" t="s">
        <v>49</v>
      </c>
      <c r="D387" t="s">
        <v>40</v>
      </c>
      <c r="E387" t="s">
        <v>18</v>
      </c>
      <c r="F387" t="s">
        <v>19</v>
      </c>
      <c r="G387">
        <v>4</v>
      </c>
      <c r="H387">
        <v>4</v>
      </c>
      <c r="I387">
        <v>0</v>
      </c>
      <c r="J387">
        <v>2.5</v>
      </c>
    </row>
    <row r="388" spans="1:10" x14ac:dyDescent="0.25">
      <c r="A388" t="s">
        <v>36</v>
      </c>
      <c r="B388" t="s">
        <v>48</v>
      </c>
      <c r="C388" t="s">
        <v>63</v>
      </c>
      <c r="D388" t="s">
        <v>26</v>
      </c>
      <c r="E388" t="s">
        <v>22</v>
      </c>
      <c r="F388" t="s">
        <v>15</v>
      </c>
      <c r="G388">
        <v>4</v>
      </c>
      <c r="H388">
        <v>4</v>
      </c>
      <c r="I388">
        <v>1</v>
      </c>
      <c r="J388">
        <v>1.1000000000000001</v>
      </c>
    </row>
    <row r="389" spans="1:10" x14ac:dyDescent="0.25">
      <c r="A389" t="s">
        <v>43</v>
      </c>
      <c r="B389" t="s">
        <v>34</v>
      </c>
      <c r="C389" t="s">
        <v>35</v>
      </c>
      <c r="D389" t="s">
        <v>26</v>
      </c>
      <c r="E389" t="s">
        <v>30</v>
      </c>
      <c r="F389" t="s">
        <v>19</v>
      </c>
      <c r="G389">
        <v>5</v>
      </c>
      <c r="H389">
        <v>4</v>
      </c>
      <c r="I389">
        <v>0</v>
      </c>
      <c r="J389">
        <v>2.8</v>
      </c>
    </row>
    <row r="390" spans="1:10" x14ac:dyDescent="0.25">
      <c r="A390" t="s">
        <v>36</v>
      </c>
      <c r="B390" t="s">
        <v>11</v>
      </c>
      <c r="C390" t="s">
        <v>52</v>
      </c>
      <c r="D390" t="s">
        <v>22</v>
      </c>
      <c r="E390" t="s">
        <v>53</v>
      </c>
      <c r="F390" t="s">
        <v>15</v>
      </c>
      <c r="G390">
        <v>3</v>
      </c>
      <c r="H390">
        <v>2</v>
      </c>
      <c r="I390">
        <v>0</v>
      </c>
      <c r="J390">
        <v>1.8</v>
      </c>
    </row>
    <row r="391" spans="1:10" x14ac:dyDescent="0.25">
      <c r="A391" t="s">
        <v>59</v>
      </c>
      <c r="B391" t="s">
        <v>37</v>
      </c>
      <c r="C391" t="s">
        <v>38</v>
      </c>
      <c r="D391" t="s">
        <v>22</v>
      </c>
      <c r="E391" t="s">
        <v>18</v>
      </c>
      <c r="F391" t="s">
        <v>19</v>
      </c>
      <c r="G391">
        <v>11</v>
      </c>
      <c r="H391">
        <v>10</v>
      </c>
      <c r="I391">
        <v>1</v>
      </c>
      <c r="J391">
        <v>0.7</v>
      </c>
    </row>
    <row r="392" spans="1:10" x14ac:dyDescent="0.25">
      <c r="A392" t="s">
        <v>33</v>
      </c>
      <c r="B392" t="s">
        <v>48</v>
      </c>
      <c r="C392" t="s">
        <v>49</v>
      </c>
      <c r="D392" t="s">
        <v>26</v>
      </c>
      <c r="E392" t="s">
        <v>14</v>
      </c>
      <c r="F392" t="s">
        <v>19</v>
      </c>
      <c r="G392">
        <v>7</v>
      </c>
      <c r="H392">
        <v>6</v>
      </c>
      <c r="I392">
        <v>0</v>
      </c>
      <c r="J392">
        <v>3.3</v>
      </c>
    </row>
    <row r="393" spans="1:10" x14ac:dyDescent="0.25">
      <c r="A393" t="s">
        <v>36</v>
      </c>
      <c r="B393" t="s">
        <v>48</v>
      </c>
      <c r="C393" t="s">
        <v>49</v>
      </c>
      <c r="D393" t="s">
        <v>13</v>
      </c>
      <c r="E393" t="s">
        <v>18</v>
      </c>
      <c r="F393" t="s">
        <v>19</v>
      </c>
      <c r="G393">
        <v>6</v>
      </c>
      <c r="H393">
        <v>6</v>
      </c>
      <c r="I393">
        <v>0</v>
      </c>
      <c r="J393">
        <v>1.7</v>
      </c>
    </row>
    <row r="394" spans="1:10" x14ac:dyDescent="0.25">
      <c r="A394" t="s">
        <v>55</v>
      </c>
      <c r="B394" t="s">
        <v>56</v>
      </c>
      <c r="C394" t="s">
        <v>62</v>
      </c>
      <c r="D394" t="s">
        <v>32</v>
      </c>
      <c r="E394" t="s">
        <v>22</v>
      </c>
      <c r="F394" t="s">
        <v>15</v>
      </c>
      <c r="G394">
        <v>3</v>
      </c>
      <c r="H394">
        <v>2</v>
      </c>
      <c r="I394">
        <v>0</v>
      </c>
      <c r="J394">
        <v>1.9</v>
      </c>
    </row>
    <row r="395" spans="1:10" x14ac:dyDescent="0.25">
      <c r="A395" t="s">
        <v>36</v>
      </c>
      <c r="B395" t="s">
        <v>37</v>
      </c>
      <c r="C395" t="s">
        <v>38</v>
      </c>
      <c r="D395" t="s">
        <v>22</v>
      </c>
      <c r="E395" t="s">
        <v>18</v>
      </c>
      <c r="F395" t="s">
        <v>19</v>
      </c>
      <c r="G395">
        <v>4</v>
      </c>
      <c r="H395">
        <v>3</v>
      </c>
      <c r="I395">
        <v>0</v>
      </c>
      <c r="J395">
        <v>3.2</v>
      </c>
    </row>
    <row r="396" spans="1:10" x14ac:dyDescent="0.25">
      <c r="A396" t="s">
        <v>36</v>
      </c>
      <c r="B396" t="s">
        <v>37</v>
      </c>
      <c r="C396" t="s">
        <v>38</v>
      </c>
      <c r="D396" t="s">
        <v>26</v>
      </c>
      <c r="E396" t="s">
        <v>14</v>
      </c>
      <c r="F396" t="s">
        <v>19</v>
      </c>
      <c r="G396">
        <v>3</v>
      </c>
      <c r="H396">
        <v>2</v>
      </c>
      <c r="I396">
        <v>0</v>
      </c>
      <c r="J396">
        <v>3.3</v>
      </c>
    </row>
    <row r="397" spans="1:10" x14ac:dyDescent="0.25">
      <c r="A397" t="s">
        <v>55</v>
      </c>
      <c r="B397" t="s">
        <v>28</v>
      </c>
      <c r="C397" t="s">
        <v>58</v>
      </c>
      <c r="D397" t="s">
        <v>32</v>
      </c>
      <c r="E397" t="s">
        <v>30</v>
      </c>
      <c r="F397" t="s">
        <v>15</v>
      </c>
      <c r="G397">
        <v>5</v>
      </c>
      <c r="H397">
        <v>5</v>
      </c>
      <c r="I397">
        <v>1</v>
      </c>
      <c r="J397">
        <v>3.4</v>
      </c>
    </row>
    <row r="398" spans="1:10" x14ac:dyDescent="0.25">
      <c r="A398" t="s">
        <v>36</v>
      </c>
      <c r="B398" t="s">
        <v>48</v>
      </c>
      <c r="C398" t="s">
        <v>49</v>
      </c>
      <c r="D398" t="s">
        <v>40</v>
      </c>
      <c r="E398" t="s">
        <v>30</v>
      </c>
      <c r="F398" t="s">
        <v>19</v>
      </c>
      <c r="G398">
        <v>2</v>
      </c>
      <c r="H398">
        <v>2</v>
      </c>
      <c r="I398">
        <v>1</v>
      </c>
      <c r="J398">
        <v>0.8</v>
      </c>
    </row>
    <row r="399" spans="1:10" x14ac:dyDescent="0.25">
      <c r="A399" t="s">
        <v>23</v>
      </c>
      <c r="B399" t="s">
        <v>16</v>
      </c>
      <c r="C399" t="s">
        <v>17</v>
      </c>
      <c r="D399" t="s">
        <v>26</v>
      </c>
      <c r="E399" t="s">
        <v>30</v>
      </c>
      <c r="F399" t="s">
        <v>19</v>
      </c>
      <c r="G399">
        <v>7</v>
      </c>
      <c r="H399">
        <v>6</v>
      </c>
      <c r="I399">
        <v>0</v>
      </c>
      <c r="J399">
        <v>0.9</v>
      </c>
    </row>
    <row r="400" spans="1:10" x14ac:dyDescent="0.25">
      <c r="A400" t="s">
        <v>31</v>
      </c>
      <c r="B400" t="s">
        <v>46</v>
      </c>
      <c r="C400" t="s">
        <v>47</v>
      </c>
      <c r="D400" t="s">
        <v>21</v>
      </c>
      <c r="E400" t="s">
        <v>30</v>
      </c>
      <c r="F400" t="s">
        <v>15</v>
      </c>
      <c r="G400">
        <v>1</v>
      </c>
      <c r="H400">
        <v>1</v>
      </c>
      <c r="I400">
        <v>0</v>
      </c>
      <c r="J400">
        <v>3.8</v>
      </c>
    </row>
    <row r="401" spans="1:10" x14ac:dyDescent="0.25">
      <c r="A401" t="s">
        <v>61</v>
      </c>
      <c r="B401" t="s">
        <v>41</v>
      </c>
      <c r="C401" t="s">
        <v>44</v>
      </c>
      <c r="D401" t="s">
        <v>22</v>
      </c>
      <c r="E401" t="s">
        <v>22</v>
      </c>
      <c r="F401" t="s">
        <v>15</v>
      </c>
      <c r="G401">
        <v>3</v>
      </c>
      <c r="H401">
        <v>3</v>
      </c>
      <c r="I401">
        <v>0</v>
      </c>
      <c r="J401">
        <v>3.2</v>
      </c>
    </row>
    <row r="402" spans="1:10" x14ac:dyDescent="0.25">
      <c r="A402" t="s">
        <v>50</v>
      </c>
      <c r="B402" t="s">
        <v>48</v>
      </c>
      <c r="C402" t="s">
        <v>49</v>
      </c>
      <c r="D402" t="s">
        <v>32</v>
      </c>
      <c r="E402" t="s">
        <v>18</v>
      </c>
      <c r="F402" t="s">
        <v>15</v>
      </c>
      <c r="G402">
        <v>2</v>
      </c>
      <c r="H402">
        <v>2</v>
      </c>
      <c r="I402">
        <v>0</v>
      </c>
      <c r="J402">
        <v>3.2</v>
      </c>
    </row>
    <row r="403" spans="1:10" x14ac:dyDescent="0.25">
      <c r="A403" t="s">
        <v>45</v>
      </c>
      <c r="B403" t="s">
        <v>56</v>
      </c>
      <c r="C403" t="s">
        <v>62</v>
      </c>
      <c r="D403" t="s">
        <v>13</v>
      </c>
      <c r="E403" t="s">
        <v>22</v>
      </c>
      <c r="F403" t="s">
        <v>15</v>
      </c>
      <c r="G403">
        <v>4</v>
      </c>
      <c r="H403">
        <v>3</v>
      </c>
      <c r="I403">
        <v>0</v>
      </c>
      <c r="J403">
        <v>2.1</v>
      </c>
    </row>
    <row r="404" spans="1:10" x14ac:dyDescent="0.25">
      <c r="A404" t="s">
        <v>61</v>
      </c>
      <c r="B404" t="s">
        <v>34</v>
      </c>
      <c r="C404" t="s">
        <v>51</v>
      </c>
      <c r="D404" t="s">
        <v>40</v>
      </c>
      <c r="E404" t="s">
        <v>18</v>
      </c>
      <c r="F404" t="s">
        <v>15</v>
      </c>
      <c r="G404">
        <v>6</v>
      </c>
      <c r="H404">
        <v>6</v>
      </c>
      <c r="I404">
        <v>1</v>
      </c>
      <c r="J404">
        <v>4.5</v>
      </c>
    </row>
    <row r="405" spans="1:10" x14ac:dyDescent="0.25">
      <c r="A405" t="s">
        <v>33</v>
      </c>
      <c r="B405" t="s">
        <v>37</v>
      </c>
      <c r="C405" t="s">
        <v>39</v>
      </c>
      <c r="D405" t="s">
        <v>13</v>
      </c>
      <c r="E405" t="s">
        <v>18</v>
      </c>
      <c r="F405" t="s">
        <v>15</v>
      </c>
      <c r="G405">
        <v>2</v>
      </c>
      <c r="H405">
        <v>1</v>
      </c>
      <c r="I405">
        <v>0</v>
      </c>
      <c r="J405">
        <v>3.1</v>
      </c>
    </row>
    <row r="406" spans="1:10" x14ac:dyDescent="0.25">
      <c r="A406" t="s">
        <v>33</v>
      </c>
      <c r="B406" t="s">
        <v>56</v>
      </c>
      <c r="C406" t="s">
        <v>57</v>
      </c>
      <c r="D406" t="s">
        <v>32</v>
      </c>
      <c r="E406" t="s">
        <v>22</v>
      </c>
      <c r="F406" t="s">
        <v>19</v>
      </c>
      <c r="G406">
        <v>9</v>
      </c>
      <c r="H406">
        <v>9</v>
      </c>
      <c r="I406">
        <v>2</v>
      </c>
      <c r="J406">
        <v>3.9</v>
      </c>
    </row>
    <row r="407" spans="1:10" x14ac:dyDescent="0.25">
      <c r="A407" t="s">
        <v>59</v>
      </c>
      <c r="B407" t="s">
        <v>16</v>
      </c>
      <c r="C407" t="s">
        <v>60</v>
      </c>
      <c r="D407" t="s">
        <v>13</v>
      </c>
      <c r="E407" t="s">
        <v>22</v>
      </c>
      <c r="F407" t="s">
        <v>15</v>
      </c>
      <c r="G407">
        <v>4</v>
      </c>
      <c r="H407">
        <v>4</v>
      </c>
      <c r="I407">
        <v>0</v>
      </c>
      <c r="J407">
        <v>4.5</v>
      </c>
    </row>
    <row r="408" spans="1:10" x14ac:dyDescent="0.25">
      <c r="A408" t="s">
        <v>43</v>
      </c>
      <c r="B408" t="s">
        <v>37</v>
      </c>
      <c r="C408" t="s">
        <v>38</v>
      </c>
      <c r="D408" t="s">
        <v>13</v>
      </c>
      <c r="E408" t="s">
        <v>22</v>
      </c>
      <c r="F408" t="s">
        <v>19</v>
      </c>
      <c r="G408">
        <v>5</v>
      </c>
      <c r="H408">
        <v>5</v>
      </c>
      <c r="I408">
        <v>0</v>
      </c>
      <c r="J408">
        <v>1.9</v>
      </c>
    </row>
    <row r="409" spans="1:10" x14ac:dyDescent="0.25">
      <c r="A409" t="s">
        <v>55</v>
      </c>
      <c r="B409" t="s">
        <v>37</v>
      </c>
      <c r="C409" t="s">
        <v>39</v>
      </c>
      <c r="D409" t="s">
        <v>40</v>
      </c>
      <c r="E409" t="s">
        <v>53</v>
      </c>
      <c r="F409" t="s">
        <v>19</v>
      </c>
      <c r="G409">
        <v>8</v>
      </c>
      <c r="H409">
        <v>6</v>
      </c>
      <c r="I409">
        <v>1</v>
      </c>
      <c r="J409">
        <v>3.3</v>
      </c>
    </row>
    <row r="410" spans="1:10" x14ac:dyDescent="0.25">
      <c r="A410" t="s">
        <v>10</v>
      </c>
      <c r="B410" t="s">
        <v>46</v>
      </c>
      <c r="C410" t="s">
        <v>54</v>
      </c>
      <c r="D410" t="s">
        <v>22</v>
      </c>
      <c r="E410" t="s">
        <v>53</v>
      </c>
      <c r="F410" t="s">
        <v>15</v>
      </c>
      <c r="G410">
        <v>2</v>
      </c>
      <c r="H410">
        <v>2</v>
      </c>
      <c r="I410">
        <v>0</v>
      </c>
      <c r="J410">
        <v>1.3</v>
      </c>
    </row>
    <row r="411" spans="1:10" x14ac:dyDescent="0.25">
      <c r="A411" t="s">
        <v>23</v>
      </c>
      <c r="B411" t="s">
        <v>24</v>
      </c>
      <c r="C411" t="s">
        <v>64</v>
      </c>
      <c r="D411" t="s">
        <v>22</v>
      </c>
      <c r="E411" t="s">
        <v>53</v>
      </c>
      <c r="F411" t="s">
        <v>15</v>
      </c>
      <c r="G411">
        <v>7</v>
      </c>
      <c r="H411">
        <v>7</v>
      </c>
      <c r="I411">
        <v>0</v>
      </c>
      <c r="J411">
        <v>1.4</v>
      </c>
    </row>
    <row r="412" spans="1:10" x14ac:dyDescent="0.25">
      <c r="A412" t="s">
        <v>61</v>
      </c>
      <c r="B412" t="s">
        <v>56</v>
      </c>
      <c r="C412" t="s">
        <v>57</v>
      </c>
      <c r="D412" t="s">
        <v>22</v>
      </c>
      <c r="E412" t="s">
        <v>53</v>
      </c>
      <c r="F412" t="s">
        <v>19</v>
      </c>
      <c r="G412">
        <v>5</v>
      </c>
      <c r="H412">
        <v>5</v>
      </c>
      <c r="I412">
        <v>0</v>
      </c>
      <c r="J412">
        <v>1.8</v>
      </c>
    </row>
    <row r="413" spans="1:10" x14ac:dyDescent="0.25">
      <c r="A413" t="s">
        <v>20</v>
      </c>
      <c r="B413" t="s">
        <v>34</v>
      </c>
      <c r="C413" t="s">
        <v>35</v>
      </c>
      <c r="D413" t="s">
        <v>13</v>
      </c>
      <c r="E413" t="s">
        <v>27</v>
      </c>
      <c r="F413" t="s">
        <v>15</v>
      </c>
      <c r="G413">
        <v>8</v>
      </c>
      <c r="H413">
        <v>7</v>
      </c>
      <c r="I413">
        <v>1</v>
      </c>
      <c r="J413">
        <v>2.8</v>
      </c>
    </row>
    <row r="414" spans="1:10" x14ac:dyDescent="0.25">
      <c r="A414" t="s">
        <v>61</v>
      </c>
      <c r="B414" t="s">
        <v>41</v>
      </c>
      <c r="C414" t="s">
        <v>42</v>
      </c>
      <c r="D414" t="s">
        <v>40</v>
      </c>
      <c r="E414" t="s">
        <v>22</v>
      </c>
      <c r="F414" t="s">
        <v>15</v>
      </c>
      <c r="G414">
        <v>2</v>
      </c>
      <c r="H414">
        <v>1</v>
      </c>
      <c r="I414">
        <v>0</v>
      </c>
      <c r="J414">
        <v>3.2</v>
      </c>
    </row>
    <row r="415" spans="1:10" x14ac:dyDescent="0.25">
      <c r="A415" t="s">
        <v>43</v>
      </c>
      <c r="B415" t="s">
        <v>16</v>
      </c>
      <c r="C415" t="s">
        <v>17</v>
      </c>
      <c r="D415" t="s">
        <v>13</v>
      </c>
      <c r="E415" t="s">
        <v>22</v>
      </c>
      <c r="F415" t="s">
        <v>15</v>
      </c>
      <c r="G415">
        <v>4</v>
      </c>
      <c r="H415">
        <v>4</v>
      </c>
      <c r="I415">
        <v>0</v>
      </c>
      <c r="J415">
        <v>2.1</v>
      </c>
    </row>
    <row r="416" spans="1:10" x14ac:dyDescent="0.25">
      <c r="A416" t="s">
        <v>20</v>
      </c>
      <c r="B416" t="s">
        <v>41</v>
      </c>
      <c r="C416" t="s">
        <v>44</v>
      </c>
      <c r="D416" t="s">
        <v>32</v>
      </c>
      <c r="E416" t="s">
        <v>30</v>
      </c>
      <c r="F416" t="s">
        <v>15</v>
      </c>
      <c r="G416">
        <v>3</v>
      </c>
      <c r="H416">
        <v>3</v>
      </c>
      <c r="I416">
        <v>0</v>
      </c>
      <c r="J416">
        <v>3.3</v>
      </c>
    </row>
    <row r="417" spans="1:10" x14ac:dyDescent="0.25">
      <c r="A417" t="s">
        <v>33</v>
      </c>
      <c r="B417" t="s">
        <v>24</v>
      </c>
      <c r="C417" t="s">
        <v>25</v>
      </c>
      <c r="D417" t="s">
        <v>22</v>
      </c>
      <c r="E417" t="s">
        <v>22</v>
      </c>
      <c r="F417" t="s">
        <v>19</v>
      </c>
      <c r="G417">
        <v>6</v>
      </c>
      <c r="H417">
        <v>6</v>
      </c>
      <c r="I417">
        <v>0</v>
      </c>
      <c r="J417">
        <v>2.8</v>
      </c>
    </row>
    <row r="418" spans="1:10" x14ac:dyDescent="0.25">
      <c r="A418" t="s">
        <v>61</v>
      </c>
      <c r="B418" t="s">
        <v>16</v>
      </c>
      <c r="C418" t="s">
        <v>17</v>
      </c>
      <c r="D418" t="s">
        <v>22</v>
      </c>
      <c r="E418" t="s">
        <v>30</v>
      </c>
      <c r="F418" t="s">
        <v>15</v>
      </c>
      <c r="G418">
        <v>5</v>
      </c>
      <c r="H418">
        <v>4</v>
      </c>
      <c r="I418">
        <v>1</v>
      </c>
      <c r="J418">
        <v>0.8</v>
      </c>
    </row>
    <row r="419" spans="1:10" x14ac:dyDescent="0.25">
      <c r="A419" t="s">
        <v>10</v>
      </c>
      <c r="B419" t="s">
        <v>56</v>
      </c>
      <c r="C419" t="s">
        <v>57</v>
      </c>
      <c r="D419" t="s">
        <v>26</v>
      </c>
      <c r="E419" t="s">
        <v>30</v>
      </c>
      <c r="F419" t="s">
        <v>15</v>
      </c>
      <c r="G419">
        <v>4</v>
      </c>
      <c r="H419">
        <v>4</v>
      </c>
      <c r="I419">
        <v>0</v>
      </c>
      <c r="J419">
        <v>2.7</v>
      </c>
    </row>
    <row r="420" spans="1:10" x14ac:dyDescent="0.25">
      <c r="A420" t="s">
        <v>20</v>
      </c>
      <c r="B420" t="s">
        <v>37</v>
      </c>
      <c r="C420" t="s">
        <v>38</v>
      </c>
      <c r="D420" t="s">
        <v>21</v>
      </c>
      <c r="E420" t="s">
        <v>18</v>
      </c>
      <c r="F420" t="s">
        <v>19</v>
      </c>
      <c r="G420">
        <v>7</v>
      </c>
      <c r="H420">
        <v>5</v>
      </c>
      <c r="I420">
        <v>0</v>
      </c>
      <c r="J420">
        <v>3.2</v>
      </c>
    </row>
    <row r="421" spans="1:10" x14ac:dyDescent="0.25">
      <c r="A421" t="s">
        <v>20</v>
      </c>
      <c r="B421" t="s">
        <v>46</v>
      </c>
      <c r="C421" t="s">
        <v>54</v>
      </c>
      <c r="D421" t="s">
        <v>40</v>
      </c>
      <c r="E421" t="s">
        <v>27</v>
      </c>
      <c r="F421" t="s">
        <v>15</v>
      </c>
      <c r="G421">
        <v>3</v>
      </c>
      <c r="H421">
        <v>3</v>
      </c>
      <c r="I421">
        <v>0</v>
      </c>
      <c r="J421">
        <v>3.4</v>
      </c>
    </row>
    <row r="422" spans="1:10" x14ac:dyDescent="0.25">
      <c r="A422" t="s">
        <v>36</v>
      </c>
      <c r="B422" t="s">
        <v>41</v>
      </c>
      <c r="C422" t="s">
        <v>42</v>
      </c>
      <c r="D422" t="s">
        <v>26</v>
      </c>
      <c r="E422" t="s">
        <v>18</v>
      </c>
      <c r="F422" t="s">
        <v>15</v>
      </c>
      <c r="G422">
        <v>5</v>
      </c>
      <c r="H422">
        <v>4</v>
      </c>
      <c r="I422">
        <v>1</v>
      </c>
      <c r="J422">
        <v>2.4</v>
      </c>
    </row>
    <row r="423" spans="1:10" x14ac:dyDescent="0.25">
      <c r="A423" t="s">
        <v>23</v>
      </c>
      <c r="B423" t="s">
        <v>46</v>
      </c>
      <c r="C423" t="s">
        <v>54</v>
      </c>
      <c r="D423" t="s">
        <v>13</v>
      </c>
      <c r="E423" t="s">
        <v>14</v>
      </c>
      <c r="F423" t="s">
        <v>19</v>
      </c>
      <c r="G423">
        <v>7</v>
      </c>
      <c r="H423">
        <v>7</v>
      </c>
      <c r="I423">
        <v>0</v>
      </c>
      <c r="J423">
        <v>3.2</v>
      </c>
    </row>
    <row r="424" spans="1:10" x14ac:dyDescent="0.25">
      <c r="A424" t="s">
        <v>55</v>
      </c>
      <c r="B424" t="s">
        <v>48</v>
      </c>
      <c r="C424" t="s">
        <v>63</v>
      </c>
      <c r="D424" t="s">
        <v>13</v>
      </c>
      <c r="E424" t="s">
        <v>18</v>
      </c>
      <c r="F424" t="s">
        <v>15</v>
      </c>
      <c r="G424">
        <v>4</v>
      </c>
      <c r="H424">
        <v>4</v>
      </c>
      <c r="I424">
        <v>0</v>
      </c>
      <c r="J424">
        <v>1.8</v>
      </c>
    </row>
    <row r="425" spans="1:10" x14ac:dyDescent="0.25">
      <c r="A425" t="s">
        <v>45</v>
      </c>
      <c r="B425" t="s">
        <v>56</v>
      </c>
      <c r="C425" t="s">
        <v>57</v>
      </c>
      <c r="D425" t="s">
        <v>22</v>
      </c>
      <c r="E425" t="s">
        <v>22</v>
      </c>
      <c r="F425" t="s">
        <v>19</v>
      </c>
      <c r="G425">
        <v>9</v>
      </c>
      <c r="H425">
        <v>8</v>
      </c>
      <c r="I425">
        <v>0</v>
      </c>
      <c r="J425">
        <v>2.7</v>
      </c>
    </row>
    <row r="426" spans="1:10" x14ac:dyDescent="0.25">
      <c r="A426" t="s">
        <v>23</v>
      </c>
      <c r="B426" t="s">
        <v>34</v>
      </c>
      <c r="C426" t="s">
        <v>35</v>
      </c>
      <c r="D426" t="s">
        <v>22</v>
      </c>
      <c r="E426" t="s">
        <v>30</v>
      </c>
      <c r="F426" t="s">
        <v>19</v>
      </c>
      <c r="G426">
        <v>7</v>
      </c>
      <c r="H426">
        <v>6</v>
      </c>
      <c r="I426">
        <v>0</v>
      </c>
      <c r="J426">
        <v>2.8</v>
      </c>
    </row>
    <row r="427" spans="1:10" x14ac:dyDescent="0.25">
      <c r="A427" t="s">
        <v>10</v>
      </c>
      <c r="B427" t="s">
        <v>37</v>
      </c>
      <c r="C427" t="s">
        <v>38</v>
      </c>
      <c r="D427" t="s">
        <v>40</v>
      </c>
      <c r="E427" t="s">
        <v>18</v>
      </c>
      <c r="F427" t="s">
        <v>19</v>
      </c>
      <c r="G427">
        <v>6</v>
      </c>
      <c r="H427">
        <v>5</v>
      </c>
      <c r="I427">
        <v>0</v>
      </c>
      <c r="J427">
        <v>4.2</v>
      </c>
    </row>
    <row r="428" spans="1:10" x14ac:dyDescent="0.25">
      <c r="A428" t="s">
        <v>43</v>
      </c>
      <c r="B428" t="s">
        <v>24</v>
      </c>
      <c r="C428" t="s">
        <v>25</v>
      </c>
      <c r="D428" t="s">
        <v>13</v>
      </c>
      <c r="E428" t="s">
        <v>53</v>
      </c>
      <c r="F428" t="s">
        <v>15</v>
      </c>
      <c r="G428">
        <v>2</v>
      </c>
      <c r="H428">
        <v>1</v>
      </c>
      <c r="I428">
        <v>1</v>
      </c>
      <c r="J428">
        <v>4.5</v>
      </c>
    </row>
    <row r="429" spans="1:10" x14ac:dyDescent="0.25">
      <c r="A429" t="s">
        <v>33</v>
      </c>
      <c r="B429" t="s">
        <v>41</v>
      </c>
      <c r="C429" t="s">
        <v>44</v>
      </c>
      <c r="D429" t="s">
        <v>32</v>
      </c>
      <c r="E429" t="s">
        <v>27</v>
      </c>
      <c r="F429" t="s">
        <v>19</v>
      </c>
      <c r="G429">
        <v>8</v>
      </c>
      <c r="H429">
        <v>7</v>
      </c>
      <c r="I429">
        <v>0</v>
      </c>
      <c r="J429">
        <v>2.2999999999999998</v>
      </c>
    </row>
    <row r="430" spans="1:10" x14ac:dyDescent="0.25">
      <c r="A430" t="s">
        <v>43</v>
      </c>
      <c r="B430" t="s">
        <v>46</v>
      </c>
      <c r="C430" t="s">
        <v>54</v>
      </c>
      <c r="D430" t="s">
        <v>13</v>
      </c>
      <c r="E430" t="s">
        <v>53</v>
      </c>
      <c r="F430" t="s">
        <v>15</v>
      </c>
      <c r="G430">
        <v>5</v>
      </c>
      <c r="H430">
        <v>5</v>
      </c>
      <c r="I430">
        <v>0</v>
      </c>
      <c r="J430">
        <v>1.8</v>
      </c>
    </row>
    <row r="431" spans="1:10" x14ac:dyDescent="0.25">
      <c r="A431" t="s">
        <v>45</v>
      </c>
      <c r="B431" t="s">
        <v>34</v>
      </c>
      <c r="C431" t="s">
        <v>51</v>
      </c>
      <c r="D431" t="s">
        <v>21</v>
      </c>
      <c r="E431" t="s">
        <v>30</v>
      </c>
      <c r="F431" t="s">
        <v>19</v>
      </c>
      <c r="G431">
        <v>4</v>
      </c>
      <c r="H431">
        <v>4</v>
      </c>
      <c r="I431">
        <v>0</v>
      </c>
      <c r="J431">
        <v>2.7</v>
      </c>
    </row>
    <row r="432" spans="1:10" x14ac:dyDescent="0.25">
      <c r="A432" t="s">
        <v>50</v>
      </c>
      <c r="B432" t="s">
        <v>24</v>
      </c>
      <c r="C432" t="s">
        <v>25</v>
      </c>
      <c r="D432" t="s">
        <v>13</v>
      </c>
      <c r="E432" t="s">
        <v>18</v>
      </c>
      <c r="F432" t="s">
        <v>19</v>
      </c>
      <c r="G432">
        <v>2</v>
      </c>
      <c r="H432">
        <v>2</v>
      </c>
      <c r="I432">
        <v>0</v>
      </c>
      <c r="J432">
        <v>3.5</v>
      </c>
    </row>
    <row r="433" spans="1:10" x14ac:dyDescent="0.25">
      <c r="A433" t="s">
        <v>36</v>
      </c>
      <c r="B433" t="s">
        <v>56</v>
      </c>
      <c r="C433" t="s">
        <v>62</v>
      </c>
      <c r="D433" t="s">
        <v>13</v>
      </c>
      <c r="E433" t="s">
        <v>22</v>
      </c>
      <c r="F433" t="s">
        <v>19</v>
      </c>
      <c r="G433">
        <v>3</v>
      </c>
      <c r="H433">
        <v>3</v>
      </c>
      <c r="I433">
        <v>0</v>
      </c>
      <c r="J433">
        <v>2.6</v>
      </c>
    </row>
    <row r="434" spans="1:10" x14ac:dyDescent="0.25">
      <c r="A434" t="s">
        <v>43</v>
      </c>
      <c r="B434" t="s">
        <v>46</v>
      </c>
      <c r="C434" t="s">
        <v>47</v>
      </c>
      <c r="D434" t="s">
        <v>32</v>
      </c>
      <c r="E434" t="s">
        <v>18</v>
      </c>
      <c r="F434" t="s">
        <v>15</v>
      </c>
      <c r="G434">
        <v>2</v>
      </c>
      <c r="H434">
        <v>2</v>
      </c>
      <c r="I434">
        <v>0</v>
      </c>
      <c r="J434">
        <v>3.1</v>
      </c>
    </row>
    <row r="435" spans="1:10" x14ac:dyDescent="0.25">
      <c r="A435" t="s">
        <v>59</v>
      </c>
      <c r="B435" t="s">
        <v>37</v>
      </c>
      <c r="C435" t="s">
        <v>39</v>
      </c>
      <c r="D435" t="s">
        <v>21</v>
      </c>
      <c r="E435" t="s">
        <v>53</v>
      </c>
      <c r="F435" t="s">
        <v>15</v>
      </c>
      <c r="G435">
        <v>7</v>
      </c>
      <c r="H435">
        <v>6</v>
      </c>
      <c r="I435">
        <v>0</v>
      </c>
      <c r="J435">
        <v>2.5</v>
      </c>
    </row>
    <row r="436" spans="1:10" x14ac:dyDescent="0.25">
      <c r="A436" t="s">
        <v>43</v>
      </c>
      <c r="B436" t="s">
        <v>56</v>
      </c>
      <c r="C436" t="s">
        <v>62</v>
      </c>
      <c r="D436" t="s">
        <v>32</v>
      </c>
      <c r="E436" t="s">
        <v>27</v>
      </c>
      <c r="F436" t="s">
        <v>15</v>
      </c>
      <c r="G436">
        <v>7</v>
      </c>
      <c r="H436">
        <v>7</v>
      </c>
      <c r="I436">
        <v>0</v>
      </c>
      <c r="J436">
        <v>3.7</v>
      </c>
    </row>
    <row r="437" spans="1:10" x14ac:dyDescent="0.25">
      <c r="A437" t="s">
        <v>43</v>
      </c>
      <c r="B437" t="s">
        <v>37</v>
      </c>
      <c r="C437" t="s">
        <v>39</v>
      </c>
      <c r="D437" t="s">
        <v>26</v>
      </c>
      <c r="E437" t="s">
        <v>30</v>
      </c>
      <c r="F437" t="s">
        <v>19</v>
      </c>
      <c r="G437">
        <v>3</v>
      </c>
      <c r="H437">
        <v>3</v>
      </c>
      <c r="I437">
        <v>0</v>
      </c>
      <c r="J437">
        <v>2.2000000000000002</v>
      </c>
    </row>
    <row r="438" spans="1:10" x14ac:dyDescent="0.25">
      <c r="A438" t="s">
        <v>36</v>
      </c>
      <c r="B438" t="s">
        <v>28</v>
      </c>
      <c r="C438" t="s">
        <v>58</v>
      </c>
      <c r="D438" t="s">
        <v>40</v>
      </c>
      <c r="E438" t="s">
        <v>22</v>
      </c>
      <c r="F438" t="s">
        <v>15</v>
      </c>
      <c r="G438">
        <v>5</v>
      </c>
      <c r="H438">
        <v>5</v>
      </c>
      <c r="I438">
        <v>0</v>
      </c>
      <c r="J438">
        <v>4.7</v>
      </c>
    </row>
    <row r="439" spans="1:10" x14ac:dyDescent="0.25">
      <c r="A439" t="s">
        <v>23</v>
      </c>
      <c r="B439" t="s">
        <v>16</v>
      </c>
      <c r="C439" t="s">
        <v>17</v>
      </c>
      <c r="D439" t="s">
        <v>32</v>
      </c>
      <c r="E439" t="s">
        <v>30</v>
      </c>
      <c r="F439" t="s">
        <v>19</v>
      </c>
      <c r="G439">
        <v>1</v>
      </c>
      <c r="H439">
        <v>1</v>
      </c>
      <c r="I439">
        <v>0</v>
      </c>
      <c r="J439">
        <v>2.1</v>
      </c>
    </row>
    <row r="440" spans="1:10" x14ac:dyDescent="0.25">
      <c r="A440" t="s">
        <v>43</v>
      </c>
      <c r="B440" t="s">
        <v>48</v>
      </c>
      <c r="C440" t="s">
        <v>49</v>
      </c>
      <c r="D440" t="s">
        <v>32</v>
      </c>
      <c r="E440" t="s">
        <v>53</v>
      </c>
      <c r="F440" t="s">
        <v>15</v>
      </c>
      <c r="G440">
        <v>6</v>
      </c>
      <c r="H440">
        <v>6</v>
      </c>
      <c r="I440">
        <v>0</v>
      </c>
      <c r="J440">
        <v>4</v>
      </c>
    </row>
    <row r="441" spans="1:10" x14ac:dyDescent="0.25">
      <c r="A441" t="s">
        <v>10</v>
      </c>
      <c r="B441" t="s">
        <v>41</v>
      </c>
      <c r="C441" t="s">
        <v>44</v>
      </c>
      <c r="D441" t="s">
        <v>26</v>
      </c>
      <c r="E441" t="s">
        <v>22</v>
      </c>
      <c r="F441" t="s">
        <v>19</v>
      </c>
      <c r="G441">
        <v>6</v>
      </c>
      <c r="H441">
        <v>6</v>
      </c>
      <c r="I441">
        <v>0</v>
      </c>
      <c r="J441">
        <v>3.5</v>
      </c>
    </row>
    <row r="442" spans="1:10" x14ac:dyDescent="0.25">
      <c r="A442" t="s">
        <v>23</v>
      </c>
      <c r="B442" t="s">
        <v>56</v>
      </c>
      <c r="C442" t="s">
        <v>62</v>
      </c>
      <c r="D442" t="s">
        <v>32</v>
      </c>
      <c r="E442" t="s">
        <v>18</v>
      </c>
      <c r="F442" t="s">
        <v>15</v>
      </c>
      <c r="G442">
        <v>9</v>
      </c>
      <c r="H442">
        <v>8</v>
      </c>
      <c r="I442">
        <v>0</v>
      </c>
      <c r="J442">
        <v>1.2</v>
      </c>
    </row>
    <row r="443" spans="1:10" x14ac:dyDescent="0.25">
      <c r="A443" t="s">
        <v>36</v>
      </c>
      <c r="B443" t="s">
        <v>41</v>
      </c>
      <c r="C443" t="s">
        <v>44</v>
      </c>
      <c r="D443" t="s">
        <v>26</v>
      </c>
      <c r="E443" t="s">
        <v>14</v>
      </c>
      <c r="F443" t="s">
        <v>15</v>
      </c>
      <c r="G443">
        <v>8</v>
      </c>
      <c r="H443">
        <v>6</v>
      </c>
      <c r="I443">
        <v>0</v>
      </c>
      <c r="J443">
        <v>2.2000000000000002</v>
      </c>
    </row>
    <row r="444" spans="1:10" x14ac:dyDescent="0.25">
      <c r="A444" t="s">
        <v>45</v>
      </c>
      <c r="B444" t="s">
        <v>48</v>
      </c>
      <c r="C444" t="s">
        <v>63</v>
      </c>
      <c r="D444" t="s">
        <v>26</v>
      </c>
      <c r="E444" t="s">
        <v>53</v>
      </c>
      <c r="F444" t="s">
        <v>19</v>
      </c>
      <c r="G444">
        <v>7</v>
      </c>
      <c r="H444">
        <v>7</v>
      </c>
      <c r="I444">
        <v>2</v>
      </c>
      <c r="J444">
        <v>3.9</v>
      </c>
    </row>
    <row r="445" spans="1:10" x14ac:dyDescent="0.25">
      <c r="A445" t="s">
        <v>45</v>
      </c>
      <c r="B445" t="s">
        <v>16</v>
      </c>
      <c r="C445" t="s">
        <v>17</v>
      </c>
      <c r="D445" t="s">
        <v>40</v>
      </c>
      <c r="E445" t="s">
        <v>27</v>
      </c>
      <c r="F445" t="s">
        <v>19</v>
      </c>
      <c r="G445">
        <v>7</v>
      </c>
      <c r="H445">
        <v>6</v>
      </c>
      <c r="I445">
        <v>0</v>
      </c>
      <c r="J445">
        <v>3.5</v>
      </c>
    </row>
    <row r="446" spans="1:10" x14ac:dyDescent="0.25">
      <c r="A446" t="s">
        <v>36</v>
      </c>
      <c r="B446" t="s">
        <v>48</v>
      </c>
      <c r="C446" t="s">
        <v>63</v>
      </c>
      <c r="D446" t="s">
        <v>13</v>
      </c>
      <c r="E446" t="s">
        <v>53</v>
      </c>
      <c r="F446" t="s">
        <v>19</v>
      </c>
      <c r="G446">
        <v>5</v>
      </c>
      <c r="H446">
        <v>5</v>
      </c>
      <c r="I446">
        <v>0</v>
      </c>
      <c r="J446">
        <v>2.2000000000000002</v>
      </c>
    </row>
    <row r="447" spans="1:10" x14ac:dyDescent="0.25">
      <c r="A447" t="s">
        <v>33</v>
      </c>
      <c r="B447" t="s">
        <v>11</v>
      </c>
      <c r="C447" t="s">
        <v>52</v>
      </c>
      <c r="D447" t="s">
        <v>21</v>
      </c>
      <c r="E447" t="s">
        <v>30</v>
      </c>
      <c r="F447" t="s">
        <v>15</v>
      </c>
      <c r="G447">
        <v>4</v>
      </c>
      <c r="H447">
        <v>4</v>
      </c>
      <c r="I447">
        <v>0</v>
      </c>
      <c r="J447">
        <v>4.2</v>
      </c>
    </row>
    <row r="448" spans="1:10" x14ac:dyDescent="0.25">
      <c r="A448" t="s">
        <v>20</v>
      </c>
      <c r="B448" t="s">
        <v>48</v>
      </c>
      <c r="C448" t="s">
        <v>49</v>
      </c>
      <c r="D448" t="s">
        <v>26</v>
      </c>
      <c r="E448" t="s">
        <v>22</v>
      </c>
      <c r="F448" t="s">
        <v>15</v>
      </c>
      <c r="G448">
        <v>3</v>
      </c>
      <c r="H448">
        <v>3</v>
      </c>
      <c r="I448">
        <v>0</v>
      </c>
      <c r="J448">
        <v>3.2</v>
      </c>
    </row>
    <row r="449" spans="1:10" x14ac:dyDescent="0.25">
      <c r="A449" t="s">
        <v>36</v>
      </c>
      <c r="B449" t="s">
        <v>28</v>
      </c>
      <c r="C449" t="s">
        <v>29</v>
      </c>
      <c r="D449" t="s">
        <v>26</v>
      </c>
      <c r="E449" t="s">
        <v>22</v>
      </c>
      <c r="F449" t="s">
        <v>15</v>
      </c>
      <c r="G449">
        <v>5</v>
      </c>
      <c r="H449">
        <v>5</v>
      </c>
      <c r="I449">
        <v>0</v>
      </c>
      <c r="J449">
        <v>3.1</v>
      </c>
    </row>
    <row r="450" spans="1:10" x14ac:dyDescent="0.25">
      <c r="A450" t="s">
        <v>50</v>
      </c>
      <c r="B450" t="s">
        <v>34</v>
      </c>
      <c r="C450" t="s">
        <v>35</v>
      </c>
      <c r="D450" t="s">
        <v>26</v>
      </c>
      <c r="E450" t="s">
        <v>27</v>
      </c>
      <c r="F450" t="s">
        <v>15</v>
      </c>
      <c r="G450">
        <v>5</v>
      </c>
      <c r="H450">
        <v>5</v>
      </c>
      <c r="I450">
        <v>0</v>
      </c>
      <c r="J450">
        <v>3.1</v>
      </c>
    </row>
    <row r="451" spans="1:10" x14ac:dyDescent="0.25">
      <c r="A451" t="s">
        <v>31</v>
      </c>
      <c r="B451" t="s">
        <v>46</v>
      </c>
      <c r="C451" t="s">
        <v>47</v>
      </c>
      <c r="D451" t="s">
        <v>21</v>
      </c>
      <c r="E451" t="s">
        <v>22</v>
      </c>
      <c r="F451" t="s">
        <v>19</v>
      </c>
      <c r="G451">
        <v>4</v>
      </c>
      <c r="H451">
        <v>4</v>
      </c>
      <c r="I451">
        <v>0</v>
      </c>
      <c r="J451">
        <v>3.2</v>
      </c>
    </row>
    <row r="452" spans="1:10" x14ac:dyDescent="0.25">
      <c r="A452" t="s">
        <v>33</v>
      </c>
      <c r="B452" t="s">
        <v>28</v>
      </c>
      <c r="C452" t="s">
        <v>29</v>
      </c>
      <c r="D452" t="s">
        <v>32</v>
      </c>
      <c r="E452" t="s">
        <v>22</v>
      </c>
      <c r="F452" t="s">
        <v>19</v>
      </c>
      <c r="G452">
        <v>3</v>
      </c>
      <c r="H452">
        <v>3</v>
      </c>
      <c r="I452">
        <v>0</v>
      </c>
      <c r="J452">
        <v>3.7</v>
      </c>
    </row>
    <row r="453" spans="1:10" x14ac:dyDescent="0.25">
      <c r="A453" t="s">
        <v>23</v>
      </c>
      <c r="B453" t="s">
        <v>37</v>
      </c>
      <c r="C453" t="s">
        <v>38</v>
      </c>
      <c r="D453" t="s">
        <v>21</v>
      </c>
      <c r="E453" t="s">
        <v>22</v>
      </c>
      <c r="F453" t="s">
        <v>15</v>
      </c>
      <c r="G453">
        <v>2</v>
      </c>
      <c r="H453">
        <v>1</v>
      </c>
      <c r="I453">
        <v>1</v>
      </c>
      <c r="J453">
        <v>4.9000000000000004</v>
      </c>
    </row>
    <row r="454" spans="1:10" x14ac:dyDescent="0.25">
      <c r="A454" t="s">
        <v>23</v>
      </c>
      <c r="B454" t="s">
        <v>34</v>
      </c>
      <c r="C454" t="s">
        <v>51</v>
      </c>
      <c r="D454" t="s">
        <v>26</v>
      </c>
      <c r="E454" t="s">
        <v>27</v>
      </c>
      <c r="F454" t="s">
        <v>15</v>
      </c>
      <c r="G454">
        <v>5</v>
      </c>
      <c r="H454">
        <v>5</v>
      </c>
      <c r="I454">
        <v>0</v>
      </c>
      <c r="J454">
        <v>1.7</v>
      </c>
    </row>
    <row r="455" spans="1:10" x14ac:dyDescent="0.25">
      <c r="A455" t="s">
        <v>43</v>
      </c>
      <c r="B455" t="s">
        <v>11</v>
      </c>
      <c r="C455" t="s">
        <v>12</v>
      </c>
      <c r="D455" t="s">
        <v>26</v>
      </c>
      <c r="E455" t="s">
        <v>53</v>
      </c>
      <c r="F455" t="s">
        <v>15</v>
      </c>
      <c r="G455">
        <v>2</v>
      </c>
      <c r="H455">
        <v>1</v>
      </c>
      <c r="I455">
        <v>0</v>
      </c>
      <c r="J455">
        <v>2.2000000000000002</v>
      </c>
    </row>
    <row r="456" spans="1:10" x14ac:dyDescent="0.25">
      <c r="A456" t="s">
        <v>61</v>
      </c>
      <c r="B456" t="s">
        <v>46</v>
      </c>
      <c r="C456" t="s">
        <v>54</v>
      </c>
      <c r="D456" t="s">
        <v>13</v>
      </c>
      <c r="E456" t="s">
        <v>27</v>
      </c>
      <c r="F456" t="s">
        <v>15</v>
      </c>
      <c r="G456">
        <v>4</v>
      </c>
      <c r="H456">
        <v>4</v>
      </c>
      <c r="I456">
        <v>0</v>
      </c>
      <c r="J456">
        <v>2.7</v>
      </c>
    </row>
    <row r="457" spans="1:10" x14ac:dyDescent="0.25">
      <c r="A457" t="s">
        <v>59</v>
      </c>
      <c r="B457" t="s">
        <v>34</v>
      </c>
      <c r="C457" t="s">
        <v>51</v>
      </c>
      <c r="D457" t="s">
        <v>13</v>
      </c>
      <c r="E457" t="s">
        <v>27</v>
      </c>
      <c r="F457" t="s">
        <v>19</v>
      </c>
      <c r="G457">
        <v>4</v>
      </c>
      <c r="H457">
        <v>3</v>
      </c>
      <c r="I457">
        <v>2</v>
      </c>
      <c r="J457">
        <v>2.4</v>
      </c>
    </row>
    <row r="458" spans="1:10" x14ac:dyDescent="0.25">
      <c r="A458" t="s">
        <v>50</v>
      </c>
      <c r="B458" t="s">
        <v>34</v>
      </c>
      <c r="C458" t="s">
        <v>35</v>
      </c>
      <c r="D458" t="s">
        <v>13</v>
      </c>
      <c r="E458" t="s">
        <v>14</v>
      </c>
      <c r="F458" t="s">
        <v>15</v>
      </c>
      <c r="G458">
        <v>7</v>
      </c>
      <c r="H458">
        <v>7</v>
      </c>
      <c r="I458">
        <v>0</v>
      </c>
      <c r="J458">
        <v>3.2</v>
      </c>
    </row>
    <row r="459" spans="1:10" x14ac:dyDescent="0.25">
      <c r="A459" t="s">
        <v>59</v>
      </c>
      <c r="B459" t="s">
        <v>11</v>
      </c>
      <c r="C459" t="s">
        <v>52</v>
      </c>
      <c r="D459" t="s">
        <v>13</v>
      </c>
      <c r="E459" t="s">
        <v>22</v>
      </c>
      <c r="F459" t="s">
        <v>15</v>
      </c>
      <c r="G459">
        <v>8</v>
      </c>
      <c r="H459">
        <v>8</v>
      </c>
      <c r="I459">
        <v>0</v>
      </c>
      <c r="J459">
        <v>2</v>
      </c>
    </row>
    <row r="460" spans="1:10" x14ac:dyDescent="0.25">
      <c r="A460" t="s">
        <v>31</v>
      </c>
      <c r="B460" t="s">
        <v>34</v>
      </c>
      <c r="C460" t="s">
        <v>51</v>
      </c>
      <c r="D460" t="s">
        <v>26</v>
      </c>
      <c r="E460" t="s">
        <v>27</v>
      </c>
      <c r="F460" t="s">
        <v>19</v>
      </c>
      <c r="G460">
        <v>5</v>
      </c>
      <c r="H460">
        <v>5</v>
      </c>
      <c r="I460">
        <v>0</v>
      </c>
      <c r="J460">
        <v>2.1</v>
      </c>
    </row>
    <row r="461" spans="1:10" x14ac:dyDescent="0.25">
      <c r="A461" t="s">
        <v>33</v>
      </c>
      <c r="B461" t="s">
        <v>37</v>
      </c>
      <c r="C461" t="s">
        <v>38</v>
      </c>
      <c r="D461" t="s">
        <v>21</v>
      </c>
      <c r="E461" t="s">
        <v>18</v>
      </c>
      <c r="F461" t="s">
        <v>19</v>
      </c>
      <c r="G461">
        <v>1</v>
      </c>
      <c r="H461">
        <v>1</v>
      </c>
      <c r="I461">
        <v>0</v>
      </c>
      <c r="J461">
        <v>3.1</v>
      </c>
    </row>
    <row r="462" spans="1:10" x14ac:dyDescent="0.25">
      <c r="A462" t="s">
        <v>50</v>
      </c>
      <c r="B462" t="s">
        <v>11</v>
      </c>
      <c r="C462" t="s">
        <v>12</v>
      </c>
      <c r="D462" t="s">
        <v>21</v>
      </c>
      <c r="E462" t="s">
        <v>18</v>
      </c>
      <c r="F462" t="s">
        <v>19</v>
      </c>
      <c r="G462">
        <v>3</v>
      </c>
      <c r="H462">
        <v>3</v>
      </c>
      <c r="I462">
        <v>0</v>
      </c>
      <c r="J462">
        <v>2.2000000000000002</v>
      </c>
    </row>
    <row r="463" spans="1:10" x14ac:dyDescent="0.25">
      <c r="A463" t="s">
        <v>10</v>
      </c>
      <c r="B463" t="s">
        <v>34</v>
      </c>
      <c r="C463" t="s">
        <v>35</v>
      </c>
      <c r="D463" t="s">
        <v>26</v>
      </c>
      <c r="E463" t="s">
        <v>18</v>
      </c>
      <c r="F463" t="s">
        <v>19</v>
      </c>
      <c r="G463">
        <v>8</v>
      </c>
      <c r="H463">
        <v>7</v>
      </c>
      <c r="I463">
        <v>0</v>
      </c>
      <c r="J463">
        <v>1.9</v>
      </c>
    </row>
    <row r="464" spans="1:10" x14ac:dyDescent="0.25">
      <c r="A464" t="s">
        <v>33</v>
      </c>
      <c r="B464" t="s">
        <v>46</v>
      </c>
      <c r="C464" t="s">
        <v>47</v>
      </c>
      <c r="D464" t="s">
        <v>40</v>
      </c>
      <c r="E464" t="s">
        <v>22</v>
      </c>
      <c r="F464" t="s">
        <v>15</v>
      </c>
      <c r="G464">
        <v>3</v>
      </c>
      <c r="H464">
        <v>3</v>
      </c>
      <c r="I464">
        <v>0</v>
      </c>
      <c r="J464">
        <v>2</v>
      </c>
    </row>
    <row r="465" spans="1:10" x14ac:dyDescent="0.25">
      <c r="A465" t="s">
        <v>50</v>
      </c>
      <c r="B465" t="s">
        <v>56</v>
      </c>
      <c r="C465" t="s">
        <v>62</v>
      </c>
      <c r="D465" t="s">
        <v>40</v>
      </c>
      <c r="E465" t="s">
        <v>27</v>
      </c>
      <c r="F465" t="s">
        <v>19</v>
      </c>
      <c r="G465">
        <v>7</v>
      </c>
      <c r="H465">
        <v>6</v>
      </c>
      <c r="I465">
        <v>2</v>
      </c>
      <c r="J465">
        <v>4.2</v>
      </c>
    </row>
    <row r="466" spans="1:10" x14ac:dyDescent="0.25">
      <c r="A466" t="s">
        <v>43</v>
      </c>
      <c r="B466" t="s">
        <v>41</v>
      </c>
      <c r="C466" t="s">
        <v>44</v>
      </c>
      <c r="D466" t="s">
        <v>32</v>
      </c>
      <c r="E466" t="s">
        <v>30</v>
      </c>
      <c r="F466" t="s">
        <v>15</v>
      </c>
      <c r="G466">
        <v>3</v>
      </c>
      <c r="H466">
        <v>3</v>
      </c>
      <c r="I466">
        <v>0</v>
      </c>
      <c r="J466">
        <v>1.8</v>
      </c>
    </row>
    <row r="467" spans="1:10" x14ac:dyDescent="0.25">
      <c r="A467" t="s">
        <v>50</v>
      </c>
      <c r="B467" t="s">
        <v>46</v>
      </c>
      <c r="C467" t="s">
        <v>54</v>
      </c>
      <c r="D467" t="s">
        <v>40</v>
      </c>
      <c r="E467" t="s">
        <v>53</v>
      </c>
      <c r="F467" t="s">
        <v>19</v>
      </c>
      <c r="G467">
        <v>5</v>
      </c>
      <c r="H467">
        <v>4</v>
      </c>
      <c r="I467">
        <v>0</v>
      </c>
      <c r="J467">
        <v>1.3</v>
      </c>
    </row>
    <row r="468" spans="1:10" x14ac:dyDescent="0.25">
      <c r="A468" t="s">
        <v>31</v>
      </c>
      <c r="B468" t="s">
        <v>34</v>
      </c>
      <c r="C468" t="s">
        <v>51</v>
      </c>
      <c r="D468" t="s">
        <v>40</v>
      </c>
      <c r="E468" t="s">
        <v>18</v>
      </c>
      <c r="F468" t="s">
        <v>15</v>
      </c>
      <c r="G468">
        <v>8</v>
      </c>
      <c r="H468">
        <v>8</v>
      </c>
      <c r="I468">
        <v>0</v>
      </c>
      <c r="J468">
        <v>1.9</v>
      </c>
    </row>
    <row r="469" spans="1:10" x14ac:dyDescent="0.25">
      <c r="A469" t="s">
        <v>61</v>
      </c>
      <c r="B469" t="s">
        <v>48</v>
      </c>
      <c r="C469" t="s">
        <v>49</v>
      </c>
      <c r="D469" t="s">
        <v>21</v>
      </c>
      <c r="E469" t="s">
        <v>53</v>
      </c>
      <c r="F469" t="s">
        <v>15</v>
      </c>
      <c r="G469">
        <v>3</v>
      </c>
      <c r="H469">
        <v>3</v>
      </c>
      <c r="I469">
        <v>1</v>
      </c>
      <c r="J469">
        <v>2.6</v>
      </c>
    </row>
    <row r="470" spans="1:10" x14ac:dyDescent="0.25">
      <c r="A470" t="s">
        <v>20</v>
      </c>
      <c r="B470" t="s">
        <v>48</v>
      </c>
      <c r="C470" t="s">
        <v>49</v>
      </c>
      <c r="D470" t="s">
        <v>40</v>
      </c>
      <c r="E470" t="s">
        <v>53</v>
      </c>
      <c r="F470" t="s">
        <v>19</v>
      </c>
      <c r="G470">
        <v>5</v>
      </c>
      <c r="H470">
        <v>4</v>
      </c>
      <c r="I470">
        <v>0</v>
      </c>
      <c r="J470">
        <v>2.2000000000000002</v>
      </c>
    </row>
    <row r="471" spans="1:10" x14ac:dyDescent="0.25">
      <c r="A471" t="s">
        <v>59</v>
      </c>
      <c r="B471" t="s">
        <v>48</v>
      </c>
      <c r="C471" t="s">
        <v>63</v>
      </c>
      <c r="D471" t="s">
        <v>21</v>
      </c>
      <c r="E471" t="s">
        <v>53</v>
      </c>
      <c r="F471" t="s">
        <v>15</v>
      </c>
      <c r="G471">
        <v>3</v>
      </c>
      <c r="H471">
        <v>2</v>
      </c>
      <c r="I471">
        <v>0</v>
      </c>
      <c r="J471">
        <v>2.6</v>
      </c>
    </row>
    <row r="472" spans="1:10" x14ac:dyDescent="0.25">
      <c r="A472" t="s">
        <v>23</v>
      </c>
      <c r="B472" t="s">
        <v>34</v>
      </c>
      <c r="C472" t="s">
        <v>35</v>
      </c>
      <c r="D472" t="s">
        <v>40</v>
      </c>
      <c r="E472" t="s">
        <v>18</v>
      </c>
      <c r="F472" t="s">
        <v>15</v>
      </c>
      <c r="G472">
        <v>7</v>
      </c>
      <c r="H472">
        <v>5</v>
      </c>
      <c r="I472">
        <v>0</v>
      </c>
      <c r="J472">
        <v>3.6</v>
      </c>
    </row>
    <row r="473" spans="1:10" x14ac:dyDescent="0.25">
      <c r="A473" t="s">
        <v>33</v>
      </c>
      <c r="B473" t="s">
        <v>56</v>
      </c>
      <c r="C473" t="s">
        <v>57</v>
      </c>
      <c r="D473" t="s">
        <v>13</v>
      </c>
      <c r="E473" t="s">
        <v>27</v>
      </c>
      <c r="F473" t="s">
        <v>19</v>
      </c>
      <c r="G473">
        <v>3</v>
      </c>
      <c r="H473">
        <v>2</v>
      </c>
      <c r="I473">
        <v>0</v>
      </c>
      <c r="J473">
        <v>2.2000000000000002</v>
      </c>
    </row>
    <row r="474" spans="1:10" x14ac:dyDescent="0.25">
      <c r="A474" t="s">
        <v>23</v>
      </c>
      <c r="B474" t="s">
        <v>46</v>
      </c>
      <c r="C474" t="s">
        <v>47</v>
      </c>
      <c r="D474" t="s">
        <v>26</v>
      </c>
      <c r="E474" t="s">
        <v>22</v>
      </c>
      <c r="F474" t="s">
        <v>19</v>
      </c>
      <c r="G474">
        <v>5</v>
      </c>
      <c r="H474">
        <v>4</v>
      </c>
      <c r="I474">
        <v>0</v>
      </c>
      <c r="J474">
        <v>2.8</v>
      </c>
    </row>
    <row r="475" spans="1:10" x14ac:dyDescent="0.25">
      <c r="A475" t="s">
        <v>43</v>
      </c>
      <c r="B475" t="s">
        <v>37</v>
      </c>
      <c r="C475" t="s">
        <v>38</v>
      </c>
      <c r="D475" t="s">
        <v>26</v>
      </c>
      <c r="E475" t="s">
        <v>22</v>
      </c>
      <c r="F475" t="s">
        <v>19</v>
      </c>
      <c r="G475">
        <v>5</v>
      </c>
      <c r="H475">
        <v>5</v>
      </c>
      <c r="I475">
        <v>0</v>
      </c>
      <c r="J475">
        <v>1.9</v>
      </c>
    </row>
    <row r="476" spans="1:10" x14ac:dyDescent="0.25">
      <c r="A476" t="s">
        <v>45</v>
      </c>
      <c r="B476" t="s">
        <v>37</v>
      </c>
      <c r="C476" t="s">
        <v>39</v>
      </c>
      <c r="D476" t="s">
        <v>21</v>
      </c>
      <c r="E476" t="s">
        <v>30</v>
      </c>
      <c r="F476" t="s">
        <v>15</v>
      </c>
      <c r="G476">
        <v>5</v>
      </c>
      <c r="H476">
        <v>5</v>
      </c>
      <c r="I476">
        <v>1</v>
      </c>
      <c r="J476">
        <v>4.2</v>
      </c>
    </row>
    <row r="477" spans="1:10" x14ac:dyDescent="0.25">
      <c r="A477" t="s">
        <v>36</v>
      </c>
      <c r="B477" t="s">
        <v>56</v>
      </c>
      <c r="C477" t="s">
        <v>57</v>
      </c>
      <c r="D477" t="s">
        <v>13</v>
      </c>
      <c r="E477" t="s">
        <v>27</v>
      </c>
      <c r="F477" t="s">
        <v>15</v>
      </c>
      <c r="G477">
        <v>7</v>
      </c>
      <c r="H477">
        <v>7</v>
      </c>
      <c r="I477">
        <v>0</v>
      </c>
      <c r="J477">
        <v>3.6</v>
      </c>
    </row>
    <row r="478" spans="1:10" x14ac:dyDescent="0.25">
      <c r="A478" t="s">
        <v>55</v>
      </c>
      <c r="B478" t="s">
        <v>11</v>
      </c>
      <c r="C478" t="s">
        <v>52</v>
      </c>
      <c r="D478" t="s">
        <v>21</v>
      </c>
      <c r="E478" t="s">
        <v>18</v>
      </c>
      <c r="F478" t="s">
        <v>15</v>
      </c>
      <c r="G478">
        <v>5</v>
      </c>
      <c r="H478">
        <v>5</v>
      </c>
      <c r="I478">
        <v>0</v>
      </c>
      <c r="J478">
        <v>2.5</v>
      </c>
    </row>
    <row r="479" spans="1:10" x14ac:dyDescent="0.25">
      <c r="A479" t="s">
        <v>45</v>
      </c>
      <c r="B479" t="s">
        <v>37</v>
      </c>
      <c r="C479" t="s">
        <v>38</v>
      </c>
      <c r="D479" t="s">
        <v>40</v>
      </c>
      <c r="E479" t="s">
        <v>27</v>
      </c>
      <c r="F479" t="s">
        <v>19</v>
      </c>
      <c r="G479">
        <v>3</v>
      </c>
      <c r="H479">
        <v>3</v>
      </c>
      <c r="I479">
        <v>0</v>
      </c>
      <c r="J479">
        <v>2.5</v>
      </c>
    </row>
    <row r="480" spans="1:10" x14ac:dyDescent="0.25">
      <c r="A480" t="s">
        <v>43</v>
      </c>
      <c r="B480" t="s">
        <v>37</v>
      </c>
      <c r="C480" t="s">
        <v>38</v>
      </c>
      <c r="D480" t="s">
        <v>13</v>
      </c>
      <c r="E480" t="s">
        <v>22</v>
      </c>
      <c r="F480" t="s">
        <v>15</v>
      </c>
      <c r="G480">
        <v>3</v>
      </c>
      <c r="H480">
        <v>3</v>
      </c>
      <c r="I480">
        <v>0</v>
      </c>
      <c r="J480">
        <v>4</v>
      </c>
    </row>
    <row r="481" spans="1:10" x14ac:dyDescent="0.25">
      <c r="A481" t="s">
        <v>43</v>
      </c>
      <c r="B481" t="s">
        <v>56</v>
      </c>
      <c r="C481" t="s">
        <v>57</v>
      </c>
      <c r="D481" t="s">
        <v>32</v>
      </c>
      <c r="E481" t="s">
        <v>53</v>
      </c>
      <c r="F481" t="s">
        <v>15</v>
      </c>
      <c r="G481">
        <v>3</v>
      </c>
      <c r="H481">
        <v>3</v>
      </c>
      <c r="I481">
        <v>0</v>
      </c>
      <c r="J481">
        <v>3.2</v>
      </c>
    </row>
    <row r="482" spans="1:10" x14ac:dyDescent="0.25">
      <c r="A482" t="s">
        <v>45</v>
      </c>
      <c r="B482" t="s">
        <v>16</v>
      </c>
      <c r="C482" t="s">
        <v>17</v>
      </c>
      <c r="D482" t="s">
        <v>32</v>
      </c>
      <c r="E482" t="s">
        <v>53</v>
      </c>
      <c r="F482" t="s">
        <v>15</v>
      </c>
      <c r="G482">
        <v>5</v>
      </c>
      <c r="H482">
        <v>5</v>
      </c>
      <c r="I482">
        <v>0</v>
      </c>
      <c r="J482">
        <v>1.4</v>
      </c>
    </row>
    <row r="483" spans="1:10" x14ac:dyDescent="0.25">
      <c r="A483" t="s">
        <v>31</v>
      </c>
      <c r="B483" t="s">
        <v>48</v>
      </c>
      <c r="C483" t="s">
        <v>49</v>
      </c>
      <c r="D483" t="s">
        <v>13</v>
      </c>
      <c r="E483" t="s">
        <v>22</v>
      </c>
      <c r="F483" t="s">
        <v>19</v>
      </c>
      <c r="G483">
        <v>7</v>
      </c>
      <c r="H483">
        <v>7</v>
      </c>
      <c r="I483">
        <v>0</v>
      </c>
      <c r="J483">
        <v>3.1</v>
      </c>
    </row>
    <row r="484" spans="1:10" x14ac:dyDescent="0.25">
      <c r="A484" t="s">
        <v>31</v>
      </c>
      <c r="B484" t="s">
        <v>48</v>
      </c>
      <c r="C484" t="s">
        <v>49</v>
      </c>
      <c r="D484" t="s">
        <v>21</v>
      </c>
      <c r="E484" t="s">
        <v>30</v>
      </c>
      <c r="F484" t="s">
        <v>15</v>
      </c>
      <c r="G484">
        <v>4</v>
      </c>
      <c r="H484">
        <v>4</v>
      </c>
      <c r="I484">
        <v>0</v>
      </c>
      <c r="J484">
        <v>4.5</v>
      </c>
    </row>
    <row r="485" spans="1:10" x14ac:dyDescent="0.25">
      <c r="A485" t="s">
        <v>61</v>
      </c>
      <c r="B485" t="s">
        <v>37</v>
      </c>
      <c r="C485" t="s">
        <v>38</v>
      </c>
      <c r="D485" t="s">
        <v>21</v>
      </c>
      <c r="E485" t="s">
        <v>53</v>
      </c>
      <c r="F485" t="s">
        <v>15</v>
      </c>
      <c r="G485">
        <v>3</v>
      </c>
      <c r="H485">
        <v>3</v>
      </c>
      <c r="I485">
        <v>0</v>
      </c>
      <c r="J485">
        <v>3.7</v>
      </c>
    </row>
    <row r="486" spans="1:10" x14ac:dyDescent="0.25">
      <c r="A486" t="s">
        <v>20</v>
      </c>
      <c r="B486" t="s">
        <v>48</v>
      </c>
      <c r="C486" t="s">
        <v>63</v>
      </c>
      <c r="D486" t="s">
        <v>32</v>
      </c>
      <c r="E486" t="s">
        <v>30</v>
      </c>
      <c r="F486" t="s">
        <v>15</v>
      </c>
      <c r="G486">
        <v>5</v>
      </c>
      <c r="H486">
        <v>5</v>
      </c>
      <c r="I486">
        <v>1</v>
      </c>
      <c r="J486">
        <v>3</v>
      </c>
    </row>
    <row r="487" spans="1:10" x14ac:dyDescent="0.25">
      <c r="A487" t="s">
        <v>45</v>
      </c>
      <c r="B487" t="s">
        <v>46</v>
      </c>
      <c r="C487" t="s">
        <v>47</v>
      </c>
      <c r="D487" t="s">
        <v>32</v>
      </c>
      <c r="E487" t="s">
        <v>14</v>
      </c>
      <c r="F487" t="s">
        <v>19</v>
      </c>
      <c r="G487">
        <v>4</v>
      </c>
      <c r="H487">
        <v>3</v>
      </c>
      <c r="I487">
        <v>0</v>
      </c>
      <c r="J487">
        <v>3.1</v>
      </c>
    </row>
    <row r="488" spans="1:10" x14ac:dyDescent="0.25">
      <c r="A488" t="s">
        <v>59</v>
      </c>
      <c r="B488" t="s">
        <v>24</v>
      </c>
      <c r="C488" t="s">
        <v>64</v>
      </c>
      <c r="D488" t="s">
        <v>13</v>
      </c>
      <c r="E488" t="s">
        <v>18</v>
      </c>
      <c r="F488" t="s">
        <v>15</v>
      </c>
      <c r="G488">
        <v>6</v>
      </c>
      <c r="H488">
        <v>5</v>
      </c>
      <c r="I488">
        <v>0</v>
      </c>
      <c r="J488">
        <v>4.3</v>
      </c>
    </row>
    <row r="489" spans="1:10" x14ac:dyDescent="0.25">
      <c r="A489" t="s">
        <v>61</v>
      </c>
      <c r="B489" t="s">
        <v>11</v>
      </c>
      <c r="C489" t="s">
        <v>52</v>
      </c>
      <c r="D489" t="s">
        <v>22</v>
      </c>
      <c r="E489" t="s">
        <v>14</v>
      </c>
      <c r="F489" t="s">
        <v>15</v>
      </c>
      <c r="G489">
        <v>6</v>
      </c>
      <c r="H489">
        <v>6</v>
      </c>
      <c r="I489">
        <v>1</v>
      </c>
      <c r="J489">
        <v>0.8</v>
      </c>
    </row>
    <row r="490" spans="1:10" x14ac:dyDescent="0.25">
      <c r="A490" t="s">
        <v>36</v>
      </c>
      <c r="B490" t="s">
        <v>48</v>
      </c>
      <c r="C490" t="s">
        <v>49</v>
      </c>
      <c r="D490" t="s">
        <v>13</v>
      </c>
      <c r="E490" t="s">
        <v>53</v>
      </c>
      <c r="F490" t="s">
        <v>15</v>
      </c>
      <c r="G490">
        <v>8</v>
      </c>
      <c r="H490">
        <v>7</v>
      </c>
      <c r="I490">
        <v>0</v>
      </c>
      <c r="J490">
        <v>2.9</v>
      </c>
    </row>
    <row r="491" spans="1:10" x14ac:dyDescent="0.25">
      <c r="A491" t="s">
        <v>55</v>
      </c>
      <c r="B491" t="s">
        <v>46</v>
      </c>
      <c r="C491" t="s">
        <v>47</v>
      </c>
      <c r="D491" t="s">
        <v>40</v>
      </c>
      <c r="E491" t="s">
        <v>22</v>
      </c>
      <c r="F491" t="s">
        <v>19</v>
      </c>
      <c r="G491">
        <v>4</v>
      </c>
      <c r="H491">
        <v>4</v>
      </c>
      <c r="I491">
        <v>0</v>
      </c>
      <c r="J491">
        <v>1.8</v>
      </c>
    </row>
    <row r="492" spans="1:10" x14ac:dyDescent="0.25">
      <c r="A492" t="s">
        <v>36</v>
      </c>
      <c r="B492" t="s">
        <v>24</v>
      </c>
      <c r="C492" t="s">
        <v>64</v>
      </c>
      <c r="D492" t="s">
        <v>22</v>
      </c>
      <c r="E492" t="s">
        <v>30</v>
      </c>
      <c r="F492" t="s">
        <v>15</v>
      </c>
      <c r="G492">
        <v>8</v>
      </c>
      <c r="H492">
        <v>8</v>
      </c>
      <c r="I492">
        <v>0</v>
      </c>
      <c r="J492">
        <v>3.3</v>
      </c>
    </row>
    <row r="493" spans="1:10" x14ac:dyDescent="0.25">
      <c r="A493" t="s">
        <v>61</v>
      </c>
      <c r="B493" t="s">
        <v>16</v>
      </c>
      <c r="C493" t="s">
        <v>17</v>
      </c>
      <c r="D493" t="s">
        <v>26</v>
      </c>
      <c r="E493" t="s">
        <v>18</v>
      </c>
      <c r="F493" t="s">
        <v>19</v>
      </c>
      <c r="G493">
        <v>1</v>
      </c>
      <c r="H493">
        <v>1</v>
      </c>
      <c r="I493">
        <v>0</v>
      </c>
      <c r="J493">
        <v>5.5</v>
      </c>
    </row>
    <row r="494" spans="1:10" x14ac:dyDescent="0.25">
      <c r="A494" t="s">
        <v>31</v>
      </c>
      <c r="B494" t="s">
        <v>16</v>
      </c>
      <c r="C494" t="s">
        <v>17</v>
      </c>
      <c r="D494" t="s">
        <v>40</v>
      </c>
      <c r="E494" t="s">
        <v>14</v>
      </c>
      <c r="F494" t="s">
        <v>15</v>
      </c>
      <c r="G494">
        <v>4</v>
      </c>
      <c r="H494">
        <v>4</v>
      </c>
      <c r="I494">
        <v>0</v>
      </c>
      <c r="J494">
        <v>3.9</v>
      </c>
    </row>
    <row r="495" spans="1:10" x14ac:dyDescent="0.25">
      <c r="A495" t="s">
        <v>23</v>
      </c>
      <c r="B495" t="s">
        <v>34</v>
      </c>
      <c r="C495" t="s">
        <v>51</v>
      </c>
      <c r="D495" t="s">
        <v>22</v>
      </c>
      <c r="E495" t="s">
        <v>22</v>
      </c>
      <c r="F495" t="s">
        <v>19</v>
      </c>
      <c r="G495">
        <v>4</v>
      </c>
      <c r="H495">
        <v>3</v>
      </c>
      <c r="I495">
        <v>0</v>
      </c>
      <c r="J495">
        <v>5.0999999999999996</v>
      </c>
    </row>
    <row r="496" spans="1:10" x14ac:dyDescent="0.25">
      <c r="A496" t="s">
        <v>50</v>
      </c>
      <c r="B496" t="s">
        <v>56</v>
      </c>
      <c r="C496" t="s">
        <v>57</v>
      </c>
      <c r="D496" t="s">
        <v>13</v>
      </c>
      <c r="E496" t="s">
        <v>22</v>
      </c>
      <c r="F496" t="s">
        <v>15</v>
      </c>
      <c r="G496">
        <v>8</v>
      </c>
      <c r="H496">
        <v>8</v>
      </c>
      <c r="I496">
        <v>0</v>
      </c>
      <c r="J496">
        <v>3.5</v>
      </c>
    </row>
    <row r="497" spans="1:10" x14ac:dyDescent="0.25">
      <c r="A497" t="s">
        <v>43</v>
      </c>
      <c r="B497" t="s">
        <v>11</v>
      </c>
      <c r="C497" t="s">
        <v>52</v>
      </c>
      <c r="D497" t="s">
        <v>22</v>
      </c>
      <c r="E497" t="s">
        <v>18</v>
      </c>
      <c r="F497" t="s">
        <v>19</v>
      </c>
      <c r="G497">
        <v>4</v>
      </c>
      <c r="H497">
        <v>4</v>
      </c>
      <c r="I497">
        <v>0</v>
      </c>
      <c r="J497">
        <v>1.2</v>
      </c>
    </row>
    <row r="498" spans="1:10" x14ac:dyDescent="0.25">
      <c r="A498" t="s">
        <v>33</v>
      </c>
      <c r="B498" t="s">
        <v>37</v>
      </c>
      <c r="C498" t="s">
        <v>38</v>
      </c>
      <c r="D498" t="s">
        <v>40</v>
      </c>
      <c r="E498" t="s">
        <v>18</v>
      </c>
      <c r="F498" t="s">
        <v>15</v>
      </c>
      <c r="G498">
        <v>4</v>
      </c>
      <c r="H498">
        <v>4</v>
      </c>
      <c r="I498">
        <v>0</v>
      </c>
      <c r="J498">
        <v>2.9</v>
      </c>
    </row>
    <row r="499" spans="1:10" x14ac:dyDescent="0.25">
      <c r="A499" t="s">
        <v>61</v>
      </c>
      <c r="B499" t="s">
        <v>28</v>
      </c>
      <c r="C499" t="s">
        <v>58</v>
      </c>
      <c r="D499" t="s">
        <v>32</v>
      </c>
      <c r="E499" t="s">
        <v>18</v>
      </c>
      <c r="F499" t="s">
        <v>19</v>
      </c>
      <c r="G499">
        <v>8</v>
      </c>
      <c r="H499">
        <v>8</v>
      </c>
      <c r="I499">
        <v>1</v>
      </c>
      <c r="J499">
        <v>4</v>
      </c>
    </row>
    <row r="500" spans="1:10" x14ac:dyDescent="0.25">
      <c r="A500" t="s">
        <v>45</v>
      </c>
      <c r="B500" t="s">
        <v>28</v>
      </c>
      <c r="C500" t="s">
        <v>29</v>
      </c>
      <c r="D500" t="s">
        <v>21</v>
      </c>
      <c r="E500" t="s">
        <v>22</v>
      </c>
      <c r="F500" t="s">
        <v>19</v>
      </c>
      <c r="G500">
        <v>3</v>
      </c>
      <c r="H500">
        <v>3</v>
      </c>
      <c r="I500">
        <v>0</v>
      </c>
      <c r="J500">
        <v>3.8</v>
      </c>
    </row>
    <row r="501" spans="1:10" x14ac:dyDescent="0.25">
      <c r="A501" t="s">
        <v>10</v>
      </c>
      <c r="B501" t="s">
        <v>34</v>
      </c>
      <c r="C501" t="s">
        <v>51</v>
      </c>
      <c r="D501" t="s">
        <v>13</v>
      </c>
      <c r="E501" t="s">
        <v>14</v>
      </c>
      <c r="F501" t="s">
        <v>19</v>
      </c>
      <c r="G501">
        <v>7</v>
      </c>
      <c r="H501">
        <v>6</v>
      </c>
      <c r="I501">
        <v>1</v>
      </c>
      <c r="J501">
        <v>2.2000000000000002</v>
      </c>
    </row>
    <row r="502" spans="1:10" x14ac:dyDescent="0.25">
      <c r="A502" t="s">
        <v>10</v>
      </c>
      <c r="B502" t="s">
        <v>48</v>
      </c>
      <c r="C502" t="s">
        <v>63</v>
      </c>
      <c r="D502" t="s">
        <v>22</v>
      </c>
      <c r="E502" t="s">
        <v>14</v>
      </c>
      <c r="F502" t="s">
        <v>19</v>
      </c>
      <c r="G502">
        <v>7</v>
      </c>
      <c r="H502">
        <v>6</v>
      </c>
      <c r="I502">
        <v>0</v>
      </c>
      <c r="J502">
        <v>4.9000000000000004</v>
      </c>
    </row>
    <row r="503" spans="1:10" x14ac:dyDescent="0.25">
      <c r="A503" t="s">
        <v>61</v>
      </c>
      <c r="B503" t="s">
        <v>16</v>
      </c>
      <c r="C503" t="s">
        <v>60</v>
      </c>
      <c r="D503" t="s">
        <v>26</v>
      </c>
      <c r="E503" t="s">
        <v>30</v>
      </c>
      <c r="F503" t="s">
        <v>19</v>
      </c>
      <c r="G503">
        <v>4</v>
      </c>
      <c r="H503">
        <v>3</v>
      </c>
      <c r="I503">
        <v>1</v>
      </c>
      <c r="J503">
        <v>2.1</v>
      </c>
    </row>
    <row r="504" spans="1:10" x14ac:dyDescent="0.25">
      <c r="A504" t="s">
        <v>55</v>
      </c>
      <c r="B504" t="s">
        <v>56</v>
      </c>
      <c r="C504" t="s">
        <v>62</v>
      </c>
      <c r="D504" t="s">
        <v>40</v>
      </c>
      <c r="E504" t="s">
        <v>53</v>
      </c>
      <c r="F504" t="s">
        <v>15</v>
      </c>
      <c r="G504">
        <v>7</v>
      </c>
      <c r="H504">
        <v>7</v>
      </c>
      <c r="I504">
        <v>0</v>
      </c>
      <c r="J504">
        <v>2.7</v>
      </c>
    </row>
    <row r="505" spans="1:10" x14ac:dyDescent="0.25">
      <c r="A505" t="s">
        <v>10</v>
      </c>
      <c r="B505" t="s">
        <v>41</v>
      </c>
      <c r="C505" t="s">
        <v>42</v>
      </c>
      <c r="D505" t="s">
        <v>40</v>
      </c>
      <c r="E505" t="s">
        <v>18</v>
      </c>
      <c r="F505" t="s">
        <v>19</v>
      </c>
      <c r="G505">
        <v>7</v>
      </c>
      <c r="H505">
        <v>6</v>
      </c>
      <c r="I505">
        <v>1</v>
      </c>
      <c r="J505">
        <v>2.5</v>
      </c>
    </row>
    <row r="506" spans="1:10" x14ac:dyDescent="0.25">
      <c r="A506" t="s">
        <v>43</v>
      </c>
      <c r="B506" t="s">
        <v>34</v>
      </c>
      <c r="C506" t="s">
        <v>51</v>
      </c>
      <c r="D506" t="s">
        <v>21</v>
      </c>
      <c r="E506" t="s">
        <v>14</v>
      </c>
      <c r="F506" t="s">
        <v>19</v>
      </c>
      <c r="G506">
        <v>5</v>
      </c>
      <c r="H506">
        <v>5</v>
      </c>
      <c r="I506">
        <v>1</v>
      </c>
      <c r="J506">
        <v>2.9</v>
      </c>
    </row>
    <row r="507" spans="1:10" x14ac:dyDescent="0.25">
      <c r="A507" t="s">
        <v>55</v>
      </c>
      <c r="B507" t="s">
        <v>56</v>
      </c>
      <c r="C507" t="s">
        <v>62</v>
      </c>
      <c r="D507" t="s">
        <v>32</v>
      </c>
      <c r="E507" t="s">
        <v>18</v>
      </c>
      <c r="F507" t="s">
        <v>19</v>
      </c>
      <c r="G507">
        <v>9</v>
      </c>
      <c r="H507">
        <v>9</v>
      </c>
      <c r="I507">
        <v>1</v>
      </c>
      <c r="J507">
        <v>3.3</v>
      </c>
    </row>
    <row r="508" spans="1:10" x14ac:dyDescent="0.25">
      <c r="A508" t="s">
        <v>10</v>
      </c>
      <c r="B508" t="s">
        <v>56</v>
      </c>
      <c r="C508" t="s">
        <v>62</v>
      </c>
      <c r="D508" t="s">
        <v>13</v>
      </c>
      <c r="E508" t="s">
        <v>30</v>
      </c>
      <c r="F508" t="s">
        <v>15</v>
      </c>
      <c r="G508">
        <v>2</v>
      </c>
      <c r="H508">
        <v>2</v>
      </c>
      <c r="I508">
        <v>0</v>
      </c>
      <c r="J508">
        <v>1.9</v>
      </c>
    </row>
    <row r="509" spans="1:10" x14ac:dyDescent="0.25">
      <c r="A509" t="s">
        <v>33</v>
      </c>
      <c r="B509" t="s">
        <v>48</v>
      </c>
      <c r="C509" t="s">
        <v>63</v>
      </c>
      <c r="D509" t="s">
        <v>32</v>
      </c>
      <c r="E509" t="s">
        <v>22</v>
      </c>
      <c r="F509" t="s">
        <v>15</v>
      </c>
      <c r="G509">
        <v>8</v>
      </c>
      <c r="H509">
        <v>7</v>
      </c>
      <c r="I509">
        <v>0</v>
      </c>
      <c r="J509">
        <v>2.6</v>
      </c>
    </row>
    <row r="510" spans="1:10" x14ac:dyDescent="0.25">
      <c r="A510" t="s">
        <v>45</v>
      </c>
      <c r="B510" t="s">
        <v>48</v>
      </c>
      <c r="C510" t="s">
        <v>49</v>
      </c>
      <c r="D510" t="s">
        <v>22</v>
      </c>
      <c r="E510" t="s">
        <v>18</v>
      </c>
      <c r="F510" t="s">
        <v>15</v>
      </c>
      <c r="G510">
        <v>7</v>
      </c>
      <c r="H510">
        <v>5</v>
      </c>
      <c r="I510">
        <v>0</v>
      </c>
      <c r="J510">
        <v>3.1</v>
      </c>
    </row>
    <row r="511" spans="1:10" x14ac:dyDescent="0.25">
      <c r="A511" t="s">
        <v>36</v>
      </c>
      <c r="B511" t="s">
        <v>11</v>
      </c>
      <c r="C511" t="s">
        <v>52</v>
      </c>
      <c r="D511" t="s">
        <v>40</v>
      </c>
      <c r="E511" t="s">
        <v>53</v>
      </c>
      <c r="F511" t="s">
        <v>15</v>
      </c>
      <c r="G511">
        <v>6</v>
      </c>
      <c r="H511">
        <v>6</v>
      </c>
      <c r="I511">
        <v>0</v>
      </c>
      <c r="J511">
        <v>3.2</v>
      </c>
    </row>
    <row r="512" spans="1:10" x14ac:dyDescent="0.25">
      <c r="A512" t="s">
        <v>59</v>
      </c>
      <c r="B512" t="s">
        <v>28</v>
      </c>
      <c r="C512" t="s">
        <v>29</v>
      </c>
      <c r="D512" t="s">
        <v>32</v>
      </c>
      <c r="E512" t="s">
        <v>22</v>
      </c>
      <c r="F512" t="s">
        <v>19</v>
      </c>
      <c r="G512">
        <v>6</v>
      </c>
      <c r="H512">
        <v>5</v>
      </c>
      <c r="I512">
        <v>0</v>
      </c>
      <c r="J512">
        <v>1.9</v>
      </c>
    </row>
    <row r="513" spans="1:10" x14ac:dyDescent="0.25">
      <c r="A513" t="s">
        <v>55</v>
      </c>
      <c r="B513" t="s">
        <v>28</v>
      </c>
      <c r="C513" t="s">
        <v>58</v>
      </c>
      <c r="D513" t="s">
        <v>26</v>
      </c>
      <c r="E513" t="s">
        <v>14</v>
      </c>
      <c r="F513" t="s">
        <v>15</v>
      </c>
      <c r="G513">
        <v>5</v>
      </c>
      <c r="H513">
        <v>5</v>
      </c>
      <c r="I513">
        <v>1</v>
      </c>
      <c r="J513">
        <v>3</v>
      </c>
    </row>
    <row r="514" spans="1:10" x14ac:dyDescent="0.25">
      <c r="A514" t="s">
        <v>36</v>
      </c>
      <c r="B514" t="s">
        <v>34</v>
      </c>
      <c r="C514" t="s">
        <v>35</v>
      </c>
      <c r="D514" t="s">
        <v>40</v>
      </c>
      <c r="E514" t="s">
        <v>14</v>
      </c>
      <c r="F514" t="s">
        <v>15</v>
      </c>
      <c r="G514">
        <v>5</v>
      </c>
      <c r="H514">
        <v>4</v>
      </c>
      <c r="I514">
        <v>0</v>
      </c>
      <c r="J514">
        <v>3.9</v>
      </c>
    </row>
    <row r="515" spans="1:10" x14ac:dyDescent="0.25">
      <c r="A515" t="s">
        <v>33</v>
      </c>
      <c r="B515" t="s">
        <v>11</v>
      </c>
      <c r="C515" t="s">
        <v>12</v>
      </c>
      <c r="D515" t="s">
        <v>22</v>
      </c>
      <c r="E515" t="s">
        <v>22</v>
      </c>
      <c r="F515" t="s">
        <v>15</v>
      </c>
      <c r="G515">
        <v>5</v>
      </c>
      <c r="H515">
        <v>5</v>
      </c>
      <c r="I515">
        <v>0</v>
      </c>
      <c r="J515">
        <v>1.3</v>
      </c>
    </row>
    <row r="516" spans="1:10" x14ac:dyDescent="0.25">
      <c r="A516" t="s">
        <v>55</v>
      </c>
      <c r="B516" t="s">
        <v>41</v>
      </c>
      <c r="C516" t="s">
        <v>44</v>
      </c>
      <c r="D516" t="s">
        <v>13</v>
      </c>
      <c r="E516" t="s">
        <v>30</v>
      </c>
      <c r="F516" t="s">
        <v>19</v>
      </c>
      <c r="G516">
        <v>0</v>
      </c>
      <c r="H516">
        <v>0</v>
      </c>
      <c r="I516">
        <v>0</v>
      </c>
      <c r="J516">
        <v>2.2999999999999998</v>
      </c>
    </row>
    <row r="517" spans="1:10" x14ac:dyDescent="0.25">
      <c r="A517" t="s">
        <v>31</v>
      </c>
      <c r="B517" t="s">
        <v>48</v>
      </c>
      <c r="C517" t="s">
        <v>49</v>
      </c>
      <c r="D517" t="s">
        <v>13</v>
      </c>
      <c r="E517" t="s">
        <v>53</v>
      </c>
      <c r="F517" t="s">
        <v>19</v>
      </c>
      <c r="G517">
        <v>2</v>
      </c>
      <c r="H517">
        <v>1</v>
      </c>
      <c r="I517">
        <v>0</v>
      </c>
      <c r="J517">
        <v>3.5</v>
      </c>
    </row>
    <row r="518" spans="1:10" x14ac:dyDescent="0.25">
      <c r="A518" t="s">
        <v>20</v>
      </c>
      <c r="B518" t="s">
        <v>28</v>
      </c>
      <c r="C518" t="s">
        <v>29</v>
      </c>
      <c r="D518" t="s">
        <v>22</v>
      </c>
      <c r="E518" t="s">
        <v>22</v>
      </c>
      <c r="F518" t="s">
        <v>15</v>
      </c>
      <c r="G518">
        <v>4</v>
      </c>
      <c r="H518">
        <v>3</v>
      </c>
      <c r="I518">
        <v>0</v>
      </c>
      <c r="J518">
        <v>4.3</v>
      </c>
    </row>
    <row r="519" spans="1:10" x14ac:dyDescent="0.25">
      <c r="A519" t="s">
        <v>33</v>
      </c>
      <c r="B519" t="s">
        <v>34</v>
      </c>
      <c r="C519" t="s">
        <v>51</v>
      </c>
      <c r="D519" t="s">
        <v>26</v>
      </c>
      <c r="E519" t="s">
        <v>14</v>
      </c>
      <c r="F519" t="s">
        <v>19</v>
      </c>
      <c r="G519">
        <v>6</v>
      </c>
      <c r="H519">
        <v>5</v>
      </c>
      <c r="I519">
        <v>0</v>
      </c>
      <c r="J519">
        <v>2.6</v>
      </c>
    </row>
    <row r="520" spans="1:10" x14ac:dyDescent="0.25">
      <c r="A520" t="s">
        <v>61</v>
      </c>
      <c r="B520" t="s">
        <v>28</v>
      </c>
      <c r="C520" t="s">
        <v>29</v>
      </c>
      <c r="D520" t="s">
        <v>13</v>
      </c>
      <c r="E520" t="s">
        <v>14</v>
      </c>
      <c r="F520" t="s">
        <v>15</v>
      </c>
      <c r="G520">
        <v>8</v>
      </c>
      <c r="H520">
        <v>7</v>
      </c>
      <c r="I520">
        <v>0</v>
      </c>
      <c r="J520">
        <v>3.7</v>
      </c>
    </row>
    <row r="521" spans="1:10" x14ac:dyDescent="0.25">
      <c r="A521" t="s">
        <v>43</v>
      </c>
      <c r="B521" t="s">
        <v>16</v>
      </c>
      <c r="C521" t="s">
        <v>17</v>
      </c>
      <c r="D521" t="s">
        <v>40</v>
      </c>
      <c r="E521" t="s">
        <v>53</v>
      </c>
      <c r="F521" t="s">
        <v>19</v>
      </c>
      <c r="G521">
        <v>2</v>
      </c>
      <c r="H521">
        <v>2</v>
      </c>
      <c r="I521">
        <v>0</v>
      </c>
      <c r="J521">
        <v>2.4</v>
      </c>
    </row>
    <row r="522" spans="1:10" x14ac:dyDescent="0.25">
      <c r="A522" t="s">
        <v>36</v>
      </c>
      <c r="B522" t="s">
        <v>24</v>
      </c>
      <c r="C522" t="s">
        <v>25</v>
      </c>
      <c r="D522" t="s">
        <v>40</v>
      </c>
      <c r="E522" t="s">
        <v>22</v>
      </c>
      <c r="F522" t="s">
        <v>15</v>
      </c>
      <c r="G522">
        <v>2</v>
      </c>
      <c r="H522">
        <v>2</v>
      </c>
      <c r="I522">
        <v>0</v>
      </c>
      <c r="J522">
        <v>1.2</v>
      </c>
    </row>
    <row r="523" spans="1:10" x14ac:dyDescent="0.25">
      <c r="A523" t="s">
        <v>10</v>
      </c>
      <c r="B523" t="s">
        <v>34</v>
      </c>
      <c r="C523" t="s">
        <v>51</v>
      </c>
      <c r="D523" t="s">
        <v>26</v>
      </c>
      <c r="E523" t="s">
        <v>30</v>
      </c>
      <c r="F523" t="s">
        <v>19</v>
      </c>
      <c r="G523">
        <v>6</v>
      </c>
      <c r="H523">
        <v>6</v>
      </c>
      <c r="I523">
        <v>0</v>
      </c>
      <c r="J523">
        <v>1.8</v>
      </c>
    </row>
    <row r="524" spans="1:10" x14ac:dyDescent="0.25">
      <c r="A524" t="s">
        <v>61</v>
      </c>
      <c r="B524" t="s">
        <v>11</v>
      </c>
      <c r="C524" t="s">
        <v>52</v>
      </c>
      <c r="D524" t="s">
        <v>26</v>
      </c>
      <c r="E524" t="s">
        <v>14</v>
      </c>
      <c r="F524" t="s">
        <v>19</v>
      </c>
      <c r="G524">
        <v>3</v>
      </c>
      <c r="H524">
        <v>3</v>
      </c>
      <c r="I524">
        <v>0</v>
      </c>
      <c r="J524">
        <v>3.5</v>
      </c>
    </row>
    <row r="525" spans="1:10" x14ac:dyDescent="0.25">
      <c r="A525" t="s">
        <v>10</v>
      </c>
      <c r="B525" t="s">
        <v>16</v>
      </c>
      <c r="C525" t="s">
        <v>60</v>
      </c>
      <c r="D525" t="s">
        <v>26</v>
      </c>
      <c r="E525" t="s">
        <v>27</v>
      </c>
      <c r="F525" t="s">
        <v>19</v>
      </c>
      <c r="G525">
        <v>5</v>
      </c>
      <c r="H525">
        <v>4</v>
      </c>
      <c r="I525">
        <v>0</v>
      </c>
      <c r="J525">
        <v>2.5</v>
      </c>
    </row>
    <row r="526" spans="1:10" x14ac:dyDescent="0.25">
      <c r="A526" t="s">
        <v>59</v>
      </c>
      <c r="B526" t="s">
        <v>41</v>
      </c>
      <c r="C526" t="s">
        <v>42</v>
      </c>
      <c r="D526" t="s">
        <v>32</v>
      </c>
      <c r="E526" t="s">
        <v>18</v>
      </c>
      <c r="F526" t="s">
        <v>15</v>
      </c>
      <c r="G526">
        <v>8</v>
      </c>
      <c r="H526">
        <v>8</v>
      </c>
      <c r="I526">
        <v>0</v>
      </c>
      <c r="J526">
        <v>1.8</v>
      </c>
    </row>
    <row r="527" spans="1:10" x14ac:dyDescent="0.25">
      <c r="A527" t="s">
        <v>45</v>
      </c>
      <c r="B527" t="s">
        <v>24</v>
      </c>
      <c r="C527" t="s">
        <v>25</v>
      </c>
      <c r="D527" t="s">
        <v>26</v>
      </c>
      <c r="E527" t="s">
        <v>14</v>
      </c>
      <c r="F527" t="s">
        <v>15</v>
      </c>
      <c r="G527">
        <v>7</v>
      </c>
      <c r="H527">
        <v>6</v>
      </c>
      <c r="I527">
        <v>0</v>
      </c>
      <c r="J527">
        <v>3.2</v>
      </c>
    </row>
    <row r="528" spans="1:10" x14ac:dyDescent="0.25">
      <c r="A528" t="s">
        <v>23</v>
      </c>
      <c r="B528" t="s">
        <v>41</v>
      </c>
      <c r="C528" t="s">
        <v>44</v>
      </c>
      <c r="D528" t="s">
        <v>21</v>
      </c>
      <c r="E528" t="s">
        <v>27</v>
      </c>
      <c r="F528" t="s">
        <v>15</v>
      </c>
      <c r="G528">
        <v>2</v>
      </c>
      <c r="H528">
        <v>2</v>
      </c>
      <c r="I528">
        <v>1</v>
      </c>
      <c r="J528">
        <v>2.9</v>
      </c>
    </row>
    <row r="529" spans="1:10" x14ac:dyDescent="0.25">
      <c r="A529" t="s">
        <v>59</v>
      </c>
      <c r="B529" t="s">
        <v>48</v>
      </c>
      <c r="C529" t="s">
        <v>49</v>
      </c>
      <c r="D529" t="s">
        <v>26</v>
      </c>
      <c r="E529" t="s">
        <v>14</v>
      </c>
      <c r="F529" t="s">
        <v>15</v>
      </c>
      <c r="G529">
        <v>2</v>
      </c>
      <c r="H529">
        <v>1</v>
      </c>
      <c r="I529">
        <v>0</v>
      </c>
      <c r="J529">
        <v>3.4</v>
      </c>
    </row>
    <row r="530" spans="1:10" x14ac:dyDescent="0.25">
      <c r="A530" t="s">
        <v>55</v>
      </c>
      <c r="B530" t="s">
        <v>16</v>
      </c>
      <c r="C530" t="s">
        <v>17</v>
      </c>
      <c r="D530" t="s">
        <v>26</v>
      </c>
      <c r="E530" t="s">
        <v>14</v>
      </c>
      <c r="F530" t="s">
        <v>15</v>
      </c>
      <c r="G530">
        <v>6</v>
      </c>
      <c r="H530">
        <v>6</v>
      </c>
      <c r="I530">
        <v>0</v>
      </c>
      <c r="J530">
        <v>3.3</v>
      </c>
    </row>
    <row r="531" spans="1:10" x14ac:dyDescent="0.25">
      <c r="A531" t="s">
        <v>43</v>
      </c>
      <c r="B531" t="s">
        <v>11</v>
      </c>
      <c r="C531" t="s">
        <v>52</v>
      </c>
      <c r="D531" t="s">
        <v>40</v>
      </c>
      <c r="E531" t="s">
        <v>22</v>
      </c>
      <c r="F531" t="s">
        <v>15</v>
      </c>
      <c r="G531">
        <v>3</v>
      </c>
      <c r="H531">
        <v>3</v>
      </c>
      <c r="I531">
        <v>0</v>
      </c>
      <c r="J531">
        <v>3.9</v>
      </c>
    </row>
    <row r="532" spans="1:10" x14ac:dyDescent="0.25">
      <c r="A532" t="s">
        <v>59</v>
      </c>
      <c r="B532" t="s">
        <v>34</v>
      </c>
      <c r="C532" t="s">
        <v>35</v>
      </c>
      <c r="D532" t="s">
        <v>22</v>
      </c>
      <c r="E532" t="s">
        <v>30</v>
      </c>
      <c r="F532" t="s">
        <v>19</v>
      </c>
      <c r="G532">
        <v>4</v>
      </c>
      <c r="H532">
        <v>4</v>
      </c>
      <c r="I532">
        <v>0</v>
      </c>
      <c r="J532">
        <v>4</v>
      </c>
    </row>
    <row r="533" spans="1:10" x14ac:dyDescent="0.25">
      <c r="A533" t="s">
        <v>50</v>
      </c>
      <c r="B533" t="s">
        <v>28</v>
      </c>
      <c r="C533" t="s">
        <v>58</v>
      </c>
      <c r="D533" t="s">
        <v>13</v>
      </c>
      <c r="E533" t="s">
        <v>22</v>
      </c>
      <c r="F533" t="s">
        <v>19</v>
      </c>
      <c r="G533">
        <v>7</v>
      </c>
      <c r="H533">
        <v>7</v>
      </c>
      <c r="I533">
        <v>1</v>
      </c>
      <c r="J533">
        <v>1.6</v>
      </c>
    </row>
    <row r="534" spans="1:10" x14ac:dyDescent="0.25">
      <c r="A534" t="s">
        <v>33</v>
      </c>
      <c r="B534" t="s">
        <v>46</v>
      </c>
      <c r="C534" t="s">
        <v>54</v>
      </c>
      <c r="D534" t="s">
        <v>26</v>
      </c>
      <c r="E534" t="s">
        <v>14</v>
      </c>
      <c r="F534" t="s">
        <v>19</v>
      </c>
      <c r="G534">
        <v>2</v>
      </c>
      <c r="H534">
        <v>2</v>
      </c>
      <c r="I534">
        <v>0</v>
      </c>
      <c r="J534">
        <v>3.1</v>
      </c>
    </row>
    <row r="535" spans="1:10" x14ac:dyDescent="0.25">
      <c r="A535" t="s">
        <v>31</v>
      </c>
      <c r="B535" t="s">
        <v>41</v>
      </c>
      <c r="C535" t="s">
        <v>42</v>
      </c>
      <c r="D535" t="s">
        <v>22</v>
      </c>
      <c r="E535" t="s">
        <v>53</v>
      </c>
      <c r="F535" t="s">
        <v>15</v>
      </c>
      <c r="G535">
        <v>3</v>
      </c>
      <c r="H535">
        <v>3</v>
      </c>
      <c r="I535">
        <v>0</v>
      </c>
      <c r="J535">
        <v>2.4</v>
      </c>
    </row>
    <row r="536" spans="1:10" x14ac:dyDescent="0.25">
      <c r="A536" t="s">
        <v>50</v>
      </c>
      <c r="B536" t="s">
        <v>37</v>
      </c>
      <c r="C536" t="s">
        <v>39</v>
      </c>
      <c r="D536" t="s">
        <v>21</v>
      </c>
      <c r="E536" t="s">
        <v>18</v>
      </c>
      <c r="F536" t="s">
        <v>15</v>
      </c>
      <c r="G536">
        <v>1</v>
      </c>
      <c r="H536">
        <v>1</v>
      </c>
      <c r="I536">
        <v>0</v>
      </c>
      <c r="J536">
        <v>3.5</v>
      </c>
    </row>
    <row r="537" spans="1:10" x14ac:dyDescent="0.25">
      <c r="A537" t="s">
        <v>61</v>
      </c>
      <c r="B537" t="s">
        <v>34</v>
      </c>
      <c r="C537" t="s">
        <v>51</v>
      </c>
      <c r="D537" t="s">
        <v>32</v>
      </c>
      <c r="E537" t="s">
        <v>53</v>
      </c>
      <c r="F537" t="s">
        <v>19</v>
      </c>
      <c r="G537">
        <v>6</v>
      </c>
      <c r="H537">
        <v>5</v>
      </c>
      <c r="I537">
        <v>0</v>
      </c>
      <c r="J537">
        <v>2.8</v>
      </c>
    </row>
    <row r="538" spans="1:10" x14ac:dyDescent="0.25">
      <c r="A538" t="s">
        <v>36</v>
      </c>
      <c r="B538" t="s">
        <v>11</v>
      </c>
      <c r="C538" t="s">
        <v>12</v>
      </c>
      <c r="D538" t="s">
        <v>22</v>
      </c>
      <c r="E538" t="s">
        <v>14</v>
      </c>
      <c r="F538" t="s">
        <v>15</v>
      </c>
      <c r="G538">
        <v>5</v>
      </c>
      <c r="H538">
        <v>3</v>
      </c>
      <c r="I538">
        <v>0</v>
      </c>
      <c r="J538">
        <v>4</v>
      </c>
    </row>
    <row r="539" spans="1:10" x14ac:dyDescent="0.25">
      <c r="A539" t="s">
        <v>36</v>
      </c>
      <c r="B539" t="s">
        <v>28</v>
      </c>
      <c r="C539" t="s">
        <v>58</v>
      </c>
      <c r="D539" t="s">
        <v>22</v>
      </c>
      <c r="E539" t="s">
        <v>30</v>
      </c>
      <c r="F539" t="s">
        <v>15</v>
      </c>
      <c r="G539">
        <v>2</v>
      </c>
      <c r="H539">
        <v>2</v>
      </c>
      <c r="I539">
        <v>0</v>
      </c>
      <c r="J539">
        <v>3.2</v>
      </c>
    </row>
    <row r="540" spans="1:10" x14ac:dyDescent="0.25">
      <c r="A540" t="s">
        <v>45</v>
      </c>
      <c r="B540" t="s">
        <v>28</v>
      </c>
      <c r="C540" t="s">
        <v>58</v>
      </c>
      <c r="D540" t="s">
        <v>32</v>
      </c>
      <c r="E540" t="s">
        <v>18</v>
      </c>
      <c r="F540" t="s">
        <v>19</v>
      </c>
      <c r="G540">
        <v>8</v>
      </c>
      <c r="H540">
        <v>7</v>
      </c>
      <c r="I540">
        <v>1</v>
      </c>
      <c r="J540">
        <v>2.2000000000000002</v>
      </c>
    </row>
    <row r="541" spans="1:10" x14ac:dyDescent="0.25">
      <c r="A541" t="s">
        <v>59</v>
      </c>
      <c r="B541" t="s">
        <v>24</v>
      </c>
      <c r="C541" t="s">
        <v>64</v>
      </c>
      <c r="D541" t="s">
        <v>21</v>
      </c>
      <c r="E541" t="s">
        <v>53</v>
      </c>
      <c r="F541" t="s">
        <v>19</v>
      </c>
      <c r="G541">
        <v>9</v>
      </c>
      <c r="H541">
        <v>8</v>
      </c>
      <c r="I541">
        <v>1</v>
      </c>
      <c r="J541">
        <v>1.1000000000000001</v>
      </c>
    </row>
    <row r="542" spans="1:10" x14ac:dyDescent="0.25">
      <c r="A542" t="s">
        <v>45</v>
      </c>
      <c r="B542" t="s">
        <v>37</v>
      </c>
      <c r="C542" t="s">
        <v>39</v>
      </c>
      <c r="D542" t="s">
        <v>26</v>
      </c>
      <c r="E542" t="s">
        <v>53</v>
      </c>
      <c r="F542" t="s">
        <v>15</v>
      </c>
      <c r="G542">
        <v>6</v>
      </c>
      <c r="H542">
        <v>6</v>
      </c>
      <c r="I542">
        <v>0</v>
      </c>
      <c r="J542">
        <v>2.9</v>
      </c>
    </row>
    <row r="543" spans="1:10" x14ac:dyDescent="0.25">
      <c r="A543" t="s">
        <v>50</v>
      </c>
      <c r="B543" t="s">
        <v>41</v>
      </c>
      <c r="C543" t="s">
        <v>44</v>
      </c>
      <c r="D543" t="s">
        <v>40</v>
      </c>
      <c r="E543" t="s">
        <v>18</v>
      </c>
      <c r="F543" t="s">
        <v>19</v>
      </c>
      <c r="G543">
        <v>9</v>
      </c>
      <c r="H543">
        <v>8</v>
      </c>
      <c r="I543">
        <v>0</v>
      </c>
      <c r="J543">
        <v>4.7</v>
      </c>
    </row>
    <row r="544" spans="1:10" x14ac:dyDescent="0.25">
      <c r="A544" t="s">
        <v>59</v>
      </c>
      <c r="B544" t="s">
        <v>46</v>
      </c>
      <c r="C544" t="s">
        <v>54</v>
      </c>
      <c r="D544" t="s">
        <v>40</v>
      </c>
      <c r="E544" t="s">
        <v>30</v>
      </c>
      <c r="F544" t="s">
        <v>15</v>
      </c>
      <c r="G544">
        <v>1</v>
      </c>
      <c r="H544">
        <v>1</v>
      </c>
      <c r="I544">
        <v>1</v>
      </c>
      <c r="J544">
        <v>3.8</v>
      </c>
    </row>
    <row r="545" spans="1:10" x14ac:dyDescent="0.25">
      <c r="A545" t="s">
        <v>23</v>
      </c>
      <c r="B545" t="s">
        <v>48</v>
      </c>
      <c r="C545" t="s">
        <v>63</v>
      </c>
      <c r="D545" t="s">
        <v>40</v>
      </c>
      <c r="E545" t="s">
        <v>22</v>
      </c>
      <c r="F545" t="s">
        <v>19</v>
      </c>
      <c r="G545">
        <v>9</v>
      </c>
      <c r="H545">
        <v>8</v>
      </c>
      <c r="I545">
        <v>0</v>
      </c>
      <c r="J545">
        <v>1.8</v>
      </c>
    </row>
    <row r="546" spans="1:10" x14ac:dyDescent="0.25">
      <c r="A546" t="s">
        <v>20</v>
      </c>
      <c r="B546" t="s">
        <v>41</v>
      </c>
      <c r="C546" t="s">
        <v>42</v>
      </c>
      <c r="D546" t="s">
        <v>32</v>
      </c>
      <c r="E546" t="s">
        <v>27</v>
      </c>
      <c r="F546" t="s">
        <v>19</v>
      </c>
      <c r="G546">
        <v>5</v>
      </c>
      <c r="H546">
        <v>5</v>
      </c>
      <c r="I546">
        <v>1</v>
      </c>
      <c r="J546">
        <v>3.9</v>
      </c>
    </row>
    <row r="547" spans="1:10" x14ac:dyDescent="0.25">
      <c r="A547" t="s">
        <v>61</v>
      </c>
      <c r="B547" t="s">
        <v>48</v>
      </c>
      <c r="C547" t="s">
        <v>63</v>
      </c>
      <c r="D547" t="s">
        <v>21</v>
      </c>
      <c r="E547" t="s">
        <v>22</v>
      </c>
      <c r="F547" t="s">
        <v>15</v>
      </c>
      <c r="G547">
        <v>4</v>
      </c>
      <c r="H547">
        <v>4</v>
      </c>
      <c r="I547">
        <v>0</v>
      </c>
      <c r="J547">
        <v>2.6</v>
      </c>
    </row>
    <row r="548" spans="1:10" x14ac:dyDescent="0.25">
      <c r="A548" t="s">
        <v>31</v>
      </c>
      <c r="B548" t="s">
        <v>46</v>
      </c>
      <c r="C548" t="s">
        <v>47</v>
      </c>
      <c r="D548" t="s">
        <v>26</v>
      </c>
      <c r="E548" t="s">
        <v>30</v>
      </c>
      <c r="F548" t="s">
        <v>15</v>
      </c>
      <c r="G548">
        <v>4</v>
      </c>
      <c r="H548">
        <v>4</v>
      </c>
      <c r="I548">
        <v>0</v>
      </c>
      <c r="J548">
        <v>3.4</v>
      </c>
    </row>
    <row r="549" spans="1:10" x14ac:dyDescent="0.25">
      <c r="A549" t="s">
        <v>43</v>
      </c>
      <c r="B549" t="s">
        <v>28</v>
      </c>
      <c r="C549" t="s">
        <v>29</v>
      </c>
      <c r="D549" t="s">
        <v>32</v>
      </c>
      <c r="E549" t="s">
        <v>53</v>
      </c>
      <c r="F549" t="s">
        <v>19</v>
      </c>
      <c r="G549">
        <v>6</v>
      </c>
      <c r="H549">
        <v>5</v>
      </c>
      <c r="I549">
        <v>0</v>
      </c>
      <c r="J549">
        <v>3.9</v>
      </c>
    </row>
    <row r="550" spans="1:10" x14ac:dyDescent="0.25">
      <c r="A550" t="s">
        <v>43</v>
      </c>
      <c r="B550" t="s">
        <v>56</v>
      </c>
      <c r="C550" t="s">
        <v>62</v>
      </c>
      <c r="D550" t="s">
        <v>13</v>
      </c>
      <c r="E550" t="s">
        <v>18</v>
      </c>
      <c r="F550" t="s">
        <v>15</v>
      </c>
      <c r="G550">
        <v>5</v>
      </c>
      <c r="H550">
        <v>4</v>
      </c>
      <c r="I550">
        <v>1</v>
      </c>
      <c r="J550">
        <v>3.4</v>
      </c>
    </row>
    <row r="551" spans="1:10" x14ac:dyDescent="0.25">
      <c r="A551" t="s">
        <v>23</v>
      </c>
      <c r="B551" t="s">
        <v>11</v>
      </c>
      <c r="C551" t="s">
        <v>52</v>
      </c>
      <c r="D551" t="s">
        <v>26</v>
      </c>
      <c r="E551" t="s">
        <v>30</v>
      </c>
      <c r="F551" t="s">
        <v>15</v>
      </c>
      <c r="G551">
        <v>7</v>
      </c>
      <c r="H551">
        <v>7</v>
      </c>
      <c r="I551">
        <v>0</v>
      </c>
      <c r="J551">
        <v>3.2</v>
      </c>
    </row>
    <row r="552" spans="1:10" x14ac:dyDescent="0.25">
      <c r="A552" t="s">
        <v>36</v>
      </c>
      <c r="B552" t="s">
        <v>46</v>
      </c>
      <c r="C552" t="s">
        <v>47</v>
      </c>
      <c r="D552" t="s">
        <v>22</v>
      </c>
      <c r="E552" t="s">
        <v>53</v>
      </c>
      <c r="F552" t="s">
        <v>19</v>
      </c>
      <c r="G552">
        <v>3</v>
      </c>
      <c r="H552">
        <v>3</v>
      </c>
      <c r="I552">
        <v>0</v>
      </c>
      <c r="J552">
        <v>1.3</v>
      </c>
    </row>
    <row r="553" spans="1:10" x14ac:dyDescent="0.25">
      <c r="A553" t="s">
        <v>59</v>
      </c>
      <c r="B553" t="s">
        <v>24</v>
      </c>
      <c r="C553" t="s">
        <v>25</v>
      </c>
      <c r="D553" t="s">
        <v>22</v>
      </c>
      <c r="E553" t="s">
        <v>27</v>
      </c>
      <c r="F553" t="s">
        <v>19</v>
      </c>
      <c r="G553">
        <v>7</v>
      </c>
      <c r="H553">
        <v>7</v>
      </c>
      <c r="I553">
        <v>0</v>
      </c>
      <c r="J553">
        <v>2.5</v>
      </c>
    </row>
    <row r="554" spans="1:10" x14ac:dyDescent="0.25">
      <c r="A554" t="s">
        <v>20</v>
      </c>
      <c r="B554" t="s">
        <v>34</v>
      </c>
      <c r="C554" t="s">
        <v>51</v>
      </c>
      <c r="D554" t="s">
        <v>32</v>
      </c>
      <c r="E554" t="s">
        <v>18</v>
      </c>
      <c r="F554" t="s">
        <v>15</v>
      </c>
      <c r="G554">
        <v>2</v>
      </c>
      <c r="H554">
        <v>2</v>
      </c>
      <c r="I554">
        <v>0</v>
      </c>
      <c r="J554">
        <v>5.4</v>
      </c>
    </row>
    <row r="555" spans="1:10" x14ac:dyDescent="0.25">
      <c r="A555" t="s">
        <v>20</v>
      </c>
      <c r="B555" t="s">
        <v>24</v>
      </c>
      <c r="C555" t="s">
        <v>64</v>
      </c>
      <c r="D555" t="s">
        <v>13</v>
      </c>
      <c r="E555" t="s">
        <v>14</v>
      </c>
      <c r="F555" t="s">
        <v>19</v>
      </c>
      <c r="G555">
        <v>3</v>
      </c>
      <c r="H555">
        <v>3</v>
      </c>
      <c r="I555">
        <v>0</v>
      </c>
      <c r="J555">
        <v>3.4</v>
      </c>
    </row>
    <row r="556" spans="1:10" x14ac:dyDescent="0.25">
      <c r="A556" t="s">
        <v>23</v>
      </c>
      <c r="B556" t="s">
        <v>16</v>
      </c>
      <c r="C556" t="s">
        <v>17</v>
      </c>
      <c r="D556" t="s">
        <v>26</v>
      </c>
      <c r="E556" t="s">
        <v>14</v>
      </c>
      <c r="F556" t="s">
        <v>19</v>
      </c>
      <c r="G556">
        <v>4</v>
      </c>
      <c r="H556">
        <v>4</v>
      </c>
      <c r="I556">
        <v>0</v>
      </c>
      <c r="J556">
        <v>2.9</v>
      </c>
    </row>
    <row r="557" spans="1:10" x14ac:dyDescent="0.25">
      <c r="A557" t="s">
        <v>61</v>
      </c>
      <c r="B557" t="s">
        <v>11</v>
      </c>
      <c r="C557" t="s">
        <v>52</v>
      </c>
      <c r="D557" t="s">
        <v>32</v>
      </c>
      <c r="E557" t="s">
        <v>53</v>
      </c>
      <c r="F557" t="s">
        <v>19</v>
      </c>
      <c r="G557">
        <v>3</v>
      </c>
      <c r="H557">
        <v>3</v>
      </c>
      <c r="I557">
        <v>0</v>
      </c>
      <c r="J557">
        <v>2.4</v>
      </c>
    </row>
    <row r="558" spans="1:10" x14ac:dyDescent="0.25">
      <c r="A558" t="s">
        <v>61</v>
      </c>
      <c r="B558" t="s">
        <v>48</v>
      </c>
      <c r="C558" t="s">
        <v>63</v>
      </c>
      <c r="D558" t="s">
        <v>22</v>
      </c>
      <c r="E558" t="s">
        <v>14</v>
      </c>
      <c r="F558" t="s">
        <v>19</v>
      </c>
      <c r="G558">
        <v>3</v>
      </c>
      <c r="H558">
        <v>3</v>
      </c>
      <c r="I558">
        <v>0</v>
      </c>
      <c r="J558">
        <v>4.5999999999999996</v>
      </c>
    </row>
    <row r="559" spans="1:10" x14ac:dyDescent="0.25">
      <c r="A559" t="s">
        <v>43</v>
      </c>
      <c r="B559" t="s">
        <v>41</v>
      </c>
      <c r="C559" t="s">
        <v>42</v>
      </c>
      <c r="D559" t="s">
        <v>32</v>
      </c>
      <c r="E559" t="s">
        <v>18</v>
      </c>
      <c r="F559" t="s">
        <v>19</v>
      </c>
      <c r="G559">
        <v>6</v>
      </c>
      <c r="H559">
        <v>4</v>
      </c>
      <c r="I559">
        <v>0</v>
      </c>
      <c r="J559">
        <v>3.8</v>
      </c>
    </row>
    <row r="560" spans="1:10" x14ac:dyDescent="0.25">
      <c r="A560" t="s">
        <v>23</v>
      </c>
      <c r="B560" t="s">
        <v>24</v>
      </c>
      <c r="C560" t="s">
        <v>25</v>
      </c>
      <c r="D560" t="s">
        <v>22</v>
      </c>
      <c r="E560" t="s">
        <v>18</v>
      </c>
      <c r="F560" t="s">
        <v>19</v>
      </c>
      <c r="G560">
        <v>7</v>
      </c>
      <c r="H560">
        <v>6</v>
      </c>
      <c r="I560">
        <v>0</v>
      </c>
      <c r="J560">
        <v>4.4000000000000004</v>
      </c>
    </row>
    <row r="561" spans="1:10" x14ac:dyDescent="0.25">
      <c r="A561" t="s">
        <v>10</v>
      </c>
      <c r="B561" t="s">
        <v>56</v>
      </c>
      <c r="C561" t="s">
        <v>62</v>
      </c>
      <c r="D561" t="s">
        <v>32</v>
      </c>
      <c r="E561" t="s">
        <v>27</v>
      </c>
      <c r="F561" t="s">
        <v>15</v>
      </c>
      <c r="G561">
        <v>4</v>
      </c>
      <c r="H561">
        <v>4</v>
      </c>
      <c r="I561">
        <v>0</v>
      </c>
      <c r="J561">
        <v>1.4</v>
      </c>
    </row>
    <row r="562" spans="1:10" x14ac:dyDescent="0.25">
      <c r="A562" t="s">
        <v>36</v>
      </c>
      <c r="B562" t="s">
        <v>56</v>
      </c>
      <c r="C562" t="s">
        <v>57</v>
      </c>
      <c r="D562" t="s">
        <v>21</v>
      </c>
      <c r="E562" t="s">
        <v>18</v>
      </c>
      <c r="F562" t="s">
        <v>15</v>
      </c>
      <c r="G562">
        <v>6</v>
      </c>
      <c r="H562">
        <v>6</v>
      </c>
      <c r="I562">
        <v>1</v>
      </c>
      <c r="J562">
        <v>3.8</v>
      </c>
    </row>
    <row r="563" spans="1:10" x14ac:dyDescent="0.25">
      <c r="A563" t="s">
        <v>36</v>
      </c>
      <c r="B563" t="s">
        <v>16</v>
      </c>
      <c r="C563" t="s">
        <v>60</v>
      </c>
      <c r="D563" t="s">
        <v>22</v>
      </c>
      <c r="E563" t="s">
        <v>30</v>
      </c>
      <c r="F563" t="s">
        <v>19</v>
      </c>
      <c r="G563">
        <v>4</v>
      </c>
      <c r="H563">
        <v>4</v>
      </c>
      <c r="I563">
        <v>0</v>
      </c>
      <c r="J563">
        <v>4.0999999999999996</v>
      </c>
    </row>
    <row r="564" spans="1:10" x14ac:dyDescent="0.25">
      <c r="A564" t="s">
        <v>20</v>
      </c>
      <c r="B564" t="s">
        <v>16</v>
      </c>
      <c r="C564" t="s">
        <v>17</v>
      </c>
      <c r="D564" t="s">
        <v>32</v>
      </c>
      <c r="E564" t="s">
        <v>27</v>
      </c>
      <c r="F564" t="s">
        <v>15</v>
      </c>
      <c r="G564">
        <v>4</v>
      </c>
      <c r="H564">
        <v>4</v>
      </c>
      <c r="I564">
        <v>0</v>
      </c>
      <c r="J564">
        <v>2.6</v>
      </c>
    </row>
    <row r="565" spans="1:10" x14ac:dyDescent="0.25">
      <c r="A565" t="s">
        <v>23</v>
      </c>
      <c r="B565" t="s">
        <v>34</v>
      </c>
      <c r="C565" t="s">
        <v>51</v>
      </c>
      <c r="D565" t="s">
        <v>26</v>
      </c>
      <c r="E565" t="s">
        <v>27</v>
      </c>
      <c r="F565" t="s">
        <v>19</v>
      </c>
      <c r="G565">
        <v>2</v>
      </c>
      <c r="H565">
        <v>2</v>
      </c>
      <c r="I565">
        <v>0</v>
      </c>
      <c r="J565">
        <v>4.5</v>
      </c>
    </row>
    <row r="566" spans="1:10" x14ac:dyDescent="0.25">
      <c r="A566" t="s">
        <v>55</v>
      </c>
      <c r="B566" t="s">
        <v>16</v>
      </c>
      <c r="C566" t="s">
        <v>17</v>
      </c>
      <c r="D566" t="s">
        <v>21</v>
      </c>
      <c r="E566" t="s">
        <v>27</v>
      </c>
      <c r="F566" t="s">
        <v>19</v>
      </c>
      <c r="G566">
        <v>6</v>
      </c>
      <c r="H566">
        <v>4</v>
      </c>
      <c r="I566">
        <v>1</v>
      </c>
      <c r="J566">
        <v>3.2</v>
      </c>
    </row>
    <row r="567" spans="1:10" x14ac:dyDescent="0.25">
      <c r="A567" t="s">
        <v>36</v>
      </c>
      <c r="B567" t="s">
        <v>28</v>
      </c>
      <c r="C567" t="s">
        <v>58</v>
      </c>
      <c r="D567" t="s">
        <v>21</v>
      </c>
      <c r="E567" t="s">
        <v>14</v>
      </c>
      <c r="F567" t="s">
        <v>15</v>
      </c>
      <c r="G567">
        <v>7</v>
      </c>
      <c r="H567">
        <v>6</v>
      </c>
      <c r="I567">
        <v>1</v>
      </c>
      <c r="J567">
        <v>3.4</v>
      </c>
    </row>
    <row r="568" spans="1:10" x14ac:dyDescent="0.25">
      <c r="A568" t="s">
        <v>31</v>
      </c>
      <c r="B568" t="s">
        <v>46</v>
      </c>
      <c r="C568" t="s">
        <v>54</v>
      </c>
      <c r="D568" t="s">
        <v>22</v>
      </c>
      <c r="E568" t="s">
        <v>18</v>
      </c>
      <c r="F568" t="s">
        <v>15</v>
      </c>
      <c r="G568">
        <v>3</v>
      </c>
      <c r="H568">
        <v>1</v>
      </c>
      <c r="I568">
        <v>0</v>
      </c>
      <c r="J568">
        <v>4.2</v>
      </c>
    </row>
    <row r="569" spans="1:10" x14ac:dyDescent="0.25">
      <c r="A569" t="s">
        <v>23</v>
      </c>
      <c r="B569" t="s">
        <v>48</v>
      </c>
      <c r="C569" t="s">
        <v>49</v>
      </c>
      <c r="D569" t="s">
        <v>22</v>
      </c>
      <c r="E569" t="s">
        <v>53</v>
      </c>
      <c r="F569" t="s">
        <v>15</v>
      </c>
      <c r="G569">
        <v>5</v>
      </c>
      <c r="H569">
        <v>4</v>
      </c>
      <c r="I569">
        <v>0</v>
      </c>
      <c r="J569">
        <v>2.5</v>
      </c>
    </row>
    <row r="570" spans="1:10" x14ac:dyDescent="0.25">
      <c r="A570" t="s">
        <v>31</v>
      </c>
      <c r="B570" t="s">
        <v>16</v>
      </c>
      <c r="C570" t="s">
        <v>17</v>
      </c>
      <c r="D570" t="s">
        <v>13</v>
      </c>
      <c r="E570" t="s">
        <v>14</v>
      </c>
      <c r="F570" t="s">
        <v>15</v>
      </c>
      <c r="G570">
        <v>4</v>
      </c>
      <c r="H570">
        <v>4</v>
      </c>
      <c r="I570">
        <v>0</v>
      </c>
      <c r="J570">
        <v>2.5</v>
      </c>
    </row>
    <row r="571" spans="1:10" x14ac:dyDescent="0.25">
      <c r="A571" t="s">
        <v>31</v>
      </c>
      <c r="B571" t="s">
        <v>28</v>
      </c>
      <c r="C571" t="s">
        <v>58</v>
      </c>
      <c r="D571" t="s">
        <v>26</v>
      </c>
      <c r="E571" t="s">
        <v>14</v>
      </c>
      <c r="F571" t="s">
        <v>19</v>
      </c>
      <c r="G571">
        <v>4</v>
      </c>
      <c r="H571">
        <v>4</v>
      </c>
      <c r="I571">
        <v>0</v>
      </c>
      <c r="J571">
        <v>2</v>
      </c>
    </row>
    <row r="572" spans="1:10" x14ac:dyDescent="0.25">
      <c r="A572" t="s">
        <v>33</v>
      </c>
      <c r="B572" t="s">
        <v>46</v>
      </c>
      <c r="C572" t="s">
        <v>47</v>
      </c>
      <c r="D572" t="s">
        <v>22</v>
      </c>
      <c r="E572" t="s">
        <v>27</v>
      </c>
      <c r="F572" t="s">
        <v>15</v>
      </c>
      <c r="G572">
        <v>4</v>
      </c>
      <c r="H572">
        <v>3</v>
      </c>
      <c r="I572">
        <v>0</v>
      </c>
      <c r="J572">
        <v>2.9</v>
      </c>
    </row>
    <row r="573" spans="1:10" x14ac:dyDescent="0.25">
      <c r="A573" t="s">
        <v>33</v>
      </c>
      <c r="B573" t="s">
        <v>56</v>
      </c>
      <c r="C573" t="s">
        <v>62</v>
      </c>
      <c r="D573" t="s">
        <v>21</v>
      </c>
      <c r="E573" t="s">
        <v>53</v>
      </c>
      <c r="F573" t="s">
        <v>19</v>
      </c>
      <c r="G573">
        <v>10</v>
      </c>
      <c r="H573">
        <v>7</v>
      </c>
      <c r="I573">
        <v>1</v>
      </c>
      <c r="J573">
        <v>2.6</v>
      </c>
    </row>
    <row r="574" spans="1:10" x14ac:dyDescent="0.25">
      <c r="A574" t="s">
        <v>33</v>
      </c>
      <c r="B574" t="s">
        <v>48</v>
      </c>
      <c r="C574" t="s">
        <v>49</v>
      </c>
      <c r="D574" t="s">
        <v>26</v>
      </c>
      <c r="E574" t="s">
        <v>22</v>
      </c>
      <c r="F574" t="s">
        <v>19</v>
      </c>
      <c r="G574">
        <v>3</v>
      </c>
      <c r="H574">
        <v>3</v>
      </c>
      <c r="I574">
        <v>0</v>
      </c>
      <c r="J574">
        <v>2.8</v>
      </c>
    </row>
    <row r="575" spans="1:10" x14ac:dyDescent="0.25">
      <c r="A575" t="s">
        <v>10</v>
      </c>
      <c r="B575" t="s">
        <v>48</v>
      </c>
      <c r="C575" t="s">
        <v>49</v>
      </c>
      <c r="D575" t="s">
        <v>26</v>
      </c>
      <c r="E575" t="s">
        <v>53</v>
      </c>
      <c r="F575" t="s">
        <v>19</v>
      </c>
      <c r="G575">
        <v>5</v>
      </c>
      <c r="H575">
        <v>5</v>
      </c>
      <c r="I575">
        <v>1</v>
      </c>
      <c r="J575">
        <v>3.3</v>
      </c>
    </row>
    <row r="576" spans="1:10" x14ac:dyDescent="0.25">
      <c r="A576" t="s">
        <v>50</v>
      </c>
      <c r="B576" t="s">
        <v>37</v>
      </c>
      <c r="C576" t="s">
        <v>38</v>
      </c>
      <c r="D576" t="s">
        <v>13</v>
      </c>
      <c r="E576" t="s">
        <v>14</v>
      </c>
      <c r="F576" t="s">
        <v>19</v>
      </c>
      <c r="G576">
        <v>3</v>
      </c>
      <c r="H576">
        <v>2</v>
      </c>
      <c r="I576">
        <v>0</v>
      </c>
      <c r="J576">
        <v>2.4</v>
      </c>
    </row>
    <row r="577" spans="1:10" x14ac:dyDescent="0.25">
      <c r="A577" t="s">
        <v>36</v>
      </c>
      <c r="B577" t="s">
        <v>46</v>
      </c>
      <c r="C577" t="s">
        <v>47</v>
      </c>
      <c r="D577" t="s">
        <v>22</v>
      </c>
      <c r="E577" t="s">
        <v>14</v>
      </c>
      <c r="F577" t="s">
        <v>19</v>
      </c>
      <c r="G577">
        <v>7</v>
      </c>
      <c r="H577">
        <v>6</v>
      </c>
      <c r="I577">
        <v>2</v>
      </c>
      <c r="J577">
        <v>2.5</v>
      </c>
    </row>
    <row r="578" spans="1:10" x14ac:dyDescent="0.25">
      <c r="A578" t="s">
        <v>43</v>
      </c>
      <c r="B578" t="s">
        <v>16</v>
      </c>
      <c r="C578" t="s">
        <v>60</v>
      </c>
      <c r="D578" t="s">
        <v>40</v>
      </c>
      <c r="E578" t="s">
        <v>14</v>
      </c>
      <c r="F578" t="s">
        <v>19</v>
      </c>
      <c r="G578">
        <v>1</v>
      </c>
      <c r="H578">
        <v>1</v>
      </c>
      <c r="I578">
        <v>0</v>
      </c>
      <c r="J578">
        <v>2.9</v>
      </c>
    </row>
    <row r="579" spans="1:10" x14ac:dyDescent="0.25">
      <c r="A579" t="s">
        <v>59</v>
      </c>
      <c r="B579" t="s">
        <v>41</v>
      </c>
      <c r="C579" t="s">
        <v>44</v>
      </c>
      <c r="D579" t="s">
        <v>32</v>
      </c>
      <c r="E579" t="s">
        <v>53</v>
      </c>
      <c r="F579" t="s">
        <v>15</v>
      </c>
      <c r="G579">
        <v>3</v>
      </c>
      <c r="H579">
        <v>3</v>
      </c>
      <c r="I579">
        <v>0</v>
      </c>
      <c r="J579">
        <v>1.9</v>
      </c>
    </row>
    <row r="580" spans="1:10" x14ac:dyDescent="0.25">
      <c r="A580" t="s">
        <v>45</v>
      </c>
      <c r="B580" t="s">
        <v>34</v>
      </c>
      <c r="C580" t="s">
        <v>35</v>
      </c>
      <c r="D580" t="s">
        <v>26</v>
      </c>
      <c r="E580" t="s">
        <v>27</v>
      </c>
      <c r="F580" t="s">
        <v>19</v>
      </c>
      <c r="G580">
        <v>8</v>
      </c>
      <c r="H580">
        <v>6</v>
      </c>
      <c r="I580">
        <v>2</v>
      </c>
      <c r="J580">
        <v>0</v>
      </c>
    </row>
    <row r="581" spans="1:10" x14ac:dyDescent="0.25">
      <c r="A581" t="s">
        <v>43</v>
      </c>
      <c r="B581" t="s">
        <v>48</v>
      </c>
      <c r="C581" t="s">
        <v>63</v>
      </c>
      <c r="D581" t="s">
        <v>32</v>
      </c>
      <c r="E581" t="s">
        <v>14</v>
      </c>
      <c r="F581" t="s">
        <v>15</v>
      </c>
      <c r="G581">
        <v>4</v>
      </c>
      <c r="H581">
        <v>4</v>
      </c>
      <c r="I581">
        <v>0</v>
      </c>
      <c r="J581">
        <v>3.6</v>
      </c>
    </row>
    <row r="582" spans="1:10" x14ac:dyDescent="0.25">
      <c r="A582" t="s">
        <v>20</v>
      </c>
      <c r="B582" t="s">
        <v>41</v>
      </c>
      <c r="C582" t="s">
        <v>42</v>
      </c>
      <c r="D582" t="s">
        <v>40</v>
      </c>
      <c r="E582" t="s">
        <v>27</v>
      </c>
      <c r="F582" t="s">
        <v>15</v>
      </c>
      <c r="G582">
        <v>3</v>
      </c>
      <c r="H582">
        <v>3</v>
      </c>
      <c r="I582">
        <v>0</v>
      </c>
      <c r="J582">
        <v>1.3</v>
      </c>
    </row>
    <row r="583" spans="1:10" x14ac:dyDescent="0.25">
      <c r="A583" t="s">
        <v>50</v>
      </c>
      <c r="B583" t="s">
        <v>56</v>
      </c>
      <c r="C583" t="s">
        <v>62</v>
      </c>
      <c r="D583" t="s">
        <v>13</v>
      </c>
      <c r="E583" t="s">
        <v>53</v>
      </c>
      <c r="F583" t="s">
        <v>19</v>
      </c>
      <c r="G583">
        <v>5</v>
      </c>
      <c r="H583">
        <v>5</v>
      </c>
      <c r="I583">
        <v>1</v>
      </c>
      <c r="J583">
        <v>3.1</v>
      </c>
    </row>
    <row r="584" spans="1:10" x14ac:dyDescent="0.25">
      <c r="A584" t="s">
        <v>36</v>
      </c>
      <c r="B584" t="s">
        <v>34</v>
      </c>
      <c r="C584" t="s">
        <v>51</v>
      </c>
      <c r="D584" t="s">
        <v>21</v>
      </c>
      <c r="E584" t="s">
        <v>30</v>
      </c>
      <c r="F584" t="s">
        <v>19</v>
      </c>
      <c r="G584">
        <v>0</v>
      </c>
      <c r="H584">
        <v>0</v>
      </c>
      <c r="I584">
        <v>0</v>
      </c>
      <c r="J584">
        <v>3</v>
      </c>
    </row>
    <row r="585" spans="1:10" x14ac:dyDescent="0.25">
      <c r="A585" t="s">
        <v>55</v>
      </c>
      <c r="B585" t="s">
        <v>16</v>
      </c>
      <c r="C585" t="s">
        <v>60</v>
      </c>
      <c r="D585" t="s">
        <v>22</v>
      </c>
      <c r="E585" t="s">
        <v>22</v>
      </c>
      <c r="F585" t="s">
        <v>19</v>
      </c>
      <c r="G585">
        <v>1</v>
      </c>
      <c r="H585">
        <v>1</v>
      </c>
      <c r="I585">
        <v>0</v>
      </c>
      <c r="J585">
        <v>3.6</v>
      </c>
    </row>
    <row r="586" spans="1:10" x14ac:dyDescent="0.25">
      <c r="A586" t="s">
        <v>23</v>
      </c>
      <c r="B586" t="s">
        <v>11</v>
      </c>
      <c r="C586" t="s">
        <v>52</v>
      </c>
      <c r="D586" t="s">
        <v>21</v>
      </c>
      <c r="E586" t="s">
        <v>22</v>
      </c>
      <c r="F586" t="s">
        <v>19</v>
      </c>
      <c r="G586">
        <v>6</v>
      </c>
      <c r="H586">
        <v>4</v>
      </c>
      <c r="I586">
        <v>1</v>
      </c>
      <c r="J586">
        <v>5.5</v>
      </c>
    </row>
    <row r="587" spans="1:10" x14ac:dyDescent="0.25">
      <c r="A587" t="s">
        <v>31</v>
      </c>
      <c r="B587" t="s">
        <v>46</v>
      </c>
      <c r="C587" t="s">
        <v>47</v>
      </c>
      <c r="D587" t="s">
        <v>32</v>
      </c>
      <c r="E587" t="s">
        <v>27</v>
      </c>
      <c r="F587" t="s">
        <v>19</v>
      </c>
      <c r="G587">
        <v>8</v>
      </c>
      <c r="H587">
        <v>8</v>
      </c>
      <c r="I587">
        <v>0</v>
      </c>
      <c r="J587">
        <v>3</v>
      </c>
    </row>
    <row r="588" spans="1:10" x14ac:dyDescent="0.25">
      <c r="A588" t="s">
        <v>45</v>
      </c>
      <c r="B588" t="s">
        <v>46</v>
      </c>
      <c r="C588" t="s">
        <v>47</v>
      </c>
      <c r="D588" t="s">
        <v>13</v>
      </c>
      <c r="E588" t="s">
        <v>18</v>
      </c>
      <c r="F588" t="s">
        <v>19</v>
      </c>
      <c r="G588">
        <v>7</v>
      </c>
      <c r="H588">
        <v>7</v>
      </c>
      <c r="I588">
        <v>0</v>
      </c>
      <c r="J588">
        <v>3.2</v>
      </c>
    </row>
    <row r="589" spans="1:10" x14ac:dyDescent="0.25">
      <c r="A589" t="s">
        <v>33</v>
      </c>
      <c r="B589" t="s">
        <v>37</v>
      </c>
      <c r="C589" t="s">
        <v>39</v>
      </c>
      <c r="D589" t="s">
        <v>21</v>
      </c>
      <c r="E589" t="s">
        <v>22</v>
      </c>
      <c r="F589" t="s">
        <v>15</v>
      </c>
      <c r="G589">
        <v>8</v>
      </c>
      <c r="H589">
        <v>8</v>
      </c>
      <c r="I589">
        <v>0</v>
      </c>
      <c r="J589">
        <v>5.2</v>
      </c>
    </row>
    <row r="590" spans="1:10" x14ac:dyDescent="0.25">
      <c r="A590" t="s">
        <v>61</v>
      </c>
      <c r="B590" t="s">
        <v>37</v>
      </c>
      <c r="C590" t="s">
        <v>38</v>
      </c>
      <c r="D590" t="s">
        <v>40</v>
      </c>
      <c r="E590" t="s">
        <v>53</v>
      </c>
      <c r="F590" t="s">
        <v>19</v>
      </c>
      <c r="G590">
        <v>7</v>
      </c>
      <c r="H590">
        <v>5</v>
      </c>
      <c r="I590">
        <v>2</v>
      </c>
      <c r="J590">
        <v>1.1000000000000001</v>
      </c>
    </row>
    <row r="591" spans="1:10" x14ac:dyDescent="0.25">
      <c r="A591" t="s">
        <v>20</v>
      </c>
      <c r="B591" t="s">
        <v>37</v>
      </c>
      <c r="C591" t="s">
        <v>39</v>
      </c>
      <c r="D591" t="s">
        <v>13</v>
      </c>
      <c r="E591" t="s">
        <v>53</v>
      </c>
      <c r="F591" t="s">
        <v>15</v>
      </c>
      <c r="G591">
        <v>4</v>
      </c>
      <c r="H591">
        <v>4</v>
      </c>
      <c r="I591">
        <v>0</v>
      </c>
      <c r="J591">
        <v>2.4</v>
      </c>
    </row>
    <row r="592" spans="1:10" x14ac:dyDescent="0.25">
      <c r="A592" t="s">
        <v>33</v>
      </c>
      <c r="B592" t="s">
        <v>56</v>
      </c>
      <c r="C592" t="s">
        <v>62</v>
      </c>
      <c r="D592" t="s">
        <v>21</v>
      </c>
      <c r="E592" t="s">
        <v>22</v>
      </c>
      <c r="F592" t="s">
        <v>15</v>
      </c>
      <c r="G592">
        <v>4</v>
      </c>
      <c r="H592">
        <v>4</v>
      </c>
      <c r="I592">
        <v>1</v>
      </c>
      <c r="J592">
        <v>1.7</v>
      </c>
    </row>
    <row r="593" spans="1:10" x14ac:dyDescent="0.25">
      <c r="A593" t="s">
        <v>10</v>
      </c>
      <c r="B593" t="s">
        <v>46</v>
      </c>
      <c r="C593" t="s">
        <v>47</v>
      </c>
      <c r="D593" t="s">
        <v>22</v>
      </c>
      <c r="E593" t="s">
        <v>27</v>
      </c>
      <c r="F593" t="s">
        <v>15</v>
      </c>
      <c r="G593">
        <v>6</v>
      </c>
      <c r="H593">
        <v>5</v>
      </c>
      <c r="I593">
        <v>0</v>
      </c>
      <c r="J593">
        <v>0.9</v>
      </c>
    </row>
    <row r="594" spans="1:10" x14ac:dyDescent="0.25">
      <c r="A594" t="s">
        <v>23</v>
      </c>
      <c r="B594" t="s">
        <v>48</v>
      </c>
      <c r="C594" t="s">
        <v>63</v>
      </c>
      <c r="D594" t="s">
        <v>26</v>
      </c>
      <c r="E594" t="s">
        <v>22</v>
      </c>
      <c r="F594" t="s">
        <v>19</v>
      </c>
      <c r="G594">
        <v>4</v>
      </c>
      <c r="H594">
        <v>3</v>
      </c>
      <c r="I594">
        <v>0</v>
      </c>
      <c r="J594">
        <v>2.6</v>
      </c>
    </row>
    <row r="595" spans="1:10" x14ac:dyDescent="0.25">
      <c r="A595" t="s">
        <v>61</v>
      </c>
      <c r="B595" t="s">
        <v>41</v>
      </c>
      <c r="C595" t="s">
        <v>42</v>
      </c>
      <c r="D595" t="s">
        <v>26</v>
      </c>
      <c r="E595" t="s">
        <v>27</v>
      </c>
      <c r="F595" t="s">
        <v>19</v>
      </c>
      <c r="G595">
        <v>3</v>
      </c>
      <c r="H595">
        <v>3</v>
      </c>
      <c r="I595">
        <v>0</v>
      </c>
      <c r="J595">
        <v>2.7</v>
      </c>
    </row>
    <row r="596" spans="1:10" x14ac:dyDescent="0.25">
      <c r="A596" t="s">
        <v>33</v>
      </c>
      <c r="B596" t="s">
        <v>48</v>
      </c>
      <c r="C596" t="s">
        <v>49</v>
      </c>
      <c r="D596" t="s">
        <v>13</v>
      </c>
      <c r="E596" t="s">
        <v>27</v>
      </c>
      <c r="F596" t="s">
        <v>19</v>
      </c>
      <c r="G596">
        <v>3</v>
      </c>
      <c r="H596">
        <v>3</v>
      </c>
      <c r="I596">
        <v>0</v>
      </c>
      <c r="J596">
        <v>2.4</v>
      </c>
    </row>
    <row r="597" spans="1:10" x14ac:dyDescent="0.25">
      <c r="A597" t="s">
        <v>33</v>
      </c>
      <c r="B597" t="s">
        <v>48</v>
      </c>
      <c r="C597" t="s">
        <v>63</v>
      </c>
      <c r="D597" t="s">
        <v>22</v>
      </c>
      <c r="E597" t="s">
        <v>22</v>
      </c>
      <c r="F597" t="s">
        <v>15</v>
      </c>
      <c r="G597">
        <v>5</v>
      </c>
      <c r="H597">
        <v>5</v>
      </c>
      <c r="I597">
        <v>0</v>
      </c>
      <c r="J597">
        <v>1.8</v>
      </c>
    </row>
    <row r="598" spans="1:10" x14ac:dyDescent="0.25">
      <c r="A598" t="s">
        <v>50</v>
      </c>
      <c r="B598" t="s">
        <v>34</v>
      </c>
      <c r="C598" t="s">
        <v>35</v>
      </c>
      <c r="D598" t="s">
        <v>22</v>
      </c>
      <c r="E598" t="s">
        <v>14</v>
      </c>
      <c r="F598" t="s">
        <v>15</v>
      </c>
      <c r="G598">
        <v>7</v>
      </c>
      <c r="H598">
        <v>6</v>
      </c>
      <c r="I598">
        <v>0</v>
      </c>
      <c r="J598">
        <v>1.3</v>
      </c>
    </row>
    <row r="599" spans="1:10" x14ac:dyDescent="0.25">
      <c r="A599" t="s">
        <v>50</v>
      </c>
      <c r="B599" t="s">
        <v>37</v>
      </c>
      <c r="C599" t="s">
        <v>38</v>
      </c>
      <c r="D599" t="s">
        <v>21</v>
      </c>
      <c r="E599" t="s">
        <v>14</v>
      </c>
      <c r="F599" t="s">
        <v>19</v>
      </c>
      <c r="G599">
        <v>9</v>
      </c>
      <c r="H599">
        <v>8</v>
      </c>
      <c r="I599">
        <v>0</v>
      </c>
      <c r="J599">
        <v>2.1</v>
      </c>
    </row>
    <row r="600" spans="1:10" x14ac:dyDescent="0.25">
      <c r="A600" t="s">
        <v>20</v>
      </c>
      <c r="B600" t="s">
        <v>34</v>
      </c>
      <c r="C600" t="s">
        <v>35</v>
      </c>
      <c r="D600" t="s">
        <v>13</v>
      </c>
      <c r="E600" t="s">
        <v>14</v>
      </c>
      <c r="F600" t="s">
        <v>19</v>
      </c>
      <c r="G600">
        <v>6</v>
      </c>
      <c r="H600">
        <v>5</v>
      </c>
      <c r="I600">
        <v>1</v>
      </c>
      <c r="J600">
        <v>4.9000000000000004</v>
      </c>
    </row>
    <row r="601" spans="1:10" x14ac:dyDescent="0.25">
      <c r="A601" t="s">
        <v>61</v>
      </c>
      <c r="B601" t="s">
        <v>11</v>
      </c>
      <c r="C601" t="s">
        <v>12</v>
      </c>
      <c r="D601" t="s">
        <v>22</v>
      </c>
      <c r="E601" t="s">
        <v>27</v>
      </c>
      <c r="F601" t="s">
        <v>15</v>
      </c>
      <c r="G601">
        <v>2</v>
      </c>
      <c r="H601">
        <v>2</v>
      </c>
      <c r="I601">
        <v>0</v>
      </c>
      <c r="J601">
        <v>4</v>
      </c>
    </row>
    <row r="602" spans="1:10" x14ac:dyDescent="0.25">
      <c r="A602" t="s">
        <v>10</v>
      </c>
      <c r="B602" t="s">
        <v>56</v>
      </c>
      <c r="C602" t="s">
        <v>62</v>
      </c>
      <c r="D602" t="s">
        <v>21</v>
      </c>
      <c r="E602" t="s">
        <v>18</v>
      </c>
      <c r="F602" t="s">
        <v>15</v>
      </c>
      <c r="G602">
        <v>4</v>
      </c>
      <c r="H602">
        <v>4</v>
      </c>
      <c r="I602">
        <v>1</v>
      </c>
      <c r="J602">
        <v>3.4</v>
      </c>
    </row>
    <row r="603" spans="1:10" x14ac:dyDescent="0.25">
      <c r="A603" t="s">
        <v>20</v>
      </c>
      <c r="B603" t="s">
        <v>46</v>
      </c>
      <c r="C603" t="s">
        <v>54</v>
      </c>
      <c r="D603" t="s">
        <v>13</v>
      </c>
      <c r="E603" t="s">
        <v>18</v>
      </c>
      <c r="F603" t="s">
        <v>19</v>
      </c>
      <c r="G603">
        <v>4</v>
      </c>
      <c r="H603">
        <v>4</v>
      </c>
      <c r="I603">
        <v>1</v>
      </c>
      <c r="J603">
        <v>3.7</v>
      </c>
    </row>
    <row r="604" spans="1:10" x14ac:dyDescent="0.25">
      <c r="A604" t="s">
        <v>36</v>
      </c>
      <c r="B604" t="s">
        <v>56</v>
      </c>
      <c r="C604" t="s">
        <v>57</v>
      </c>
      <c r="D604" t="s">
        <v>26</v>
      </c>
      <c r="E604" t="s">
        <v>27</v>
      </c>
      <c r="F604" t="s">
        <v>19</v>
      </c>
      <c r="G604">
        <v>4</v>
      </c>
      <c r="H604">
        <v>4</v>
      </c>
      <c r="I604">
        <v>0</v>
      </c>
      <c r="J604">
        <v>1.3</v>
      </c>
    </row>
    <row r="605" spans="1:10" x14ac:dyDescent="0.25">
      <c r="A605" t="s">
        <v>50</v>
      </c>
      <c r="B605" t="s">
        <v>16</v>
      </c>
      <c r="C605" t="s">
        <v>17</v>
      </c>
      <c r="D605" t="s">
        <v>13</v>
      </c>
      <c r="E605" t="s">
        <v>30</v>
      </c>
      <c r="F605" t="s">
        <v>19</v>
      </c>
      <c r="G605">
        <v>4</v>
      </c>
      <c r="H605">
        <v>4</v>
      </c>
      <c r="I605">
        <v>0</v>
      </c>
      <c r="J605">
        <v>2.5</v>
      </c>
    </row>
    <row r="606" spans="1:10" x14ac:dyDescent="0.25">
      <c r="A606" t="s">
        <v>50</v>
      </c>
      <c r="B606" t="s">
        <v>41</v>
      </c>
      <c r="C606" t="s">
        <v>44</v>
      </c>
      <c r="D606" t="s">
        <v>26</v>
      </c>
      <c r="E606" t="s">
        <v>18</v>
      </c>
      <c r="F606" t="s">
        <v>15</v>
      </c>
      <c r="G606">
        <v>8</v>
      </c>
      <c r="H606">
        <v>8</v>
      </c>
      <c r="I606">
        <v>0</v>
      </c>
      <c r="J606">
        <v>2.4</v>
      </c>
    </row>
    <row r="607" spans="1:10" x14ac:dyDescent="0.25">
      <c r="A607" t="s">
        <v>45</v>
      </c>
      <c r="B607" t="s">
        <v>46</v>
      </c>
      <c r="C607" t="s">
        <v>47</v>
      </c>
      <c r="D607" t="s">
        <v>21</v>
      </c>
      <c r="E607" t="s">
        <v>30</v>
      </c>
      <c r="F607" t="s">
        <v>15</v>
      </c>
      <c r="G607">
        <v>6</v>
      </c>
      <c r="H607">
        <v>5</v>
      </c>
      <c r="I607">
        <v>0</v>
      </c>
      <c r="J607">
        <v>2.6</v>
      </c>
    </row>
    <row r="608" spans="1:10" x14ac:dyDescent="0.25">
      <c r="A608" t="s">
        <v>55</v>
      </c>
      <c r="B608" t="s">
        <v>46</v>
      </c>
      <c r="C608" t="s">
        <v>54</v>
      </c>
      <c r="D608" t="s">
        <v>22</v>
      </c>
      <c r="E608" t="s">
        <v>22</v>
      </c>
      <c r="F608" t="s">
        <v>19</v>
      </c>
      <c r="G608">
        <v>6</v>
      </c>
      <c r="H608">
        <v>5</v>
      </c>
      <c r="I608">
        <v>0</v>
      </c>
      <c r="J608">
        <v>3.5</v>
      </c>
    </row>
    <row r="609" spans="1:10" x14ac:dyDescent="0.25">
      <c r="A609" t="s">
        <v>36</v>
      </c>
      <c r="B609" t="s">
        <v>46</v>
      </c>
      <c r="C609" t="s">
        <v>47</v>
      </c>
      <c r="D609" t="s">
        <v>26</v>
      </c>
      <c r="E609" t="s">
        <v>27</v>
      </c>
      <c r="F609" t="s">
        <v>19</v>
      </c>
      <c r="G609">
        <v>6</v>
      </c>
      <c r="H609">
        <v>6</v>
      </c>
      <c r="I609">
        <v>1</v>
      </c>
      <c r="J609">
        <v>4.0999999999999996</v>
      </c>
    </row>
    <row r="610" spans="1:10" x14ac:dyDescent="0.25">
      <c r="A610" t="s">
        <v>31</v>
      </c>
      <c r="B610" t="s">
        <v>48</v>
      </c>
      <c r="C610" t="s">
        <v>63</v>
      </c>
      <c r="D610" t="s">
        <v>40</v>
      </c>
      <c r="E610" t="s">
        <v>14</v>
      </c>
      <c r="F610" t="s">
        <v>15</v>
      </c>
      <c r="G610">
        <v>4</v>
      </c>
      <c r="H610">
        <v>3</v>
      </c>
      <c r="I610">
        <v>0</v>
      </c>
      <c r="J610">
        <v>3.3</v>
      </c>
    </row>
    <row r="611" spans="1:10" x14ac:dyDescent="0.25">
      <c r="A611" t="s">
        <v>59</v>
      </c>
      <c r="B611" t="s">
        <v>16</v>
      </c>
      <c r="C611" t="s">
        <v>60</v>
      </c>
      <c r="D611" t="s">
        <v>32</v>
      </c>
      <c r="E611" t="s">
        <v>30</v>
      </c>
      <c r="F611" t="s">
        <v>19</v>
      </c>
      <c r="G611">
        <v>4</v>
      </c>
      <c r="H611">
        <v>3</v>
      </c>
      <c r="I611">
        <v>0</v>
      </c>
      <c r="J611">
        <v>1.1000000000000001</v>
      </c>
    </row>
    <row r="612" spans="1:10" x14ac:dyDescent="0.25">
      <c r="A612" t="s">
        <v>31</v>
      </c>
      <c r="B612" t="s">
        <v>41</v>
      </c>
      <c r="C612" t="s">
        <v>42</v>
      </c>
      <c r="D612" t="s">
        <v>13</v>
      </c>
      <c r="E612" t="s">
        <v>53</v>
      </c>
      <c r="F612" t="s">
        <v>19</v>
      </c>
      <c r="G612">
        <v>4</v>
      </c>
      <c r="H612">
        <v>4</v>
      </c>
      <c r="I612">
        <v>0</v>
      </c>
      <c r="J612">
        <v>1.2</v>
      </c>
    </row>
    <row r="613" spans="1:10" x14ac:dyDescent="0.25">
      <c r="A613" t="s">
        <v>36</v>
      </c>
      <c r="B613" t="s">
        <v>41</v>
      </c>
      <c r="C613" t="s">
        <v>44</v>
      </c>
      <c r="D613" t="s">
        <v>13</v>
      </c>
      <c r="E613" t="s">
        <v>27</v>
      </c>
      <c r="F613" t="s">
        <v>15</v>
      </c>
      <c r="G613">
        <v>4</v>
      </c>
      <c r="H613">
        <v>3</v>
      </c>
      <c r="I613">
        <v>1</v>
      </c>
      <c r="J613">
        <v>0.8</v>
      </c>
    </row>
    <row r="614" spans="1:10" x14ac:dyDescent="0.25">
      <c r="A614" t="s">
        <v>31</v>
      </c>
      <c r="B614" t="s">
        <v>46</v>
      </c>
      <c r="C614" t="s">
        <v>54</v>
      </c>
      <c r="D614" t="s">
        <v>13</v>
      </c>
      <c r="E614" t="s">
        <v>30</v>
      </c>
      <c r="F614" t="s">
        <v>19</v>
      </c>
      <c r="G614">
        <v>3</v>
      </c>
      <c r="H614">
        <v>2</v>
      </c>
      <c r="I614">
        <v>0</v>
      </c>
      <c r="J614">
        <v>2.8</v>
      </c>
    </row>
    <row r="615" spans="1:10" x14ac:dyDescent="0.25">
      <c r="A615" t="s">
        <v>45</v>
      </c>
      <c r="B615" t="s">
        <v>37</v>
      </c>
      <c r="C615" t="s">
        <v>39</v>
      </c>
      <c r="D615" t="s">
        <v>32</v>
      </c>
      <c r="E615" t="s">
        <v>30</v>
      </c>
      <c r="F615" t="s">
        <v>19</v>
      </c>
      <c r="G615">
        <v>5</v>
      </c>
      <c r="H615">
        <v>5</v>
      </c>
      <c r="I615">
        <v>0</v>
      </c>
      <c r="J615">
        <v>4.2</v>
      </c>
    </row>
    <row r="616" spans="1:10" x14ac:dyDescent="0.25">
      <c r="A616" t="s">
        <v>61</v>
      </c>
      <c r="B616" t="s">
        <v>34</v>
      </c>
      <c r="C616" t="s">
        <v>35</v>
      </c>
      <c r="D616" t="s">
        <v>21</v>
      </c>
      <c r="E616" t="s">
        <v>14</v>
      </c>
      <c r="F616" t="s">
        <v>19</v>
      </c>
      <c r="G616">
        <v>3</v>
      </c>
      <c r="H616">
        <v>3</v>
      </c>
      <c r="I616">
        <v>0</v>
      </c>
      <c r="J616">
        <v>2.5</v>
      </c>
    </row>
    <row r="617" spans="1:10" x14ac:dyDescent="0.25">
      <c r="A617" t="s">
        <v>20</v>
      </c>
      <c r="B617" t="s">
        <v>48</v>
      </c>
      <c r="C617" t="s">
        <v>63</v>
      </c>
      <c r="D617" t="s">
        <v>32</v>
      </c>
      <c r="E617" t="s">
        <v>27</v>
      </c>
      <c r="F617" t="s">
        <v>19</v>
      </c>
      <c r="G617">
        <v>3</v>
      </c>
      <c r="H617">
        <v>2</v>
      </c>
      <c r="I617">
        <v>0</v>
      </c>
      <c r="J617">
        <v>4</v>
      </c>
    </row>
    <row r="618" spans="1:10" x14ac:dyDescent="0.25">
      <c r="A618" t="s">
        <v>36</v>
      </c>
      <c r="B618" t="s">
        <v>41</v>
      </c>
      <c r="C618" t="s">
        <v>44</v>
      </c>
      <c r="D618" t="s">
        <v>13</v>
      </c>
      <c r="E618" t="s">
        <v>53</v>
      </c>
      <c r="F618" t="s">
        <v>19</v>
      </c>
      <c r="G618">
        <v>5</v>
      </c>
      <c r="H618">
        <v>5</v>
      </c>
      <c r="I618">
        <v>0</v>
      </c>
      <c r="J618">
        <v>1.9</v>
      </c>
    </row>
    <row r="619" spans="1:10" x14ac:dyDescent="0.25">
      <c r="A619" t="s">
        <v>43</v>
      </c>
      <c r="B619" t="s">
        <v>48</v>
      </c>
      <c r="C619" t="s">
        <v>49</v>
      </c>
      <c r="D619" t="s">
        <v>21</v>
      </c>
      <c r="E619" t="s">
        <v>30</v>
      </c>
      <c r="F619" t="s">
        <v>19</v>
      </c>
      <c r="G619">
        <v>7</v>
      </c>
      <c r="H619">
        <v>6</v>
      </c>
      <c r="I619">
        <v>1</v>
      </c>
      <c r="J619">
        <v>3.5</v>
      </c>
    </row>
    <row r="620" spans="1:10" x14ac:dyDescent="0.25">
      <c r="A620" t="s">
        <v>36</v>
      </c>
      <c r="B620" t="s">
        <v>34</v>
      </c>
      <c r="C620" t="s">
        <v>51</v>
      </c>
      <c r="D620" t="s">
        <v>40</v>
      </c>
      <c r="E620" t="s">
        <v>27</v>
      </c>
      <c r="F620" t="s">
        <v>19</v>
      </c>
      <c r="G620">
        <v>4</v>
      </c>
      <c r="H620">
        <v>4</v>
      </c>
      <c r="I620">
        <v>0</v>
      </c>
      <c r="J620">
        <v>2.2000000000000002</v>
      </c>
    </row>
    <row r="621" spans="1:10" x14ac:dyDescent="0.25">
      <c r="A621" t="s">
        <v>20</v>
      </c>
      <c r="B621" t="s">
        <v>46</v>
      </c>
      <c r="C621" t="s">
        <v>47</v>
      </c>
      <c r="D621" t="s">
        <v>26</v>
      </c>
      <c r="E621" t="s">
        <v>30</v>
      </c>
      <c r="F621" t="s">
        <v>15</v>
      </c>
      <c r="G621">
        <v>4</v>
      </c>
      <c r="H621">
        <v>3</v>
      </c>
      <c r="I621">
        <v>0</v>
      </c>
      <c r="J621">
        <v>3.6</v>
      </c>
    </row>
    <row r="622" spans="1:10" x14ac:dyDescent="0.25">
      <c r="A622" t="s">
        <v>55</v>
      </c>
      <c r="B622" t="s">
        <v>16</v>
      </c>
      <c r="C622" t="s">
        <v>60</v>
      </c>
      <c r="D622" t="s">
        <v>32</v>
      </c>
      <c r="E622" t="s">
        <v>18</v>
      </c>
      <c r="F622" t="s">
        <v>15</v>
      </c>
      <c r="G622">
        <v>4</v>
      </c>
      <c r="H622">
        <v>3</v>
      </c>
      <c r="I622">
        <v>0</v>
      </c>
      <c r="J622">
        <v>2.2000000000000002</v>
      </c>
    </row>
    <row r="623" spans="1:10" x14ac:dyDescent="0.25">
      <c r="A623" t="s">
        <v>59</v>
      </c>
      <c r="B623" t="s">
        <v>48</v>
      </c>
      <c r="C623" t="s">
        <v>49</v>
      </c>
      <c r="D623" t="s">
        <v>32</v>
      </c>
      <c r="E623" t="s">
        <v>14</v>
      </c>
      <c r="F623" t="s">
        <v>19</v>
      </c>
      <c r="G623">
        <v>5</v>
      </c>
      <c r="H623">
        <v>5</v>
      </c>
      <c r="I623">
        <v>0</v>
      </c>
      <c r="J623">
        <v>4.0999999999999996</v>
      </c>
    </row>
    <row r="624" spans="1:10" x14ac:dyDescent="0.25">
      <c r="A624" t="s">
        <v>59</v>
      </c>
      <c r="B624" t="s">
        <v>16</v>
      </c>
      <c r="C624" t="s">
        <v>17</v>
      </c>
      <c r="D624" t="s">
        <v>40</v>
      </c>
      <c r="E624" t="s">
        <v>14</v>
      </c>
      <c r="F624" t="s">
        <v>19</v>
      </c>
      <c r="G624">
        <v>6</v>
      </c>
      <c r="H624">
        <v>4</v>
      </c>
      <c r="I624">
        <v>0</v>
      </c>
      <c r="J624">
        <v>3.2</v>
      </c>
    </row>
    <row r="625" spans="1:10" x14ac:dyDescent="0.25">
      <c r="A625" t="s">
        <v>43</v>
      </c>
      <c r="B625" t="s">
        <v>24</v>
      </c>
      <c r="C625" t="s">
        <v>25</v>
      </c>
      <c r="D625" t="s">
        <v>40</v>
      </c>
      <c r="E625" t="s">
        <v>27</v>
      </c>
      <c r="F625" t="s">
        <v>19</v>
      </c>
      <c r="G625">
        <v>3</v>
      </c>
      <c r="H625">
        <v>3</v>
      </c>
      <c r="I625">
        <v>0</v>
      </c>
      <c r="J625">
        <v>3.4</v>
      </c>
    </row>
    <row r="626" spans="1:10" x14ac:dyDescent="0.25">
      <c r="A626" t="s">
        <v>20</v>
      </c>
      <c r="B626" t="s">
        <v>46</v>
      </c>
      <c r="C626" t="s">
        <v>47</v>
      </c>
      <c r="D626" t="s">
        <v>26</v>
      </c>
      <c r="E626" t="s">
        <v>18</v>
      </c>
      <c r="F626" t="s">
        <v>19</v>
      </c>
      <c r="G626">
        <v>3</v>
      </c>
      <c r="H626">
        <v>3</v>
      </c>
      <c r="I626">
        <v>0</v>
      </c>
      <c r="J626">
        <v>4.3</v>
      </c>
    </row>
    <row r="627" spans="1:10" x14ac:dyDescent="0.25">
      <c r="A627" t="s">
        <v>20</v>
      </c>
      <c r="B627" t="s">
        <v>24</v>
      </c>
      <c r="C627" t="s">
        <v>25</v>
      </c>
      <c r="D627" t="s">
        <v>21</v>
      </c>
      <c r="E627" t="s">
        <v>18</v>
      </c>
      <c r="F627" t="s">
        <v>15</v>
      </c>
      <c r="G627">
        <v>5</v>
      </c>
      <c r="H627">
        <v>5</v>
      </c>
      <c r="I627">
        <v>1</v>
      </c>
      <c r="J627">
        <v>1.7</v>
      </c>
    </row>
    <row r="628" spans="1:10" x14ac:dyDescent="0.25">
      <c r="A628" t="s">
        <v>59</v>
      </c>
      <c r="B628" t="s">
        <v>11</v>
      </c>
      <c r="C628" t="s">
        <v>52</v>
      </c>
      <c r="D628" t="s">
        <v>32</v>
      </c>
      <c r="E628" t="s">
        <v>14</v>
      </c>
      <c r="F628" t="s">
        <v>15</v>
      </c>
      <c r="G628">
        <v>9</v>
      </c>
      <c r="H628">
        <v>7</v>
      </c>
      <c r="I628">
        <v>0</v>
      </c>
      <c r="J628">
        <v>3.1</v>
      </c>
    </row>
    <row r="629" spans="1:10" x14ac:dyDescent="0.25">
      <c r="A629" t="s">
        <v>50</v>
      </c>
      <c r="B629" t="s">
        <v>46</v>
      </c>
      <c r="C629" t="s">
        <v>54</v>
      </c>
      <c r="D629" t="s">
        <v>21</v>
      </c>
      <c r="E629" t="s">
        <v>27</v>
      </c>
      <c r="F629" t="s">
        <v>15</v>
      </c>
      <c r="G629">
        <v>8</v>
      </c>
      <c r="H629">
        <v>6</v>
      </c>
      <c r="I629">
        <v>1</v>
      </c>
      <c r="J629">
        <v>3.1</v>
      </c>
    </row>
    <row r="630" spans="1:10" x14ac:dyDescent="0.25">
      <c r="A630" t="s">
        <v>23</v>
      </c>
      <c r="B630" t="s">
        <v>41</v>
      </c>
      <c r="C630" t="s">
        <v>44</v>
      </c>
      <c r="D630" t="s">
        <v>26</v>
      </c>
      <c r="E630" t="s">
        <v>22</v>
      </c>
      <c r="F630" t="s">
        <v>19</v>
      </c>
      <c r="G630">
        <v>2</v>
      </c>
      <c r="H630">
        <v>1</v>
      </c>
      <c r="I630">
        <v>0</v>
      </c>
      <c r="J630">
        <v>2</v>
      </c>
    </row>
    <row r="631" spans="1:10" x14ac:dyDescent="0.25">
      <c r="A631" t="s">
        <v>55</v>
      </c>
      <c r="B631" t="s">
        <v>48</v>
      </c>
      <c r="C631" t="s">
        <v>49</v>
      </c>
      <c r="D631" t="s">
        <v>22</v>
      </c>
      <c r="E631" t="s">
        <v>30</v>
      </c>
      <c r="F631" t="s">
        <v>19</v>
      </c>
      <c r="G631">
        <v>3</v>
      </c>
      <c r="H631">
        <v>3</v>
      </c>
      <c r="I631">
        <v>0</v>
      </c>
      <c r="J631">
        <v>3.9</v>
      </c>
    </row>
    <row r="632" spans="1:10" x14ac:dyDescent="0.25">
      <c r="A632" t="s">
        <v>50</v>
      </c>
      <c r="B632" t="s">
        <v>24</v>
      </c>
      <c r="C632" t="s">
        <v>25</v>
      </c>
      <c r="D632" t="s">
        <v>22</v>
      </c>
      <c r="E632" t="s">
        <v>18</v>
      </c>
      <c r="F632" t="s">
        <v>19</v>
      </c>
      <c r="G632">
        <v>4</v>
      </c>
      <c r="H632">
        <v>4</v>
      </c>
      <c r="I632">
        <v>1</v>
      </c>
      <c r="J632">
        <v>3.8</v>
      </c>
    </row>
    <row r="633" spans="1:10" x14ac:dyDescent="0.25">
      <c r="A633" t="s">
        <v>59</v>
      </c>
      <c r="B633" t="s">
        <v>34</v>
      </c>
      <c r="C633" t="s">
        <v>35</v>
      </c>
      <c r="D633" t="s">
        <v>32</v>
      </c>
      <c r="E633" t="s">
        <v>18</v>
      </c>
      <c r="F633" t="s">
        <v>19</v>
      </c>
      <c r="G633">
        <v>8</v>
      </c>
      <c r="H633">
        <v>5</v>
      </c>
      <c r="I633">
        <v>2</v>
      </c>
      <c r="J633">
        <v>2.4</v>
      </c>
    </row>
    <row r="634" spans="1:10" x14ac:dyDescent="0.25">
      <c r="A634" t="s">
        <v>31</v>
      </c>
      <c r="B634" t="s">
        <v>11</v>
      </c>
      <c r="C634" t="s">
        <v>12</v>
      </c>
      <c r="D634" t="s">
        <v>21</v>
      </c>
      <c r="E634" t="s">
        <v>27</v>
      </c>
      <c r="F634" t="s">
        <v>19</v>
      </c>
      <c r="G634">
        <v>2</v>
      </c>
      <c r="H634">
        <v>2</v>
      </c>
      <c r="I634">
        <v>0</v>
      </c>
      <c r="J634">
        <v>2.2999999999999998</v>
      </c>
    </row>
    <row r="635" spans="1:10" x14ac:dyDescent="0.25">
      <c r="A635" t="s">
        <v>59</v>
      </c>
      <c r="B635" t="s">
        <v>41</v>
      </c>
      <c r="C635" t="s">
        <v>44</v>
      </c>
      <c r="D635" t="s">
        <v>40</v>
      </c>
      <c r="E635" t="s">
        <v>30</v>
      </c>
      <c r="F635" t="s">
        <v>15</v>
      </c>
      <c r="G635">
        <v>7</v>
      </c>
      <c r="H635">
        <v>7</v>
      </c>
      <c r="I635">
        <v>0</v>
      </c>
      <c r="J635">
        <v>2.8</v>
      </c>
    </row>
    <row r="636" spans="1:10" x14ac:dyDescent="0.25">
      <c r="A636" t="s">
        <v>45</v>
      </c>
      <c r="B636" t="s">
        <v>24</v>
      </c>
      <c r="C636" t="s">
        <v>64</v>
      </c>
      <c r="D636" t="s">
        <v>22</v>
      </c>
      <c r="E636" t="s">
        <v>14</v>
      </c>
      <c r="F636" t="s">
        <v>19</v>
      </c>
      <c r="G636">
        <v>7</v>
      </c>
      <c r="H636">
        <v>7</v>
      </c>
      <c r="I636">
        <v>0</v>
      </c>
      <c r="J636">
        <v>2.4</v>
      </c>
    </row>
    <row r="637" spans="1:10" x14ac:dyDescent="0.25">
      <c r="A637" t="s">
        <v>10</v>
      </c>
      <c r="B637" t="s">
        <v>56</v>
      </c>
      <c r="C637" t="s">
        <v>57</v>
      </c>
      <c r="D637" t="s">
        <v>26</v>
      </c>
      <c r="E637" t="s">
        <v>18</v>
      </c>
      <c r="F637" t="s">
        <v>19</v>
      </c>
      <c r="G637">
        <v>9</v>
      </c>
      <c r="H637">
        <v>8</v>
      </c>
      <c r="I637">
        <v>0</v>
      </c>
      <c r="J637">
        <v>3.2</v>
      </c>
    </row>
    <row r="638" spans="1:10" x14ac:dyDescent="0.25">
      <c r="A638" t="s">
        <v>43</v>
      </c>
      <c r="B638" t="s">
        <v>48</v>
      </c>
      <c r="C638" t="s">
        <v>63</v>
      </c>
      <c r="D638" t="s">
        <v>40</v>
      </c>
      <c r="E638" t="s">
        <v>22</v>
      </c>
      <c r="F638" t="s">
        <v>19</v>
      </c>
      <c r="G638">
        <v>2</v>
      </c>
      <c r="H638">
        <v>2</v>
      </c>
      <c r="I638">
        <v>0</v>
      </c>
      <c r="J638">
        <v>2.2999999999999998</v>
      </c>
    </row>
    <row r="639" spans="1:10" x14ac:dyDescent="0.25">
      <c r="A639" t="s">
        <v>33</v>
      </c>
      <c r="B639" t="s">
        <v>11</v>
      </c>
      <c r="C639" t="s">
        <v>52</v>
      </c>
      <c r="D639" t="s">
        <v>32</v>
      </c>
      <c r="E639" t="s">
        <v>27</v>
      </c>
      <c r="F639" t="s">
        <v>19</v>
      </c>
      <c r="G639">
        <v>7</v>
      </c>
      <c r="H639">
        <v>6</v>
      </c>
      <c r="I639">
        <v>0</v>
      </c>
      <c r="J639">
        <v>2.2999999999999998</v>
      </c>
    </row>
    <row r="640" spans="1:10" x14ac:dyDescent="0.25">
      <c r="A640" t="s">
        <v>31</v>
      </c>
      <c r="B640" t="s">
        <v>56</v>
      </c>
      <c r="C640" t="s">
        <v>62</v>
      </c>
      <c r="D640" t="s">
        <v>40</v>
      </c>
      <c r="E640" t="s">
        <v>53</v>
      </c>
      <c r="F640" t="s">
        <v>15</v>
      </c>
      <c r="G640">
        <v>1</v>
      </c>
      <c r="H640">
        <v>1</v>
      </c>
      <c r="I640">
        <v>0</v>
      </c>
      <c r="J640">
        <v>2.8</v>
      </c>
    </row>
    <row r="641" spans="1:10" x14ac:dyDescent="0.25">
      <c r="A641" t="s">
        <v>33</v>
      </c>
      <c r="B641" t="s">
        <v>16</v>
      </c>
      <c r="C641" t="s">
        <v>17</v>
      </c>
      <c r="D641" t="s">
        <v>22</v>
      </c>
      <c r="E641" t="s">
        <v>27</v>
      </c>
      <c r="F641" t="s">
        <v>15</v>
      </c>
      <c r="G641">
        <v>7</v>
      </c>
      <c r="H641">
        <v>7</v>
      </c>
      <c r="I641">
        <v>0</v>
      </c>
      <c r="J641">
        <v>3</v>
      </c>
    </row>
    <row r="642" spans="1:10" x14ac:dyDescent="0.25">
      <c r="A642" t="s">
        <v>20</v>
      </c>
      <c r="B642" t="s">
        <v>34</v>
      </c>
      <c r="C642" t="s">
        <v>35</v>
      </c>
      <c r="D642" t="s">
        <v>21</v>
      </c>
      <c r="E642" t="s">
        <v>18</v>
      </c>
      <c r="F642" t="s">
        <v>19</v>
      </c>
      <c r="G642">
        <v>7</v>
      </c>
      <c r="H642">
        <v>6</v>
      </c>
      <c r="I642">
        <v>0</v>
      </c>
      <c r="J642">
        <v>3</v>
      </c>
    </row>
    <row r="643" spans="1:10" x14ac:dyDescent="0.25">
      <c r="A643" t="s">
        <v>23</v>
      </c>
      <c r="B643" t="s">
        <v>37</v>
      </c>
      <c r="C643" t="s">
        <v>38</v>
      </c>
      <c r="D643" t="s">
        <v>26</v>
      </c>
      <c r="E643" t="s">
        <v>53</v>
      </c>
      <c r="F643" t="s">
        <v>19</v>
      </c>
      <c r="G643">
        <v>8</v>
      </c>
      <c r="H643">
        <v>7</v>
      </c>
      <c r="I643">
        <v>0</v>
      </c>
      <c r="J643">
        <v>3.2</v>
      </c>
    </row>
    <row r="644" spans="1:10" x14ac:dyDescent="0.25">
      <c r="A644" t="s">
        <v>43</v>
      </c>
      <c r="B644" t="s">
        <v>48</v>
      </c>
      <c r="C644" t="s">
        <v>49</v>
      </c>
      <c r="D644" t="s">
        <v>13</v>
      </c>
      <c r="E644" t="s">
        <v>53</v>
      </c>
      <c r="F644" t="s">
        <v>15</v>
      </c>
      <c r="G644">
        <v>7</v>
      </c>
      <c r="H644">
        <v>7</v>
      </c>
      <c r="I644">
        <v>0</v>
      </c>
      <c r="J644">
        <v>4.5</v>
      </c>
    </row>
    <row r="645" spans="1:10" x14ac:dyDescent="0.25">
      <c r="A645" t="s">
        <v>45</v>
      </c>
      <c r="B645" t="s">
        <v>11</v>
      </c>
      <c r="C645" t="s">
        <v>52</v>
      </c>
      <c r="D645" t="s">
        <v>21</v>
      </c>
      <c r="E645" t="s">
        <v>22</v>
      </c>
      <c r="F645" t="s">
        <v>19</v>
      </c>
      <c r="G645">
        <v>5</v>
      </c>
      <c r="H645">
        <v>5</v>
      </c>
      <c r="I645">
        <v>0</v>
      </c>
      <c r="J645">
        <v>2.7</v>
      </c>
    </row>
    <row r="646" spans="1:10" x14ac:dyDescent="0.25">
      <c r="A646" t="s">
        <v>31</v>
      </c>
      <c r="B646" t="s">
        <v>56</v>
      </c>
      <c r="C646" t="s">
        <v>62</v>
      </c>
      <c r="D646" t="s">
        <v>40</v>
      </c>
      <c r="E646" t="s">
        <v>18</v>
      </c>
      <c r="F646" t="s">
        <v>15</v>
      </c>
      <c r="G646">
        <v>6</v>
      </c>
      <c r="H646">
        <v>5</v>
      </c>
      <c r="I646">
        <v>0</v>
      </c>
      <c r="J646">
        <v>3.9</v>
      </c>
    </row>
    <row r="647" spans="1:10" x14ac:dyDescent="0.25">
      <c r="A647" t="s">
        <v>59</v>
      </c>
      <c r="B647" t="s">
        <v>34</v>
      </c>
      <c r="C647" t="s">
        <v>35</v>
      </c>
      <c r="D647" t="s">
        <v>21</v>
      </c>
      <c r="E647" t="s">
        <v>22</v>
      </c>
      <c r="F647" t="s">
        <v>19</v>
      </c>
      <c r="G647">
        <v>5</v>
      </c>
      <c r="H647">
        <v>3</v>
      </c>
      <c r="I647">
        <v>0</v>
      </c>
      <c r="J647">
        <v>3.7</v>
      </c>
    </row>
    <row r="648" spans="1:10" x14ac:dyDescent="0.25">
      <c r="A648" t="s">
        <v>10</v>
      </c>
      <c r="B648" t="s">
        <v>11</v>
      </c>
      <c r="C648" t="s">
        <v>12</v>
      </c>
      <c r="D648" t="s">
        <v>22</v>
      </c>
      <c r="E648" t="s">
        <v>27</v>
      </c>
      <c r="F648" t="s">
        <v>19</v>
      </c>
      <c r="G648">
        <v>5</v>
      </c>
      <c r="H648">
        <v>5</v>
      </c>
      <c r="I648">
        <v>0</v>
      </c>
      <c r="J648">
        <v>1.7</v>
      </c>
    </row>
    <row r="649" spans="1:10" x14ac:dyDescent="0.25">
      <c r="A649" t="s">
        <v>23</v>
      </c>
      <c r="B649" t="s">
        <v>16</v>
      </c>
      <c r="C649" t="s">
        <v>17</v>
      </c>
      <c r="D649" t="s">
        <v>40</v>
      </c>
      <c r="E649" t="s">
        <v>30</v>
      </c>
      <c r="F649" t="s">
        <v>19</v>
      </c>
      <c r="G649">
        <v>1</v>
      </c>
      <c r="H649">
        <v>1</v>
      </c>
      <c r="I649">
        <v>0</v>
      </c>
      <c r="J649">
        <v>1.8</v>
      </c>
    </row>
    <row r="650" spans="1:10" x14ac:dyDescent="0.25">
      <c r="A650" t="s">
        <v>50</v>
      </c>
      <c r="B650" t="s">
        <v>37</v>
      </c>
      <c r="C650" t="s">
        <v>39</v>
      </c>
      <c r="D650" t="s">
        <v>32</v>
      </c>
      <c r="E650" t="s">
        <v>22</v>
      </c>
      <c r="F650" t="s">
        <v>19</v>
      </c>
      <c r="G650">
        <v>3</v>
      </c>
      <c r="H650">
        <v>3</v>
      </c>
      <c r="I650">
        <v>0</v>
      </c>
      <c r="J650">
        <v>4.3</v>
      </c>
    </row>
    <row r="651" spans="1:10" x14ac:dyDescent="0.25">
      <c r="A651" t="s">
        <v>45</v>
      </c>
      <c r="B651" t="s">
        <v>46</v>
      </c>
      <c r="C651" t="s">
        <v>47</v>
      </c>
      <c r="D651" t="s">
        <v>22</v>
      </c>
      <c r="E651" t="s">
        <v>30</v>
      </c>
      <c r="F651" t="s">
        <v>15</v>
      </c>
      <c r="G651">
        <v>8</v>
      </c>
      <c r="H651">
        <v>6</v>
      </c>
      <c r="I651">
        <v>1</v>
      </c>
      <c r="J651">
        <v>2.4</v>
      </c>
    </row>
    <row r="652" spans="1:10" x14ac:dyDescent="0.25">
      <c r="A652" t="s">
        <v>61</v>
      </c>
      <c r="B652" t="s">
        <v>28</v>
      </c>
      <c r="C652" t="s">
        <v>58</v>
      </c>
      <c r="D652" t="s">
        <v>26</v>
      </c>
      <c r="E652" t="s">
        <v>18</v>
      </c>
      <c r="F652" t="s">
        <v>15</v>
      </c>
      <c r="G652">
        <v>6</v>
      </c>
      <c r="H652">
        <v>6</v>
      </c>
      <c r="I652">
        <v>0</v>
      </c>
      <c r="J652">
        <v>4.9000000000000004</v>
      </c>
    </row>
    <row r="653" spans="1:10" x14ac:dyDescent="0.25">
      <c r="A653" t="s">
        <v>61</v>
      </c>
      <c r="B653" t="s">
        <v>56</v>
      </c>
      <c r="C653" t="s">
        <v>57</v>
      </c>
      <c r="D653" t="s">
        <v>40</v>
      </c>
      <c r="E653" t="s">
        <v>30</v>
      </c>
      <c r="F653" t="s">
        <v>19</v>
      </c>
      <c r="G653">
        <v>2</v>
      </c>
      <c r="H653">
        <v>2</v>
      </c>
      <c r="I653">
        <v>0</v>
      </c>
      <c r="J653">
        <v>4</v>
      </c>
    </row>
    <row r="654" spans="1:10" x14ac:dyDescent="0.25">
      <c r="A654" t="s">
        <v>33</v>
      </c>
      <c r="B654" t="s">
        <v>48</v>
      </c>
      <c r="C654" t="s">
        <v>63</v>
      </c>
      <c r="D654" t="s">
        <v>40</v>
      </c>
      <c r="E654" t="s">
        <v>18</v>
      </c>
      <c r="F654" t="s">
        <v>19</v>
      </c>
      <c r="G654">
        <v>4</v>
      </c>
      <c r="H654">
        <v>4</v>
      </c>
      <c r="I654">
        <v>0</v>
      </c>
      <c r="J654">
        <v>2.2000000000000002</v>
      </c>
    </row>
    <row r="655" spans="1:10" x14ac:dyDescent="0.25">
      <c r="A655" t="s">
        <v>45</v>
      </c>
      <c r="B655" t="s">
        <v>28</v>
      </c>
      <c r="C655" t="s">
        <v>58</v>
      </c>
      <c r="D655" t="s">
        <v>26</v>
      </c>
      <c r="E655" t="s">
        <v>22</v>
      </c>
      <c r="F655" t="s">
        <v>15</v>
      </c>
      <c r="G655">
        <v>6</v>
      </c>
      <c r="H655">
        <v>5</v>
      </c>
      <c r="I655">
        <v>0</v>
      </c>
      <c r="J655">
        <v>3</v>
      </c>
    </row>
    <row r="656" spans="1:10" x14ac:dyDescent="0.25">
      <c r="A656" t="s">
        <v>36</v>
      </c>
      <c r="B656" t="s">
        <v>16</v>
      </c>
      <c r="C656" t="s">
        <v>17</v>
      </c>
      <c r="D656" t="s">
        <v>26</v>
      </c>
      <c r="E656" t="s">
        <v>27</v>
      </c>
      <c r="F656" t="s">
        <v>15</v>
      </c>
      <c r="G656">
        <v>3</v>
      </c>
      <c r="H656">
        <v>3</v>
      </c>
      <c r="I656">
        <v>0</v>
      </c>
      <c r="J656">
        <v>3.5</v>
      </c>
    </row>
    <row r="657" spans="1:10" x14ac:dyDescent="0.25">
      <c r="A657" t="s">
        <v>59</v>
      </c>
      <c r="B657" t="s">
        <v>16</v>
      </c>
      <c r="C657" t="s">
        <v>17</v>
      </c>
      <c r="D657" t="s">
        <v>32</v>
      </c>
      <c r="E657" t="s">
        <v>53</v>
      </c>
      <c r="F657" t="s">
        <v>15</v>
      </c>
      <c r="G657">
        <v>6</v>
      </c>
      <c r="H657">
        <v>6</v>
      </c>
      <c r="I657">
        <v>0</v>
      </c>
      <c r="J657">
        <v>3.5</v>
      </c>
    </row>
    <row r="658" spans="1:10" x14ac:dyDescent="0.25">
      <c r="A658" t="s">
        <v>33</v>
      </c>
      <c r="B658" t="s">
        <v>37</v>
      </c>
      <c r="C658" t="s">
        <v>38</v>
      </c>
      <c r="D658" t="s">
        <v>26</v>
      </c>
      <c r="E658" t="s">
        <v>30</v>
      </c>
      <c r="F658" t="s">
        <v>19</v>
      </c>
      <c r="G658">
        <v>3</v>
      </c>
      <c r="H658">
        <v>3</v>
      </c>
      <c r="I658">
        <v>1</v>
      </c>
      <c r="J658">
        <v>3.4</v>
      </c>
    </row>
    <row r="659" spans="1:10" x14ac:dyDescent="0.25">
      <c r="A659" t="s">
        <v>59</v>
      </c>
      <c r="B659" t="s">
        <v>48</v>
      </c>
      <c r="C659" t="s">
        <v>49</v>
      </c>
      <c r="D659" t="s">
        <v>26</v>
      </c>
      <c r="E659" t="s">
        <v>18</v>
      </c>
      <c r="F659" t="s">
        <v>19</v>
      </c>
      <c r="G659">
        <v>4</v>
      </c>
      <c r="H659">
        <v>4</v>
      </c>
      <c r="I659">
        <v>0</v>
      </c>
      <c r="J659">
        <v>2.2999999999999998</v>
      </c>
    </row>
    <row r="660" spans="1:10" x14ac:dyDescent="0.25">
      <c r="A660" t="s">
        <v>55</v>
      </c>
      <c r="B660" t="s">
        <v>28</v>
      </c>
      <c r="C660" t="s">
        <v>58</v>
      </c>
      <c r="D660" t="s">
        <v>21</v>
      </c>
      <c r="E660" t="s">
        <v>30</v>
      </c>
      <c r="F660" t="s">
        <v>19</v>
      </c>
      <c r="G660">
        <v>5</v>
      </c>
      <c r="H660">
        <v>5</v>
      </c>
      <c r="I660">
        <v>0</v>
      </c>
      <c r="J660">
        <v>4</v>
      </c>
    </row>
    <row r="661" spans="1:10" x14ac:dyDescent="0.25">
      <c r="A661" t="s">
        <v>50</v>
      </c>
      <c r="B661" t="s">
        <v>46</v>
      </c>
      <c r="C661" t="s">
        <v>54</v>
      </c>
      <c r="D661" t="s">
        <v>22</v>
      </c>
      <c r="E661" t="s">
        <v>27</v>
      </c>
      <c r="F661" t="s">
        <v>19</v>
      </c>
      <c r="G661">
        <v>7</v>
      </c>
      <c r="H661">
        <v>6</v>
      </c>
      <c r="I661">
        <v>0</v>
      </c>
      <c r="J661">
        <v>3.8</v>
      </c>
    </row>
    <row r="662" spans="1:10" x14ac:dyDescent="0.25">
      <c r="A662" t="s">
        <v>50</v>
      </c>
      <c r="B662" t="s">
        <v>11</v>
      </c>
      <c r="C662" t="s">
        <v>52</v>
      </c>
      <c r="D662" t="s">
        <v>40</v>
      </c>
      <c r="E662" t="s">
        <v>30</v>
      </c>
      <c r="F662" t="s">
        <v>15</v>
      </c>
      <c r="G662">
        <v>7</v>
      </c>
      <c r="H662">
        <v>7</v>
      </c>
      <c r="I662">
        <v>1</v>
      </c>
      <c r="J662">
        <v>0.9</v>
      </c>
    </row>
    <row r="663" spans="1:10" x14ac:dyDescent="0.25">
      <c r="A663" t="s">
        <v>50</v>
      </c>
      <c r="B663" t="s">
        <v>56</v>
      </c>
      <c r="C663" t="s">
        <v>57</v>
      </c>
      <c r="D663" t="s">
        <v>22</v>
      </c>
      <c r="E663" t="s">
        <v>30</v>
      </c>
      <c r="F663" t="s">
        <v>19</v>
      </c>
      <c r="G663">
        <v>4</v>
      </c>
      <c r="H663">
        <v>4</v>
      </c>
      <c r="I663">
        <v>0</v>
      </c>
      <c r="J663">
        <v>2.8</v>
      </c>
    </row>
    <row r="664" spans="1:10" x14ac:dyDescent="0.25">
      <c r="A664" t="s">
        <v>20</v>
      </c>
      <c r="B664" t="s">
        <v>24</v>
      </c>
      <c r="C664" t="s">
        <v>64</v>
      </c>
      <c r="D664" t="s">
        <v>32</v>
      </c>
      <c r="E664" t="s">
        <v>14</v>
      </c>
      <c r="F664" t="s">
        <v>15</v>
      </c>
      <c r="G664">
        <v>2</v>
      </c>
      <c r="H664">
        <v>2</v>
      </c>
      <c r="I664">
        <v>0</v>
      </c>
      <c r="J664">
        <v>3.5</v>
      </c>
    </row>
    <row r="665" spans="1:10" x14ac:dyDescent="0.25">
      <c r="A665" t="s">
        <v>43</v>
      </c>
      <c r="B665" t="s">
        <v>34</v>
      </c>
      <c r="C665" t="s">
        <v>35</v>
      </c>
      <c r="D665" t="s">
        <v>22</v>
      </c>
      <c r="E665" t="s">
        <v>14</v>
      </c>
      <c r="F665" t="s">
        <v>19</v>
      </c>
      <c r="G665">
        <v>5</v>
      </c>
      <c r="H665">
        <v>4</v>
      </c>
      <c r="I665">
        <v>0</v>
      </c>
      <c r="J665">
        <v>2.9</v>
      </c>
    </row>
    <row r="666" spans="1:10" x14ac:dyDescent="0.25">
      <c r="A666" t="s">
        <v>50</v>
      </c>
      <c r="B666" t="s">
        <v>41</v>
      </c>
      <c r="C666" t="s">
        <v>44</v>
      </c>
      <c r="D666" t="s">
        <v>40</v>
      </c>
      <c r="E666" t="s">
        <v>27</v>
      </c>
      <c r="F666" t="s">
        <v>15</v>
      </c>
      <c r="G666">
        <v>6</v>
      </c>
      <c r="H666">
        <v>5</v>
      </c>
      <c r="I666">
        <v>0</v>
      </c>
      <c r="J666">
        <v>2.7</v>
      </c>
    </row>
    <row r="667" spans="1:10" x14ac:dyDescent="0.25">
      <c r="A667" t="s">
        <v>50</v>
      </c>
      <c r="B667" t="s">
        <v>24</v>
      </c>
      <c r="C667" t="s">
        <v>25</v>
      </c>
      <c r="D667" t="s">
        <v>40</v>
      </c>
      <c r="E667" t="s">
        <v>30</v>
      </c>
      <c r="F667" t="s">
        <v>15</v>
      </c>
      <c r="G667">
        <v>4</v>
      </c>
      <c r="H667">
        <v>4</v>
      </c>
      <c r="I667">
        <v>0</v>
      </c>
      <c r="J667">
        <v>3.9</v>
      </c>
    </row>
    <row r="668" spans="1:10" x14ac:dyDescent="0.25">
      <c r="A668" t="s">
        <v>10</v>
      </c>
      <c r="B668" t="s">
        <v>24</v>
      </c>
      <c r="C668" t="s">
        <v>64</v>
      </c>
      <c r="D668" t="s">
        <v>22</v>
      </c>
      <c r="E668" t="s">
        <v>22</v>
      </c>
      <c r="F668" t="s">
        <v>15</v>
      </c>
      <c r="G668">
        <v>7</v>
      </c>
      <c r="H668">
        <v>6</v>
      </c>
      <c r="I668">
        <v>2</v>
      </c>
      <c r="J668">
        <v>3.9</v>
      </c>
    </row>
    <row r="669" spans="1:10" x14ac:dyDescent="0.25">
      <c r="A669" t="s">
        <v>59</v>
      </c>
      <c r="B669" t="s">
        <v>24</v>
      </c>
      <c r="C669" t="s">
        <v>64</v>
      </c>
      <c r="D669" t="s">
        <v>32</v>
      </c>
      <c r="E669" t="s">
        <v>18</v>
      </c>
      <c r="F669" t="s">
        <v>15</v>
      </c>
      <c r="G669">
        <v>1</v>
      </c>
      <c r="H669">
        <v>1</v>
      </c>
      <c r="I669">
        <v>1</v>
      </c>
      <c r="J669">
        <v>1.8</v>
      </c>
    </row>
    <row r="670" spans="1:10" x14ac:dyDescent="0.25">
      <c r="A670" t="s">
        <v>45</v>
      </c>
      <c r="B670" t="s">
        <v>41</v>
      </c>
      <c r="C670" t="s">
        <v>44</v>
      </c>
      <c r="D670" t="s">
        <v>32</v>
      </c>
      <c r="E670" t="s">
        <v>14</v>
      </c>
      <c r="F670" t="s">
        <v>19</v>
      </c>
      <c r="G670">
        <v>5</v>
      </c>
      <c r="H670">
        <v>5</v>
      </c>
      <c r="I670">
        <v>0</v>
      </c>
      <c r="J670">
        <v>2.2000000000000002</v>
      </c>
    </row>
    <row r="671" spans="1:10" x14ac:dyDescent="0.25">
      <c r="A671" t="s">
        <v>10</v>
      </c>
      <c r="B671" t="s">
        <v>46</v>
      </c>
      <c r="C671" t="s">
        <v>54</v>
      </c>
      <c r="D671" t="s">
        <v>21</v>
      </c>
      <c r="E671" t="s">
        <v>14</v>
      </c>
      <c r="F671" t="s">
        <v>19</v>
      </c>
      <c r="G671">
        <v>1</v>
      </c>
      <c r="H671">
        <v>1</v>
      </c>
      <c r="I671">
        <v>0</v>
      </c>
      <c r="J671">
        <v>3.1</v>
      </c>
    </row>
    <row r="672" spans="1:10" x14ac:dyDescent="0.25">
      <c r="A672" t="s">
        <v>33</v>
      </c>
      <c r="B672" t="s">
        <v>37</v>
      </c>
      <c r="C672" t="s">
        <v>38</v>
      </c>
      <c r="D672" t="s">
        <v>13</v>
      </c>
      <c r="E672" t="s">
        <v>22</v>
      </c>
      <c r="F672" t="s">
        <v>15</v>
      </c>
      <c r="G672">
        <v>6</v>
      </c>
      <c r="H672">
        <v>6</v>
      </c>
      <c r="I672">
        <v>0</v>
      </c>
      <c r="J672">
        <v>5.3</v>
      </c>
    </row>
    <row r="673" spans="1:10" x14ac:dyDescent="0.25">
      <c r="A673" t="s">
        <v>36</v>
      </c>
      <c r="B673" t="s">
        <v>24</v>
      </c>
      <c r="C673" t="s">
        <v>64</v>
      </c>
      <c r="D673" t="s">
        <v>26</v>
      </c>
      <c r="E673" t="s">
        <v>18</v>
      </c>
      <c r="F673" t="s">
        <v>15</v>
      </c>
      <c r="G673">
        <v>4</v>
      </c>
      <c r="H673">
        <v>4</v>
      </c>
      <c r="I673">
        <v>0</v>
      </c>
      <c r="J673">
        <v>2.8</v>
      </c>
    </row>
    <row r="674" spans="1:10" x14ac:dyDescent="0.25">
      <c r="A674" t="s">
        <v>55</v>
      </c>
      <c r="B674" t="s">
        <v>46</v>
      </c>
      <c r="C674" t="s">
        <v>54</v>
      </c>
      <c r="D674" t="s">
        <v>40</v>
      </c>
      <c r="E674" t="s">
        <v>30</v>
      </c>
      <c r="F674" t="s">
        <v>19</v>
      </c>
      <c r="G674">
        <v>5</v>
      </c>
      <c r="H674">
        <v>5</v>
      </c>
      <c r="I674">
        <v>0</v>
      </c>
      <c r="J674">
        <v>2.9</v>
      </c>
    </row>
    <row r="675" spans="1:10" x14ac:dyDescent="0.25">
      <c r="A675" t="s">
        <v>59</v>
      </c>
      <c r="B675" t="s">
        <v>48</v>
      </c>
      <c r="C675" t="s">
        <v>49</v>
      </c>
      <c r="D675" t="s">
        <v>40</v>
      </c>
      <c r="E675" t="s">
        <v>27</v>
      </c>
      <c r="F675" t="s">
        <v>15</v>
      </c>
      <c r="G675">
        <v>3</v>
      </c>
      <c r="H675">
        <v>3</v>
      </c>
      <c r="I675">
        <v>0</v>
      </c>
      <c r="J675">
        <v>1.3</v>
      </c>
    </row>
    <row r="676" spans="1:10" x14ac:dyDescent="0.25">
      <c r="A676" t="s">
        <v>20</v>
      </c>
      <c r="B676" t="s">
        <v>24</v>
      </c>
      <c r="C676" t="s">
        <v>64</v>
      </c>
      <c r="D676" t="s">
        <v>21</v>
      </c>
      <c r="E676" t="s">
        <v>27</v>
      </c>
      <c r="F676" t="s">
        <v>15</v>
      </c>
      <c r="G676">
        <v>5</v>
      </c>
      <c r="H676">
        <v>5</v>
      </c>
      <c r="I676">
        <v>0</v>
      </c>
      <c r="J676">
        <v>1.7</v>
      </c>
    </row>
    <row r="677" spans="1:10" x14ac:dyDescent="0.25">
      <c r="A677" t="s">
        <v>59</v>
      </c>
      <c r="B677" t="s">
        <v>11</v>
      </c>
      <c r="C677" t="s">
        <v>12</v>
      </c>
      <c r="D677" t="s">
        <v>26</v>
      </c>
      <c r="E677" t="s">
        <v>30</v>
      </c>
      <c r="F677" t="s">
        <v>15</v>
      </c>
      <c r="G677">
        <v>2</v>
      </c>
      <c r="H677">
        <v>2</v>
      </c>
      <c r="I677">
        <v>0</v>
      </c>
      <c r="J677">
        <v>3.4</v>
      </c>
    </row>
    <row r="678" spans="1:10" x14ac:dyDescent="0.25">
      <c r="A678" t="s">
        <v>59</v>
      </c>
      <c r="B678" t="s">
        <v>41</v>
      </c>
      <c r="C678" t="s">
        <v>42</v>
      </c>
      <c r="D678" t="s">
        <v>40</v>
      </c>
      <c r="E678" t="s">
        <v>30</v>
      </c>
      <c r="F678" t="s">
        <v>19</v>
      </c>
      <c r="G678">
        <v>2</v>
      </c>
      <c r="H678">
        <v>2</v>
      </c>
      <c r="I678">
        <v>0</v>
      </c>
      <c r="J678">
        <v>2.1</v>
      </c>
    </row>
    <row r="679" spans="1:10" x14ac:dyDescent="0.25">
      <c r="A679" t="s">
        <v>36</v>
      </c>
      <c r="B679" t="s">
        <v>56</v>
      </c>
      <c r="C679" t="s">
        <v>57</v>
      </c>
      <c r="D679" t="s">
        <v>40</v>
      </c>
      <c r="E679" t="s">
        <v>27</v>
      </c>
      <c r="F679" t="s">
        <v>19</v>
      </c>
      <c r="G679">
        <v>3</v>
      </c>
      <c r="H679">
        <v>3</v>
      </c>
      <c r="I679">
        <v>0</v>
      </c>
      <c r="J679">
        <v>3.5</v>
      </c>
    </row>
    <row r="680" spans="1:10" x14ac:dyDescent="0.25">
      <c r="A680" t="s">
        <v>23</v>
      </c>
      <c r="B680" t="s">
        <v>37</v>
      </c>
      <c r="C680" t="s">
        <v>39</v>
      </c>
      <c r="D680" t="s">
        <v>13</v>
      </c>
      <c r="E680" t="s">
        <v>22</v>
      </c>
      <c r="F680" t="s">
        <v>15</v>
      </c>
      <c r="G680">
        <v>5</v>
      </c>
      <c r="H680">
        <v>5</v>
      </c>
      <c r="I680">
        <v>0</v>
      </c>
      <c r="J680">
        <v>1.9</v>
      </c>
    </row>
    <row r="681" spans="1:10" x14ac:dyDescent="0.25">
      <c r="A681" t="s">
        <v>10</v>
      </c>
      <c r="B681" t="s">
        <v>56</v>
      </c>
      <c r="C681" t="s">
        <v>62</v>
      </c>
      <c r="D681" t="s">
        <v>22</v>
      </c>
      <c r="E681" t="s">
        <v>53</v>
      </c>
      <c r="F681" t="s">
        <v>15</v>
      </c>
      <c r="G681">
        <v>5</v>
      </c>
      <c r="H681">
        <v>5</v>
      </c>
      <c r="I681">
        <v>0</v>
      </c>
      <c r="J681">
        <v>3</v>
      </c>
    </row>
    <row r="682" spans="1:10" x14ac:dyDescent="0.25">
      <c r="A682" t="s">
        <v>45</v>
      </c>
      <c r="B682" t="s">
        <v>48</v>
      </c>
      <c r="C682" t="s">
        <v>49</v>
      </c>
      <c r="D682" t="s">
        <v>22</v>
      </c>
      <c r="E682" t="s">
        <v>27</v>
      </c>
      <c r="F682" t="s">
        <v>19</v>
      </c>
      <c r="G682">
        <v>4</v>
      </c>
      <c r="H682">
        <v>4</v>
      </c>
      <c r="I682">
        <v>0</v>
      </c>
      <c r="J682">
        <v>4.3</v>
      </c>
    </row>
    <row r="683" spans="1:10" x14ac:dyDescent="0.25">
      <c r="A683" t="s">
        <v>61</v>
      </c>
      <c r="B683" t="s">
        <v>16</v>
      </c>
      <c r="C683" t="s">
        <v>17</v>
      </c>
      <c r="D683" t="s">
        <v>13</v>
      </c>
      <c r="E683" t="s">
        <v>18</v>
      </c>
      <c r="F683" t="s">
        <v>15</v>
      </c>
      <c r="G683">
        <v>10</v>
      </c>
      <c r="H683">
        <v>9</v>
      </c>
      <c r="I683">
        <v>1</v>
      </c>
      <c r="J683">
        <v>1.1000000000000001</v>
      </c>
    </row>
    <row r="684" spans="1:10" x14ac:dyDescent="0.25">
      <c r="A684" t="s">
        <v>10</v>
      </c>
      <c r="B684" t="s">
        <v>46</v>
      </c>
      <c r="C684" t="s">
        <v>54</v>
      </c>
      <c r="D684" t="s">
        <v>22</v>
      </c>
      <c r="E684" t="s">
        <v>14</v>
      </c>
      <c r="F684" t="s">
        <v>19</v>
      </c>
      <c r="G684">
        <v>5</v>
      </c>
      <c r="H684">
        <v>5</v>
      </c>
      <c r="I684">
        <v>0</v>
      </c>
      <c r="J684">
        <v>4.0999999999999996</v>
      </c>
    </row>
    <row r="685" spans="1:10" x14ac:dyDescent="0.25">
      <c r="A685" t="s">
        <v>59</v>
      </c>
      <c r="B685" t="s">
        <v>34</v>
      </c>
      <c r="C685" t="s">
        <v>51</v>
      </c>
      <c r="D685" t="s">
        <v>22</v>
      </c>
      <c r="E685" t="s">
        <v>22</v>
      </c>
      <c r="F685" t="s">
        <v>15</v>
      </c>
      <c r="G685">
        <v>6</v>
      </c>
      <c r="H685">
        <v>4</v>
      </c>
      <c r="I685">
        <v>1</v>
      </c>
      <c r="J685">
        <v>0.8</v>
      </c>
    </row>
    <row r="686" spans="1:10" x14ac:dyDescent="0.25">
      <c r="A686" t="s">
        <v>10</v>
      </c>
      <c r="B686" t="s">
        <v>24</v>
      </c>
      <c r="C686" t="s">
        <v>25</v>
      </c>
      <c r="D686" t="s">
        <v>32</v>
      </c>
      <c r="E686" t="s">
        <v>53</v>
      </c>
      <c r="F686" t="s">
        <v>19</v>
      </c>
      <c r="G686">
        <v>5</v>
      </c>
      <c r="H686">
        <v>3</v>
      </c>
      <c r="I686">
        <v>0</v>
      </c>
      <c r="J686">
        <v>5.2</v>
      </c>
    </row>
    <row r="687" spans="1:10" x14ac:dyDescent="0.25">
      <c r="A687" t="s">
        <v>50</v>
      </c>
      <c r="B687" t="s">
        <v>11</v>
      </c>
      <c r="C687" t="s">
        <v>12</v>
      </c>
      <c r="D687" t="s">
        <v>21</v>
      </c>
      <c r="E687" t="s">
        <v>22</v>
      </c>
      <c r="F687" t="s">
        <v>15</v>
      </c>
      <c r="G687">
        <v>6</v>
      </c>
      <c r="H687">
        <v>5</v>
      </c>
      <c r="I687">
        <v>0</v>
      </c>
      <c r="J687">
        <v>4.2</v>
      </c>
    </row>
    <row r="688" spans="1:10" x14ac:dyDescent="0.25">
      <c r="A688" t="s">
        <v>36</v>
      </c>
      <c r="B688" t="s">
        <v>37</v>
      </c>
      <c r="C688" t="s">
        <v>39</v>
      </c>
      <c r="D688" t="s">
        <v>13</v>
      </c>
      <c r="E688" t="s">
        <v>30</v>
      </c>
      <c r="F688" t="s">
        <v>15</v>
      </c>
      <c r="G688">
        <v>6</v>
      </c>
      <c r="H688">
        <v>6</v>
      </c>
      <c r="I688">
        <v>1</v>
      </c>
      <c r="J688">
        <v>3.8</v>
      </c>
    </row>
    <row r="689" spans="1:10" x14ac:dyDescent="0.25">
      <c r="A689" t="s">
        <v>20</v>
      </c>
      <c r="B689" t="s">
        <v>48</v>
      </c>
      <c r="C689" t="s">
        <v>63</v>
      </c>
      <c r="D689" t="s">
        <v>40</v>
      </c>
      <c r="E689" t="s">
        <v>14</v>
      </c>
      <c r="F689" t="s">
        <v>19</v>
      </c>
      <c r="G689">
        <v>4</v>
      </c>
      <c r="H689">
        <v>3</v>
      </c>
      <c r="I689">
        <v>0</v>
      </c>
      <c r="J689">
        <v>2.6</v>
      </c>
    </row>
    <row r="690" spans="1:10" x14ac:dyDescent="0.25">
      <c r="A690" t="s">
        <v>23</v>
      </c>
      <c r="B690" t="s">
        <v>24</v>
      </c>
      <c r="C690" t="s">
        <v>64</v>
      </c>
      <c r="D690" t="s">
        <v>40</v>
      </c>
      <c r="E690" t="s">
        <v>30</v>
      </c>
      <c r="F690" t="s">
        <v>19</v>
      </c>
      <c r="G690">
        <v>6</v>
      </c>
      <c r="H690">
        <v>5</v>
      </c>
      <c r="I690">
        <v>0</v>
      </c>
      <c r="J690">
        <v>5</v>
      </c>
    </row>
    <row r="691" spans="1:10" x14ac:dyDescent="0.25">
      <c r="A691" t="s">
        <v>45</v>
      </c>
      <c r="B691" t="s">
        <v>37</v>
      </c>
      <c r="C691" t="s">
        <v>38</v>
      </c>
      <c r="D691" t="s">
        <v>22</v>
      </c>
      <c r="E691" t="s">
        <v>30</v>
      </c>
      <c r="F691" t="s">
        <v>19</v>
      </c>
      <c r="G691">
        <v>6</v>
      </c>
      <c r="H691">
        <v>5</v>
      </c>
      <c r="I691">
        <v>0</v>
      </c>
      <c r="J691">
        <v>3.3</v>
      </c>
    </row>
    <row r="692" spans="1:10" x14ac:dyDescent="0.25">
      <c r="A692" t="s">
        <v>33</v>
      </c>
      <c r="B692" t="s">
        <v>56</v>
      </c>
      <c r="C692" t="s">
        <v>62</v>
      </c>
      <c r="D692" t="s">
        <v>22</v>
      </c>
      <c r="E692" t="s">
        <v>30</v>
      </c>
      <c r="F692" t="s">
        <v>15</v>
      </c>
      <c r="G692">
        <v>3</v>
      </c>
      <c r="H692">
        <v>2</v>
      </c>
      <c r="I692">
        <v>0</v>
      </c>
      <c r="J692">
        <v>2.2999999999999998</v>
      </c>
    </row>
    <row r="693" spans="1:10" x14ac:dyDescent="0.25">
      <c r="A693" t="s">
        <v>23</v>
      </c>
      <c r="B693" t="s">
        <v>11</v>
      </c>
      <c r="C693" t="s">
        <v>12</v>
      </c>
      <c r="D693" t="s">
        <v>21</v>
      </c>
      <c r="E693" t="s">
        <v>22</v>
      </c>
      <c r="F693" t="s">
        <v>15</v>
      </c>
      <c r="G693">
        <v>4</v>
      </c>
      <c r="H693">
        <v>3</v>
      </c>
      <c r="I693">
        <v>0</v>
      </c>
      <c r="J693">
        <v>3</v>
      </c>
    </row>
    <row r="694" spans="1:10" x14ac:dyDescent="0.25">
      <c r="A694" t="s">
        <v>36</v>
      </c>
      <c r="B694" t="s">
        <v>37</v>
      </c>
      <c r="C694" t="s">
        <v>38</v>
      </c>
      <c r="D694" t="s">
        <v>21</v>
      </c>
      <c r="E694" t="s">
        <v>30</v>
      </c>
      <c r="F694" t="s">
        <v>19</v>
      </c>
      <c r="G694">
        <v>3</v>
      </c>
      <c r="H694">
        <v>3</v>
      </c>
      <c r="I694">
        <v>0</v>
      </c>
      <c r="J694">
        <v>2.7</v>
      </c>
    </row>
    <row r="695" spans="1:10" x14ac:dyDescent="0.25">
      <c r="A695" t="s">
        <v>36</v>
      </c>
      <c r="B695" t="s">
        <v>46</v>
      </c>
      <c r="C695" t="s">
        <v>54</v>
      </c>
      <c r="D695" t="s">
        <v>26</v>
      </c>
      <c r="E695" t="s">
        <v>53</v>
      </c>
      <c r="F695" t="s">
        <v>15</v>
      </c>
      <c r="G695">
        <v>5</v>
      </c>
      <c r="H695">
        <v>5</v>
      </c>
      <c r="I695">
        <v>0</v>
      </c>
      <c r="J695">
        <v>4.2</v>
      </c>
    </row>
    <row r="696" spans="1:10" x14ac:dyDescent="0.25">
      <c r="A696" t="s">
        <v>36</v>
      </c>
      <c r="B696" t="s">
        <v>34</v>
      </c>
      <c r="C696" t="s">
        <v>35</v>
      </c>
      <c r="D696" t="s">
        <v>13</v>
      </c>
      <c r="E696" t="s">
        <v>14</v>
      </c>
      <c r="F696" t="s">
        <v>15</v>
      </c>
      <c r="G696">
        <v>7</v>
      </c>
      <c r="H696">
        <v>7</v>
      </c>
      <c r="I696">
        <v>0</v>
      </c>
      <c r="J696">
        <v>0.5</v>
      </c>
    </row>
    <row r="697" spans="1:10" x14ac:dyDescent="0.25">
      <c r="A697" t="s">
        <v>45</v>
      </c>
      <c r="B697" t="s">
        <v>48</v>
      </c>
      <c r="C697" t="s">
        <v>49</v>
      </c>
      <c r="D697" t="s">
        <v>22</v>
      </c>
      <c r="E697" t="s">
        <v>30</v>
      </c>
      <c r="F697" t="s">
        <v>19</v>
      </c>
      <c r="G697">
        <v>6</v>
      </c>
      <c r="H697">
        <v>4</v>
      </c>
      <c r="I697">
        <v>1</v>
      </c>
      <c r="J697">
        <v>1.3</v>
      </c>
    </row>
    <row r="698" spans="1:10" x14ac:dyDescent="0.25">
      <c r="A698" t="s">
        <v>36</v>
      </c>
      <c r="B698" t="s">
        <v>34</v>
      </c>
      <c r="C698" t="s">
        <v>35</v>
      </c>
      <c r="D698" t="s">
        <v>32</v>
      </c>
      <c r="E698" t="s">
        <v>30</v>
      </c>
      <c r="F698" t="s">
        <v>19</v>
      </c>
      <c r="G698">
        <v>2</v>
      </c>
      <c r="H698">
        <v>1</v>
      </c>
      <c r="I698">
        <v>1</v>
      </c>
      <c r="J698">
        <v>3.2</v>
      </c>
    </row>
    <row r="699" spans="1:10" x14ac:dyDescent="0.25">
      <c r="A699" t="s">
        <v>43</v>
      </c>
      <c r="B699" t="s">
        <v>48</v>
      </c>
      <c r="C699" t="s">
        <v>49</v>
      </c>
      <c r="D699" t="s">
        <v>13</v>
      </c>
      <c r="E699" t="s">
        <v>53</v>
      </c>
      <c r="F699" t="s">
        <v>19</v>
      </c>
      <c r="G699">
        <v>2</v>
      </c>
      <c r="H699">
        <v>2</v>
      </c>
      <c r="I699">
        <v>0</v>
      </c>
      <c r="J699">
        <v>3.9</v>
      </c>
    </row>
    <row r="700" spans="1:10" x14ac:dyDescent="0.25">
      <c r="A700" t="s">
        <v>10</v>
      </c>
      <c r="B700" t="s">
        <v>34</v>
      </c>
      <c r="C700" t="s">
        <v>51</v>
      </c>
      <c r="D700" t="s">
        <v>40</v>
      </c>
      <c r="E700" t="s">
        <v>14</v>
      </c>
      <c r="F700" t="s">
        <v>15</v>
      </c>
      <c r="G700">
        <v>4</v>
      </c>
      <c r="H700">
        <v>4</v>
      </c>
      <c r="I700">
        <v>0</v>
      </c>
      <c r="J700">
        <v>3</v>
      </c>
    </row>
    <row r="701" spans="1:10" x14ac:dyDescent="0.25">
      <c r="A701" t="s">
        <v>10</v>
      </c>
      <c r="B701" t="s">
        <v>56</v>
      </c>
      <c r="C701" t="s">
        <v>62</v>
      </c>
      <c r="D701" t="s">
        <v>13</v>
      </c>
      <c r="E701" t="s">
        <v>53</v>
      </c>
      <c r="F701" t="s">
        <v>15</v>
      </c>
      <c r="G701">
        <v>7</v>
      </c>
      <c r="H701">
        <v>5</v>
      </c>
      <c r="I701">
        <v>0</v>
      </c>
      <c r="J701">
        <v>1.2</v>
      </c>
    </row>
    <row r="702" spans="1:10" x14ac:dyDescent="0.25">
      <c r="A702" t="s">
        <v>45</v>
      </c>
      <c r="B702" t="s">
        <v>37</v>
      </c>
      <c r="C702" t="s">
        <v>39</v>
      </c>
      <c r="D702" t="s">
        <v>13</v>
      </c>
      <c r="E702" t="s">
        <v>18</v>
      </c>
      <c r="F702" t="s">
        <v>19</v>
      </c>
      <c r="G702">
        <v>4</v>
      </c>
      <c r="H702">
        <v>3</v>
      </c>
      <c r="I702">
        <v>0</v>
      </c>
      <c r="J702">
        <v>2.7</v>
      </c>
    </row>
    <row r="703" spans="1:10" x14ac:dyDescent="0.25">
      <c r="A703" t="s">
        <v>61</v>
      </c>
      <c r="B703" t="s">
        <v>48</v>
      </c>
      <c r="C703" t="s">
        <v>49</v>
      </c>
      <c r="D703" t="s">
        <v>32</v>
      </c>
      <c r="E703" t="s">
        <v>30</v>
      </c>
      <c r="F703" t="s">
        <v>19</v>
      </c>
      <c r="G703">
        <v>6</v>
      </c>
      <c r="H703">
        <v>6</v>
      </c>
      <c r="I703">
        <v>0</v>
      </c>
      <c r="J703">
        <v>1.7</v>
      </c>
    </row>
    <row r="704" spans="1:10" x14ac:dyDescent="0.25">
      <c r="A704" t="s">
        <v>50</v>
      </c>
      <c r="B704" t="s">
        <v>46</v>
      </c>
      <c r="C704" t="s">
        <v>54</v>
      </c>
      <c r="D704" t="s">
        <v>13</v>
      </c>
      <c r="E704" t="s">
        <v>27</v>
      </c>
      <c r="F704" t="s">
        <v>15</v>
      </c>
      <c r="G704">
        <v>8</v>
      </c>
      <c r="H704">
        <v>7</v>
      </c>
      <c r="I704">
        <v>0</v>
      </c>
      <c r="J704">
        <v>2</v>
      </c>
    </row>
    <row r="705" spans="1:10" x14ac:dyDescent="0.25">
      <c r="A705" t="s">
        <v>10</v>
      </c>
      <c r="B705" t="s">
        <v>48</v>
      </c>
      <c r="C705" t="s">
        <v>63</v>
      </c>
      <c r="D705" t="s">
        <v>13</v>
      </c>
      <c r="E705" t="s">
        <v>18</v>
      </c>
      <c r="F705" t="s">
        <v>15</v>
      </c>
      <c r="G705">
        <v>3</v>
      </c>
      <c r="H705">
        <v>3</v>
      </c>
      <c r="I705">
        <v>0</v>
      </c>
      <c r="J705">
        <v>3.1</v>
      </c>
    </row>
    <row r="706" spans="1:10" x14ac:dyDescent="0.25">
      <c r="A706" t="s">
        <v>31</v>
      </c>
      <c r="B706" t="s">
        <v>37</v>
      </c>
      <c r="C706" t="s">
        <v>38</v>
      </c>
      <c r="D706" t="s">
        <v>40</v>
      </c>
      <c r="E706" t="s">
        <v>14</v>
      </c>
      <c r="F706" t="s">
        <v>19</v>
      </c>
      <c r="G706">
        <v>5</v>
      </c>
      <c r="H706">
        <v>4</v>
      </c>
      <c r="I706">
        <v>2</v>
      </c>
      <c r="J706">
        <v>1.2</v>
      </c>
    </row>
    <row r="707" spans="1:10" x14ac:dyDescent="0.25">
      <c r="A707" t="s">
        <v>10</v>
      </c>
      <c r="B707" t="s">
        <v>28</v>
      </c>
      <c r="C707" t="s">
        <v>58</v>
      </c>
      <c r="D707" t="s">
        <v>26</v>
      </c>
      <c r="E707" t="s">
        <v>27</v>
      </c>
      <c r="F707" t="s">
        <v>15</v>
      </c>
      <c r="G707">
        <v>4</v>
      </c>
      <c r="H707">
        <v>4</v>
      </c>
      <c r="I707">
        <v>0</v>
      </c>
      <c r="J707">
        <v>2.2999999999999998</v>
      </c>
    </row>
    <row r="708" spans="1:10" x14ac:dyDescent="0.25">
      <c r="A708" t="s">
        <v>50</v>
      </c>
      <c r="B708" t="s">
        <v>37</v>
      </c>
      <c r="C708" t="s">
        <v>39</v>
      </c>
      <c r="D708" t="s">
        <v>21</v>
      </c>
      <c r="E708" t="s">
        <v>18</v>
      </c>
      <c r="F708" t="s">
        <v>19</v>
      </c>
      <c r="G708">
        <v>5</v>
      </c>
      <c r="H708">
        <v>5</v>
      </c>
      <c r="I708">
        <v>1</v>
      </c>
      <c r="J708">
        <v>3.7</v>
      </c>
    </row>
    <row r="709" spans="1:10" x14ac:dyDescent="0.25">
      <c r="A709" t="s">
        <v>59</v>
      </c>
      <c r="B709" t="s">
        <v>37</v>
      </c>
      <c r="C709" t="s">
        <v>38</v>
      </c>
      <c r="D709" t="s">
        <v>22</v>
      </c>
      <c r="E709" t="s">
        <v>27</v>
      </c>
      <c r="F709" t="s">
        <v>15</v>
      </c>
      <c r="G709">
        <v>8</v>
      </c>
      <c r="H709">
        <v>7</v>
      </c>
      <c r="I709">
        <v>0</v>
      </c>
      <c r="J709">
        <v>4.2</v>
      </c>
    </row>
    <row r="710" spans="1:10" x14ac:dyDescent="0.25">
      <c r="A710" t="s">
        <v>61</v>
      </c>
      <c r="B710" t="s">
        <v>56</v>
      </c>
      <c r="C710" t="s">
        <v>57</v>
      </c>
      <c r="D710" t="s">
        <v>22</v>
      </c>
      <c r="E710" t="s">
        <v>53</v>
      </c>
      <c r="F710" t="s">
        <v>15</v>
      </c>
      <c r="G710">
        <v>1</v>
      </c>
      <c r="H710">
        <v>1</v>
      </c>
      <c r="I710">
        <v>0</v>
      </c>
      <c r="J710">
        <v>2.9</v>
      </c>
    </row>
    <row r="711" spans="1:10" x14ac:dyDescent="0.25">
      <c r="A711" t="s">
        <v>45</v>
      </c>
      <c r="B711" t="s">
        <v>34</v>
      </c>
      <c r="C711" t="s">
        <v>35</v>
      </c>
      <c r="D711" t="s">
        <v>26</v>
      </c>
      <c r="E711" t="s">
        <v>53</v>
      </c>
      <c r="F711" t="s">
        <v>19</v>
      </c>
      <c r="G711">
        <v>5</v>
      </c>
      <c r="H711">
        <v>3</v>
      </c>
      <c r="I711">
        <v>0</v>
      </c>
      <c r="J711">
        <v>3.5</v>
      </c>
    </row>
    <row r="712" spans="1:10" x14ac:dyDescent="0.25">
      <c r="A712" t="s">
        <v>61</v>
      </c>
      <c r="B712" t="s">
        <v>11</v>
      </c>
      <c r="C712" t="s">
        <v>52</v>
      </c>
      <c r="D712" t="s">
        <v>21</v>
      </c>
      <c r="E712" t="s">
        <v>14</v>
      </c>
      <c r="F712" t="s">
        <v>15</v>
      </c>
      <c r="G712">
        <v>2</v>
      </c>
      <c r="H712">
        <v>2</v>
      </c>
      <c r="I712">
        <v>0</v>
      </c>
      <c r="J712">
        <v>2.9</v>
      </c>
    </row>
    <row r="713" spans="1:10" x14ac:dyDescent="0.25">
      <c r="A713" t="s">
        <v>31</v>
      </c>
      <c r="B713" t="s">
        <v>16</v>
      </c>
      <c r="C713" t="s">
        <v>60</v>
      </c>
      <c r="D713" t="s">
        <v>21</v>
      </c>
      <c r="E713" t="s">
        <v>14</v>
      </c>
      <c r="F713" t="s">
        <v>19</v>
      </c>
      <c r="G713">
        <v>1</v>
      </c>
      <c r="H713">
        <v>1</v>
      </c>
      <c r="I713">
        <v>0</v>
      </c>
      <c r="J713">
        <v>2.2000000000000002</v>
      </c>
    </row>
    <row r="714" spans="1:10" x14ac:dyDescent="0.25">
      <c r="A714" t="s">
        <v>61</v>
      </c>
      <c r="B714" t="s">
        <v>11</v>
      </c>
      <c r="C714" t="s">
        <v>52</v>
      </c>
      <c r="D714" t="s">
        <v>32</v>
      </c>
      <c r="E714" t="s">
        <v>53</v>
      </c>
      <c r="F714" t="s">
        <v>15</v>
      </c>
      <c r="G714">
        <v>8</v>
      </c>
      <c r="H714">
        <v>6</v>
      </c>
      <c r="I714">
        <v>1</v>
      </c>
      <c r="J714">
        <v>2.2999999999999998</v>
      </c>
    </row>
    <row r="715" spans="1:10" x14ac:dyDescent="0.25">
      <c r="A715" t="s">
        <v>10</v>
      </c>
      <c r="B715" t="s">
        <v>16</v>
      </c>
      <c r="C715" t="s">
        <v>60</v>
      </c>
      <c r="D715" t="s">
        <v>13</v>
      </c>
      <c r="E715" t="s">
        <v>27</v>
      </c>
      <c r="F715" t="s">
        <v>19</v>
      </c>
      <c r="G715">
        <v>4</v>
      </c>
      <c r="H715">
        <v>3</v>
      </c>
      <c r="I715">
        <v>0</v>
      </c>
      <c r="J715">
        <v>2.2999999999999998</v>
      </c>
    </row>
    <row r="716" spans="1:10" x14ac:dyDescent="0.25">
      <c r="A716" t="s">
        <v>50</v>
      </c>
      <c r="B716" t="s">
        <v>28</v>
      </c>
      <c r="C716" t="s">
        <v>29</v>
      </c>
      <c r="D716" t="s">
        <v>32</v>
      </c>
      <c r="E716" t="s">
        <v>30</v>
      </c>
      <c r="F716" t="s">
        <v>15</v>
      </c>
      <c r="G716">
        <v>4</v>
      </c>
      <c r="H716">
        <v>4</v>
      </c>
      <c r="I716">
        <v>0</v>
      </c>
      <c r="J716">
        <v>3.7</v>
      </c>
    </row>
    <row r="717" spans="1:10" x14ac:dyDescent="0.25">
      <c r="A717" t="s">
        <v>31</v>
      </c>
      <c r="B717" t="s">
        <v>56</v>
      </c>
      <c r="C717" t="s">
        <v>62</v>
      </c>
      <c r="D717" t="s">
        <v>21</v>
      </c>
      <c r="E717" t="s">
        <v>22</v>
      </c>
      <c r="F717" t="s">
        <v>15</v>
      </c>
      <c r="G717">
        <v>6</v>
      </c>
      <c r="H717">
        <v>6</v>
      </c>
      <c r="I717">
        <v>0</v>
      </c>
      <c r="J717">
        <v>3.3</v>
      </c>
    </row>
    <row r="718" spans="1:10" x14ac:dyDescent="0.25">
      <c r="A718" t="s">
        <v>23</v>
      </c>
      <c r="B718" t="s">
        <v>24</v>
      </c>
      <c r="C718" t="s">
        <v>64</v>
      </c>
      <c r="D718" t="s">
        <v>13</v>
      </c>
      <c r="E718" t="s">
        <v>22</v>
      </c>
      <c r="F718" t="s">
        <v>15</v>
      </c>
      <c r="G718">
        <v>4</v>
      </c>
      <c r="H718">
        <v>4</v>
      </c>
      <c r="I718">
        <v>0</v>
      </c>
      <c r="J718">
        <v>3.8</v>
      </c>
    </row>
    <row r="719" spans="1:10" x14ac:dyDescent="0.25">
      <c r="A719" t="s">
        <v>59</v>
      </c>
      <c r="B719" t="s">
        <v>34</v>
      </c>
      <c r="C719" t="s">
        <v>51</v>
      </c>
      <c r="D719" t="s">
        <v>21</v>
      </c>
      <c r="E719" t="s">
        <v>27</v>
      </c>
      <c r="F719" t="s">
        <v>15</v>
      </c>
      <c r="G719">
        <v>4</v>
      </c>
      <c r="H719">
        <v>4</v>
      </c>
      <c r="I719">
        <v>0</v>
      </c>
      <c r="J719">
        <v>4</v>
      </c>
    </row>
    <row r="720" spans="1:10" x14ac:dyDescent="0.25">
      <c r="A720" t="s">
        <v>45</v>
      </c>
      <c r="B720" t="s">
        <v>56</v>
      </c>
      <c r="C720" t="s">
        <v>57</v>
      </c>
      <c r="D720" t="s">
        <v>26</v>
      </c>
      <c r="E720" t="s">
        <v>22</v>
      </c>
      <c r="F720" t="s">
        <v>15</v>
      </c>
      <c r="G720">
        <v>5</v>
      </c>
      <c r="H720">
        <v>5</v>
      </c>
      <c r="I720">
        <v>0</v>
      </c>
      <c r="J720">
        <v>3.5</v>
      </c>
    </row>
    <row r="721" spans="1:10" x14ac:dyDescent="0.25">
      <c r="A721" t="s">
        <v>23</v>
      </c>
      <c r="B721" t="s">
        <v>28</v>
      </c>
      <c r="C721" t="s">
        <v>29</v>
      </c>
      <c r="D721" t="s">
        <v>21</v>
      </c>
      <c r="E721" t="s">
        <v>22</v>
      </c>
      <c r="F721" t="s">
        <v>19</v>
      </c>
      <c r="G721">
        <v>6</v>
      </c>
      <c r="H721">
        <v>5</v>
      </c>
      <c r="I721">
        <v>0</v>
      </c>
      <c r="J721">
        <v>3.2</v>
      </c>
    </row>
    <row r="722" spans="1:10" x14ac:dyDescent="0.25">
      <c r="A722" t="s">
        <v>23</v>
      </c>
      <c r="B722" t="s">
        <v>24</v>
      </c>
      <c r="C722" t="s">
        <v>64</v>
      </c>
      <c r="D722" t="s">
        <v>22</v>
      </c>
      <c r="E722" t="s">
        <v>18</v>
      </c>
      <c r="F722" t="s">
        <v>19</v>
      </c>
      <c r="G722">
        <v>2</v>
      </c>
      <c r="H722">
        <v>2</v>
      </c>
      <c r="I722">
        <v>0</v>
      </c>
      <c r="J722">
        <v>2.1</v>
      </c>
    </row>
    <row r="723" spans="1:10" x14ac:dyDescent="0.25">
      <c r="A723" t="s">
        <v>23</v>
      </c>
      <c r="B723" t="s">
        <v>41</v>
      </c>
      <c r="C723" t="s">
        <v>42</v>
      </c>
      <c r="D723" t="s">
        <v>40</v>
      </c>
      <c r="E723" t="s">
        <v>53</v>
      </c>
      <c r="F723" t="s">
        <v>15</v>
      </c>
      <c r="G723">
        <v>4</v>
      </c>
      <c r="H723">
        <v>3</v>
      </c>
      <c r="I723">
        <v>0</v>
      </c>
      <c r="J723">
        <v>1.5</v>
      </c>
    </row>
    <row r="724" spans="1:10" x14ac:dyDescent="0.25">
      <c r="A724" t="s">
        <v>61</v>
      </c>
      <c r="B724" t="s">
        <v>41</v>
      </c>
      <c r="C724" t="s">
        <v>44</v>
      </c>
      <c r="D724" t="s">
        <v>26</v>
      </c>
      <c r="E724" t="s">
        <v>22</v>
      </c>
      <c r="F724" t="s">
        <v>19</v>
      </c>
      <c r="G724">
        <v>5</v>
      </c>
      <c r="H724">
        <v>5</v>
      </c>
      <c r="I724">
        <v>0</v>
      </c>
      <c r="J724">
        <v>2.8</v>
      </c>
    </row>
    <row r="725" spans="1:10" x14ac:dyDescent="0.25">
      <c r="A725" t="s">
        <v>10</v>
      </c>
      <c r="B725" t="s">
        <v>41</v>
      </c>
      <c r="C725" t="s">
        <v>44</v>
      </c>
      <c r="D725" t="s">
        <v>40</v>
      </c>
      <c r="E725" t="s">
        <v>22</v>
      </c>
      <c r="F725" t="s">
        <v>19</v>
      </c>
      <c r="G725">
        <v>3</v>
      </c>
      <c r="H725">
        <v>3</v>
      </c>
      <c r="I725">
        <v>0</v>
      </c>
      <c r="J725">
        <v>3.4</v>
      </c>
    </row>
    <row r="726" spans="1:10" x14ac:dyDescent="0.25">
      <c r="A726" t="s">
        <v>31</v>
      </c>
      <c r="B726" t="s">
        <v>37</v>
      </c>
      <c r="C726" t="s">
        <v>38</v>
      </c>
      <c r="D726" t="s">
        <v>26</v>
      </c>
      <c r="E726" t="s">
        <v>14</v>
      </c>
      <c r="F726" t="s">
        <v>19</v>
      </c>
      <c r="G726">
        <v>4</v>
      </c>
      <c r="H726">
        <v>4</v>
      </c>
      <c r="I726">
        <v>0</v>
      </c>
      <c r="J726">
        <v>4.3</v>
      </c>
    </row>
    <row r="727" spans="1:10" x14ac:dyDescent="0.25">
      <c r="A727" t="s">
        <v>23</v>
      </c>
      <c r="B727" t="s">
        <v>24</v>
      </c>
      <c r="C727" t="s">
        <v>64</v>
      </c>
      <c r="D727" t="s">
        <v>40</v>
      </c>
      <c r="E727" t="s">
        <v>27</v>
      </c>
      <c r="F727" t="s">
        <v>15</v>
      </c>
      <c r="G727">
        <v>6</v>
      </c>
      <c r="H727">
        <v>5</v>
      </c>
      <c r="I727">
        <v>0</v>
      </c>
      <c r="J727">
        <v>3.2</v>
      </c>
    </row>
    <row r="728" spans="1:10" x14ac:dyDescent="0.25">
      <c r="A728" t="s">
        <v>36</v>
      </c>
      <c r="B728" t="s">
        <v>48</v>
      </c>
      <c r="C728" t="s">
        <v>49</v>
      </c>
      <c r="D728" t="s">
        <v>40</v>
      </c>
      <c r="E728" t="s">
        <v>18</v>
      </c>
      <c r="F728" t="s">
        <v>19</v>
      </c>
      <c r="G728">
        <v>5</v>
      </c>
      <c r="H728">
        <v>4</v>
      </c>
      <c r="I728">
        <v>1</v>
      </c>
      <c r="J728">
        <v>4</v>
      </c>
    </row>
    <row r="729" spans="1:10" x14ac:dyDescent="0.25">
      <c r="A729" t="s">
        <v>33</v>
      </c>
      <c r="B729" t="s">
        <v>16</v>
      </c>
      <c r="C729" t="s">
        <v>60</v>
      </c>
      <c r="D729" t="s">
        <v>21</v>
      </c>
      <c r="E729" t="s">
        <v>18</v>
      </c>
      <c r="F729" t="s">
        <v>19</v>
      </c>
      <c r="G729">
        <v>6</v>
      </c>
      <c r="H729">
        <v>5</v>
      </c>
      <c r="I729">
        <v>0</v>
      </c>
      <c r="J729">
        <v>3</v>
      </c>
    </row>
    <row r="730" spans="1:10" x14ac:dyDescent="0.25">
      <c r="A730" t="s">
        <v>43</v>
      </c>
      <c r="B730" t="s">
        <v>24</v>
      </c>
      <c r="C730" t="s">
        <v>64</v>
      </c>
      <c r="D730" t="s">
        <v>40</v>
      </c>
      <c r="E730" t="s">
        <v>53</v>
      </c>
      <c r="F730" t="s">
        <v>15</v>
      </c>
      <c r="G730">
        <v>3</v>
      </c>
      <c r="H730">
        <v>3</v>
      </c>
      <c r="I730">
        <v>0</v>
      </c>
      <c r="J730">
        <v>3.6</v>
      </c>
    </row>
    <row r="731" spans="1:10" x14ac:dyDescent="0.25">
      <c r="A731" t="s">
        <v>23</v>
      </c>
      <c r="B731" t="s">
        <v>41</v>
      </c>
      <c r="C731" t="s">
        <v>42</v>
      </c>
      <c r="D731" t="s">
        <v>13</v>
      </c>
      <c r="E731" t="s">
        <v>27</v>
      </c>
      <c r="F731" t="s">
        <v>15</v>
      </c>
      <c r="G731">
        <v>7</v>
      </c>
      <c r="H731">
        <v>7</v>
      </c>
      <c r="I731">
        <v>0</v>
      </c>
      <c r="J731">
        <v>1.3</v>
      </c>
    </row>
    <row r="732" spans="1:10" x14ac:dyDescent="0.25">
      <c r="A732" t="s">
        <v>10</v>
      </c>
      <c r="B732" t="s">
        <v>28</v>
      </c>
      <c r="C732" t="s">
        <v>29</v>
      </c>
      <c r="D732" t="s">
        <v>22</v>
      </c>
      <c r="E732" t="s">
        <v>27</v>
      </c>
      <c r="F732" t="s">
        <v>15</v>
      </c>
      <c r="G732">
        <v>3</v>
      </c>
      <c r="H732">
        <v>2</v>
      </c>
      <c r="I732">
        <v>0</v>
      </c>
      <c r="J732">
        <v>3.4</v>
      </c>
    </row>
    <row r="733" spans="1:10" x14ac:dyDescent="0.25">
      <c r="A733" t="s">
        <v>45</v>
      </c>
      <c r="B733" t="s">
        <v>16</v>
      </c>
      <c r="C733" t="s">
        <v>17</v>
      </c>
      <c r="D733" t="s">
        <v>40</v>
      </c>
      <c r="E733" t="s">
        <v>22</v>
      </c>
      <c r="F733" t="s">
        <v>19</v>
      </c>
      <c r="G733">
        <v>6</v>
      </c>
      <c r="H733">
        <v>6</v>
      </c>
      <c r="I733">
        <v>0</v>
      </c>
      <c r="J733">
        <v>1.4</v>
      </c>
    </row>
    <row r="734" spans="1:10" x14ac:dyDescent="0.25">
      <c r="A734" t="s">
        <v>50</v>
      </c>
      <c r="B734" t="s">
        <v>48</v>
      </c>
      <c r="C734" t="s">
        <v>49</v>
      </c>
      <c r="D734" t="s">
        <v>32</v>
      </c>
      <c r="E734" t="s">
        <v>53</v>
      </c>
      <c r="F734" t="s">
        <v>15</v>
      </c>
      <c r="G734">
        <v>4</v>
      </c>
      <c r="H734">
        <v>3</v>
      </c>
      <c r="I734">
        <v>0</v>
      </c>
      <c r="J734">
        <v>3.8</v>
      </c>
    </row>
    <row r="735" spans="1:10" x14ac:dyDescent="0.25">
      <c r="A735" t="s">
        <v>31</v>
      </c>
      <c r="B735" t="s">
        <v>56</v>
      </c>
      <c r="C735" t="s">
        <v>57</v>
      </c>
      <c r="D735" t="s">
        <v>21</v>
      </c>
      <c r="E735" t="s">
        <v>14</v>
      </c>
      <c r="F735" t="s">
        <v>15</v>
      </c>
      <c r="G735">
        <v>6</v>
      </c>
      <c r="H735">
        <v>6</v>
      </c>
      <c r="I735">
        <v>1</v>
      </c>
      <c r="J735">
        <v>4.2</v>
      </c>
    </row>
    <row r="736" spans="1:10" x14ac:dyDescent="0.25">
      <c r="A736" t="s">
        <v>20</v>
      </c>
      <c r="B736" t="s">
        <v>56</v>
      </c>
      <c r="C736" t="s">
        <v>57</v>
      </c>
      <c r="D736" t="s">
        <v>21</v>
      </c>
      <c r="E736" t="s">
        <v>30</v>
      </c>
      <c r="F736" t="s">
        <v>15</v>
      </c>
      <c r="G736">
        <v>6</v>
      </c>
      <c r="H736">
        <v>5</v>
      </c>
      <c r="I736">
        <v>1</v>
      </c>
      <c r="J736">
        <v>2.2000000000000002</v>
      </c>
    </row>
    <row r="737" spans="1:10" x14ac:dyDescent="0.25">
      <c r="A737" t="s">
        <v>43</v>
      </c>
      <c r="B737" t="s">
        <v>41</v>
      </c>
      <c r="C737" t="s">
        <v>42</v>
      </c>
      <c r="D737" t="s">
        <v>13</v>
      </c>
      <c r="E737" t="s">
        <v>14</v>
      </c>
      <c r="F737" t="s">
        <v>19</v>
      </c>
      <c r="G737">
        <v>4</v>
      </c>
      <c r="H737">
        <v>3</v>
      </c>
      <c r="I737">
        <v>0</v>
      </c>
      <c r="J737">
        <v>2.8</v>
      </c>
    </row>
    <row r="738" spans="1:10" x14ac:dyDescent="0.25">
      <c r="A738" t="s">
        <v>61</v>
      </c>
      <c r="B738" t="s">
        <v>56</v>
      </c>
      <c r="C738" t="s">
        <v>62</v>
      </c>
      <c r="D738" t="s">
        <v>40</v>
      </c>
      <c r="E738" t="s">
        <v>53</v>
      </c>
      <c r="F738" t="s">
        <v>19</v>
      </c>
      <c r="G738">
        <v>3</v>
      </c>
      <c r="H738">
        <v>2</v>
      </c>
      <c r="I738">
        <v>0</v>
      </c>
      <c r="J738">
        <v>1.5</v>
      </c>
    </row>
    <row r="739" spans="1:10" x14ac:dyDescent="0.25">
      <c r="A739" t="s">
        <v>61</v>
      </c>
      <c r="B739" t="s">
        <v>56</v>
      </c>
      <c r="C739" t="s">
        <v>57</v>
      </c>
      <c r="D739" t="s">
        <v>21</v>
      </c>
      <c r="E739" t="s">
        <v>14</v>
      </c>
      <c r="F739" t="s">
        <v>19</v>
      </c>
      <c r="G739">
        <v>5</v>
      </c>
      <c r="H739">
        <v>5</v>
      </c>
      <c r="I739">
        <v>1</v>
      </c>
      <c r="J739">
        <v>2.8</v>
      </c>
    </row>
    <row r="740" spans="1:10" x14ac:dyDescent="0.25">
      <c r="A740" t="s">
        <v>23</v>
      </c>
      <c r="B740" t="s">
        <v>34</v>
      </c>
      <c r="C740" t="s">
        <v>35</v>
      </c>
      <c r="D740" t="s">
        <v>26</v>
      </c>
      <c r="E740" t="s">
        <v>14</v>
      </c>
      <c r="F740" t="s">
        <v>15</v>
      </c>
      <c r="G740">
        <v>4</v>
      </c>
      <c r="H740">
        <v>2</v>
      </c>
      <c r="I740">
        <v>0</v>
      </c>
      <c r="J740">
        <v>1.4</v>
      </c>
    </row>
    <row r="741" spans="1:10" x14ac:dyDescent="0.25">
      <c r="A741" t="s">
        <v>23</v>
      </c>
      <c r="B741" t="s">
        <v>37</v>
      </c>
      <c r="C741" t="s">
        <v>39</v>
      </c>
      <c r="D741" t="s">
        <v>32</v>
      </c>
      <c r="E741" t="s">
        <v>22</v>
      </c>
      <c r="F741" t="s">
        <v>15</v>
      </c>
      <c r="G741">
        <v>3</v>
      </c>
      <c r="H741">
        <v>3</v>
      </c>
      <c r="I741">
        <v>0</v>
      </c>
      <c r="J741">
        <v>2.2999999999999998</v>
      </c>
    </row>
    <row r="742" spans="1:10" x14ac:dyDescent="0.25">
      <c r="A742" t="s">
        <v>33</v>
      </c>
      <c r="B742" t="s">
        <v>48</v>
      </c>
      <c r="C742" t="s">
        <v>63</v>
      </c>
      <c r="D742" t="s">
        <v>13</v>
      </c>
      <c r="E742" t="s">
        <v>30</v>
      </c>
      <c r="F742" t="s">
        <v>15</v>
      </c>
      <c r="G742">
        <v>5</v>
      </c>
      <c r="H742">
        <v>5</v>
      </c>
      <c r="I742">
        <v>1</v>
      </c>
      <c r="J742">
        <v>3.4</v>
      </c>
    </row>
    <row r="743" spans="1:10" x14ac:dyDescent="0.25">
      <c r="A743" t="s">
        <v>55</v>
      </c>
      <c r="B743" t="s">
        <v>24</v>
      </c>
      <c r="C743" t="s">
        <v>64</v>
      </c>
      <c r="D743" t="s">
        <v>22</v>
      </c>
      <c r="E743" t="s">
        <v>27</v>
      </c>
      <c r="F743" t="s">
        <v>19</v>
      </c>
      <c r="G743">
        <v>4</v>
      </c>
      <c r="H743">
        <v>4</v>
      </c>
      <c r="I743">
        <v>0</v>
      </c>
      <c r="J743">
        <v>2.7</v>
      </c>
    </row>
    <row r="744" spans="1:10" x14ac:dyDescent="0.25">
      <c r="A744" t="s">
        <v>43</v>
      </c>
      <c r="B744" t="s">
        <v>37</v>
      </c>
      <c r="C744" t="s">
        <v>38</v>
      </c>
      <c r="D744" t="s">
        <v>21</v>
      </c>
      <c r="E744" t="s">
        <v>14</v>
      </c>
      <c r="F744" t="s">
        <v>19</v>
      </c>
      <c r="G744">
        <v>4</v>
      </c>
      <c r="H744">
        <v>4</v>
      </c>
      <c r="I744">
        <v>0</v>
      </c>
      <c r="J744">
        <v>4.0999999999999996</v>
      </c>
    </row>
    <row r="745" spans="1:10" x14ac:dyDescent="0.25">
      <c r="A745" t="s">
        <v>10</v>
      </c>
      <c r="B745" t="s">
        <v>37</v>
      </c>
      <c r="C745" t="s">
        <v>39</v>
      </c>
      <c r="D745" t="s">
        <v>40</v>
      </c>
      <c r="E745" t="s">
        <v>30</v>
      </c>
      <c r="F745" t="s">
        <v>19</v>
      </c>
      <c r="G745">
        <v>9</v>
      </c>
      <c r="H745">
        <v>9</v>
      </c>
      <c r="I745">
        <v>2</v>
      </c>
      <c r="J745">
        <v>2.1</v>
      </c>
    </row>
    <row r="746" spans="1:10" x14ac:dyDescent="0.25">
      <c r="A746" t="s">
        <v>55</v>
      </c>
      <c r="B746" t="s">
        <v>34</v>
      </c>
      <c r="C746" t="s">
        <v>35</v>
      </c>
      <c r="D746" t="s">
        <v>26</v>
      </c>
      <c r="E746" t="s">
        <v>14</v>
      </c>
      <c r="F746" t="s">
        <v>19</v>
      </c>
      <c r="G746">
        <v>3</v>
      </c>
      <c r="H746">
        <v>3</v>
      </c>
      <c r="I746">
        <v>0</v>
      </c>
      <c r="J746">
        <v>0.6</v>
      </c>
    </row>
    <row r="747" spans="1:10" x14ac:dyDescent="0.25">
      <c r="A747" t="s">
        <v>23</v>
      </c>
      <c r="B747" t="s">
        <v>48</v>
      </c>
      <c r="C747" t="s">
        <v>49</v>
      </c>
      <c r="D747" t="s">
        <v>26</v>
      </c>
      <c r="E747" t="s">
        <v>18</v>
      </c>
      <c r="F747" t="s">
        <v>15</v>
      </c>
      <c r="G747">
        <v>6</v>
      </c>
      <c r="H747">
        <v>6</v>
      </c>
      <c r="I747">
        <v>1</v>
      </c>
      <c r="J747">
        <v>1.7</v>
      </c>
    </row>
    <row r="748" spans="1:10" x14ac:dyDescent="0.25">
      <c r="A748" t="s">
        <v>43</v>
      </c>
      <c r="B748" t="s">
        <v>24</v>
      </c>
      <c r="C748" t="s">
        <v>25</v>
      </c>
      <c r="D748" t="s">
        <v>22</v>
      </c>
      <c r="E748" t="s">
        <v>30</v>
      </c>
      <c r="F748" t="s">
        <v>15</v>
      </c>
      <c r="G748">
        <v>6</v>
      </c>
      <c r="H748">
        <v>6</v>
      </c>
      <c r="I748">
        <v>2</v>
      </c>
      <c r="J748">
        <v>2.5</v>
      </c>
    </row>
    <row r="749" spans="1:10" x14ac:dyDescent="0.25">
      <c r="A749" t="s">
        <v>36</v>
      </c>
      <c r="B749" t="s">
        <v>28</v>
      </c>
      <c r="C749" t="s">
        <v>29</v>
      </c>
      <c r="D749" t="s">
        <v>21</v>
      </c>
      <c r="E749" t="s">
        <v>30</v>
      </c>
      <c r="F749" t="s">
        <v>15</v>
      </c>
      <c r="G749">
        <v>4</v>
      </c>
      <c r="H749">
        <v>4</v>
      </c>
      <c r="I749">
        <v>1</v>
      </c>
      <c r="J749">
        <v>3.5</v>
      </c>
    </row>
    <row r="750" spans="1:10" x14ac:dyDescent="0.25">
      <c r="A750" t="s">
        <v>23</v>
      </c>
      <c r="B750" t="s">
        <v>11</v>
      </c>
      <c r="C750" t="s">
        <v>52</v>
      </c>
      <c r="D750" t="s">
        <v>32</v>
      </c>
      <c r="E750" t="s">
        <v>18</v>
      </c>
      <c r="F750" t="s">
        <v>15</v>
      </c>
      <c r="G750">
        <v>4</v>
      </c>
      <c r="H750">
        <v>2</v>
      </c>
      <c r="I750">
        <v>1</v>
      </c>
      <c r="J750">
        <v>2.6</v>
      </c>
    </row>
    <row r="751" spans="1:10" x14ac:dyDescent="0.25">
      <c r="A751" t="s">
        <v>10</v>
      </c>
      <c r="B751" t="s">
        <v>46</v>
      </c>
      <c r="C751" t="s">
        <v>47</v>
      </c>
      <c r="D751" t="s">
        <v>26</v>
      </c>
      <c r="E751" t="s">
        <v>14</v>
      </c>
      <c r="F751" t="s">
        <v>15</v>
      </c>
      <c r="G751">
        <v>3</v>
      </c>
      <c r="H751">
        <v>2</v>
      </c>
      <c r="I751">
        <v>1</v>
      </c>
      <c r="J751">
        <v>1.7</v>
      </c>
    </row>
    <row r="752" spans="1:10" x14ac:dyDescent="0.25">
      <c r="A752" t="s">
        <v>55</v>
      </c>
      <c r="B752" t="s">
        <v>48</v>
      </c>
      <c r="C752" t="s">
        <v>63</v>
      </c>
      <c r="D752" t="s">
        <v>13</v>
      </c>
      <c r="E752" t="s">
        <v>22</v>
      </c>
      <c r="F752" t="s">
        <v>15</v>
      </c>
      <c r="G752">
        <v>2</v>
      </c>
      <c r="H752">
        <v>2</v>
      </c>
      <c r="I752">
        <v>0</v>
      </c>
      <c r="J752">
        <v>3.2</v>
      </c>
    </row>
    <row r="753" spans="1:10" x14ac:dyDescent="0.25">
      <c r="A753" t="s">
        <v>50</v>
      </c>
      <c r="B753" t="s">
        <v>41</v>
      </c>
      <c r="C753" t="s">
        <v>44</v>
      </c>
      <c r="D753" t="s">
        <v>26</v>
      </c>
      <c r="E753" t="s">
        <v>14</v>
      </c>
      <c r="F753" t="s">
        <v>15</v>
      </c>
      <c r="G753">
        <v>3</v>
      </c>
      <c r="H753">
        <v>3</v>
      </c>
      <c r="I753">
        <v>0</v>
      </c>
      <c r="J753">
        <v>3.7</v>
      </c>
    </row>
    <row r="754" spans="1:10" x14ac:dyDescent="0.25">
      <c r="A754" t="s">
        <v>61</v>
      </c>
      <c r="B754" t="s">
        <v>46</v>
      </c>
      <c r="C754" t="s">
        <v>47</v>
      </c>
      <c r="D754" t="s">
        <v>26</v>
      </c>
      <c r="E754" t="s">
        <v>22</v>
      </c>
      <c r="F754" t="s">
        <v>15</v>
      </c>
      <c r="G754">
        <v>5</v>
      </c>
      <c r="H754">
        <v>4</v>
      </c>
      <c r="I754">
        <v>0</v>
      </c>
      <c r="J754">
        <v>2.8</v>
      </c>
    </row>
    <row r="755" spans="1:10" x14ac:dyDescent="0.25">
      <c r="A755" t="s">
        <v>10</v>
      </c>
      <c r="B755" t="s">
        <v>28</v>
      </c>
      <c r="C755" t="s">
        <v>58</v>
      </c>
      <c r="D755" t="s">
        <v>40</v>
      </c>
      <c r="E755" t="s">
        <v>53</v>
      </c>
      <c r="F755" t="s">
        <v>15</v>
      </c>
      <c r="G755">
        <v>4</v>
      </c>
      <c r="H755">
        <v>4</v>
      </c>
      <c r="I755">
        <v>0</v>
      </c>
      <c r="J755">
        <v>4.0999999999999996</v>
      </c>
    </row>
    <row r="756" spans="1:10" x14ac:dyDescent="0.25">
      <c r="A756" t="s">
        <v>59</v>
      </c>
      <c r="B756" t="s">
        <v>16</v>
      </c>
      <c r="C756" t="s">
        <v>17</v>
      </c>
      <c r="D756" t="s">
        <v>13</v>
      </c>
      <c r="E756" t="s">
        <v>27</v>
      </c>
      <c r="F756" t="s">
        <v>15</v>
      </c>
      <c r="G756">
        <v>5</v>
      </c>
      <c r="H756">
        <v>5</v>
      </c>
      <c r="I756">
        <v>0</v>
      </c>
      <c r="J756">
        <v>2.8</v>
      </c>
    </row>
    <row r="757" spans="1:10" x14ac:dyDescent="0.25">
      <c r="A757" t="s">
        <v>33</v>
      </c>
      <c r="B757" t="s">
        <v>41</v>
      </c>
      <c r="C757" t="s">
        <v>42</v>
      </c>
      <c r="D757" t="s">
        <v>32</v>
      </c>
      <c r="E757" t="s">
        <v>22</v>
      </c>
      <c r="F757" t="s">
        <v>15</v>
      </c>
      <c r="G757">
        <v>2</v>
      </c>
      <c r="H757">
        <v>2</v>
      </c>
      <c r="I757">
        <v>0</v>
      </c>
      <c r="J757">
        <v>0.6</v>
      </c>
    </row>
    <row r="758" spans="1:10" x14ac:dyDescent="0.25">
      <c r="A758" t="s">
        <v>23</v>
      </c>
      <c r="B758" t="s">
        <v>24</v>
      </c>
      <c r="C758" t="s">
        <v>25</v>
      </c>
      <c r="D758" t="s">
        <v>40</v>
      </c>
      <c r="E758" t="s">
        <v>53</v>
      </c>
      <c r="F758" t="s">
        <v>15</v>
      </c>
      <c r="G758">
        <v>2</v>
      </c>
      <c r="H758">
        <v>2</v>
      </c>
      <c r="I758">
        <v>0</v>
      </c>
      <c r="J758">
        <v>3.4</v>
      </c>
    </row>
    <row r="759" spans="1:10" x14ac:dyDescent="0.25">
      <c r="A759" t="s">
        <v>43</v>
      </c>
      <c r="B759" t="s">
        <v>28</v>
      </c>
      <c r="C759" t="s">
        <v>58</v>
      </c>
      <c r="D759" t="s">
        <v>40</v>
      </c>
      <c r="E759" t="s">
        <v>27</v>
      </c>
      <c r="F759" t="s">
        <v>19</v>
      </c>
      <c r="G759">
        <v>5</v>
      </c>
      <c r="H759">
        <v>5</v>
      </c>
      <c r="I759">
        <v>0</v>
      </c>
      <c r="J759">
        <v>3.4</v>
      </c>
    </row>
    <row r="760" spans="1:10" x14ac:dyDescent="0.25">
      <c r="A760" t="s">
        <v>43</v>
      </c>
      <c r="B760" t="s">
        <v>11</v>
      </c>
      <c r="C760" t="s">
        <v>52</v>
      </c>
      <c r="D760" t="s">
        <v>13</v>
      </c>
      <c r="E760" t="s">
        <v>14</v>
      </c>
      <c r="F760" t="s">
        <v>15</v>
      </c>
      <c r="G760">
        <v>5</v>
      </c>
      <c r="H760">
        <v>5</v>
      </c>
      <c r="I760">
        <v>0</v>
      </c>
      <c r="J760">
        <v>2.9</v>
      </c>
    </row>
    <row r="761" spans="1:10" x14ac:dyDescent="0.25">
      <c r="A761" t="s">
        <v>45</v>
      </c>
      <c r="B761" t="s">
        <v>16</v>
      </c>
      <c r="C761" t="s">
        <v>17</v>
      </c>
      <c r="D761" t="s">
        <v>22</v>
      </c>
      <c r="E761" t="s">
        <v>53</v>
      </c>
      <c r="F761" t="s">
        <v>15</v>
      </c>
      <c r="G761">
        <v>5</v>
      </c>
      <c r="H761">
        <v>5</v>
      </c>
      <c r="I761">
        <v>1</v>
      </c>
      <c r="J761">
        <v>2.5</v>
      </c>
    </row>
    <row r="762" spans="1:10" x14ac:dyDescent="0.25">
      <c r="A762" t="s">
        <v>36</v>
      </c>
      <c r="B762" t="s">
        <v>11</v>
      </c>
      <c r="C762" t="s">
        <v>52</v>
      </c>
      <c r="D762" t="s">
        <v>26</v>
      </c>
      <c r="E762" t="s">
        <v>30</v>
      </c>
      <c r="F762" t="s">
        <v>15</v>
      </c>
      <c r="G762">
        <v>8</v>
      </c>
      <c r="H762">
        <v>7</v>
      </c>
      <c r="I762">
        <v>1</v>
      </c>
      <c r="J762">
        <v>2.6</v>
      </c>
    </row>
    <row r="763" spans="1:10" x14ac:dyDescent="0.25">
      <c r="A763" t="s">
        <v>36</v>
      </c>
      <c r="B763" t="s">
        <v>16</v>
      </c>
      <c r="C763" t="s">
        <v>17</v>
      </c>
      <c r="D763" t="s">
        <v>22</v>
      </c>
      <c r="E763" t="s">
        <v>53</v>
      </c>
      <c r="F763" t="s">
        <v>19</v>
      </c>
      <c r="G763">
        <v>3</v>
      </c>
      <c r="H763">
        <v>3</v>
      </c>
      <c r="I763">
        <v>0</v>
      </c>
      <c r="J763">
        <v>2.5</v>
      </c>
    </row>
    <row r="764" spans="1:10" x14ac:dyDescent="0.25">
      <c r="A764" t="s">
        <v>33</v>
      </c>
      <c r="B764" t="s">
        <v>48</v>
      </c>
      <c r="C764" t="s">
        <v>63</v>
      </c>
      <c r="D764" t="s">
        <v>21</v>
      </c>
      <c r="E764" t="s">
        <v>27</v>
      </c>
      <c r="F764" t="s">
        <v>19</v>
      </c>
      <c r="G764">
        <v>10</v>
      </c>
      <c r="H764">
        <v>10</v>
      </c>
      <c r="I764">
        <v>1</v>
      </c>
      <c r="J764">
        <v>4.4000000000000004</v>
      </c>
    </row>
    <row r="765" spans="1:10" x14ac:dyDescent="0.25">
      <c r="A765" t="s">
        <v>61</v>
      </c>
      <c r="B765" t="s">
        <v>41</v>
      </c>
      <c r="C765" t="s">
        <v>42</v>
      </c>
      <c r="D765" t="s">
        <v>13</v>
      </c>
      <c r="E765" t="s">
        <v>30</v>
      </c>
      <c r="F765" t="s">
        <v>15</v>
      </c>
      <c r="G765">
        <v>3</v>
      </c>
      <c r="H765">
        <v>3</v>
      </c>
      <c r="I765">
        <v>0</v>
      </c>
      <c r="J765">
        <v>1.8</v>
      </c>
    </row>
    <row r="766" spans="1:10" x14ac:dyDescent="0.25">
      <c r="A766" t="s">
        <v>43</v>
      </c>
      <c r="B766" t="s">
        <v>48</v>
      </c>
      <c r="C766" t="s">
        <v>63</v>
      </c>
      <c r="D766" t="s">
        <v>22</v>
      </c>
      <c r="E766" t="s">
        <v>53</v>
      </c>
      <c r="F766" t="s">
        <v>15</v>
      </c>
      <c r="G766">
        <v>5</v>
      </c>
      <c r="H766">
        <v>5</v>
      </c>
      <c r="I766">
        <v>1</v>
      </c>
      <c r="J766">
        <v>3.3</v>
      </c>
    </row>
    <row r="767" spans="1:10" x14ac:dyDescent="0.25">
      <c r="A767" t="s">
        <v>31</v>
      </c>
      <c r="B767" t="s">
        <v>46</v>
      </c>
      <c r="C767" t="s">
        <v>54</v>
      </c>
      <c r="D767" t="s">
        <v>22</v>
      </c>
      <c r="E767" t="s">
        <v>14</v>
      </c>
      <c r="F767" t="s">
        <v>15</v>
      </c>
      <c r="G767">
        <v>4</v>
      </c>
      <c r="H767">
        <v>3</v>
      </c>
      <c r="I767">
        <v>0</v>
      </c>
      <c r="J767">
        <v>3.3</v>
      </c>
    </row>
    <row r="768" spans="1:10" x14ac:dyDescent="0.25">
      <c r="A768" t="s">
        <v>10</v>
      </c>
      <c r="B768" t="s">
        <v>28</v>
      </c>
      <c r="C768" t="s">
        <v>58</v>
      </c>
      <c r="D768" t="s">
        <v>13</v>
      </c>
      <c r="E768" t="s">
        <v>30</v>
      </c>
      <c r="F768" t="s">
        <v>19</v>
      </c>
      <c r="G768">
        <v>5</v>
      </c>
      <c r="H768">
        <v>5</v>
      </c>
      <c r="I768">
        <v>0</v>
      </c>
      <c r="J768">
        <v>3.5</v>
      </c>
    </row>
    <row r="769" spans="1:10" x14ac:dyDescent="0.25">
      <c r="A769" t="s">
        <v>31</v>
      </c>
      <c r="B769" t="s">
        <v>41</v>
      </c>
      <c r="C769" t="s">
        <v>42</v>
      </c>
      <c r="D769" t="s">
        <v>13</v>
      </c>
      <c r="E769" t="s">
        <v>30</v>
      </c>
      <c r="F769" t="s">
        <v>15</v>
      </c>
      <c r="G769">
        <v>3</v>
      </c>
      <c r="H769">
        <v>3</v>
      </c>
      <c r="I769">
        <v>0</v>
      </c>
      <c r="J769">
        <v>3.6</v>
      </c>
    </row>
    <row r="770" spans="1:10" x14ac:dyDescent="0.25">
      <c r="A770" t="s">
        <v>45</v>
      </c>
      <c r="B770" t="s">
        <v>46</v>
      </c>
      <c r="C770" t="s">
        <v>54</v>
      </c>
      <c r="D770" t="s">
        <v>13</v>
      </c>
      <c r="E770" t="s">
        <v>18</v>
      </c>
      <c r="F770" t="s">
        <v>15</v>
      </c>
      <c r="G770">
        <v>4</v>
      </c>
      <c r="H770">
        <v>3</v>
      </c>
      <c r="I770">
        <v>0</v>
      </c>
      <c r="J770">
        <v>2.8</v>
      </c>
    </row>
    <row r="771" spans="1:10" x14ac:dyDescent="0.25">
      <c r="A771" t="s">
        <v>31</v>
      </c>
      <c r="B771" t="s">
        <v>24</v>
      </c>
      <c r="C771" t="s">
        <v>25</v>
      </c>
      <c r="D771" t="s">
        <v>40</v>
      </c>
      <c r="E771" t="s">
        <v>27</v>
      </c>
      <c r="F771" t="s">
        <v>15</v>
      </c>
      <c r="G771">
        <v>7</v>
      </c>
      <c r="H771">
        <v>4</v>
      </c>
      <c r="I771">
        <v>0</v>
      </c>
      <c r="J771">
        <v>2.4</v>
      </c>
    </row>
    <row r="772" spans="1:10" x14ac:dyDescent="0.25">
      <c r="A772" t="s">
        <v>36</v>
      </c>
      <c r="B772" t="s">
        <v>46</v>
      </c>
      <c r="C772" t="s">
        <v>47</v>
      </c>
      <c r="D772" t="s">
        <v>22</v>
      </c>
      <c r="E772" t="s">
        <v>22</v>
      </c>
      <c r="F772" t="s">
        <v>15</v>
      </c>
      <c r="G772">
        <v>5</v>
      </c>
      <c r="H772">
        <v>4</v>
      </c>
      <c r="I772">
        <v>0</v>
      </c>
      <c r="J772">
        <v>4.7</v>
      </c>
    </row>
    <row r="773" spans="1:10" x14ac:dyDescent="0.25">
      <c r="A773" t="s">
        <v>31</v>
      </c>
      <c r="B773" t="s">
        <v>16</v>
      </c>
      <c r="C773" t="s">
        <v>60</v>
      </c>
      <c r="D773" t="s">
        <v>13</v>
      </c>
      <c r="E773" t="s">
        <v>30</v>
      </c>
      <c r="F773" t="s">
        <v>15</v>
      </c>
      <c r="G773">
        <v>7</v>
      </c>
      <c r="H773">
        <v>7</v>
      </c>
      <c r="I773">
        <v>0</v>
      </c>
      <c r="J773">
        <v>0.7</v>
      </c>
    </row>
    <row r="774" spans="1:10" x14ac:dyDescent="0.25">
      <c r="A774" t="s">
        <v>59</v>
      </c>
      <c r="B774" t="s">
        <v>28</v>
      </c>
      <c r="C774" t="s">
        <v>58</v>
      </c>
      <c r="D774" t="s">
        <v>21</v>
      </c>
      <c r="E774" t="s">
        <v>27</v>
      </c>
      <c r="F774" t="s">
        <v>15</v>
      </c>
      <c r="G774">
        <v>6</v>
      </c>
      <c r="H774">
        <v>5</v>
      </c>
      <c r="I774">
        <v>0</v>
      </c>
      <c r="J774">
        <v>3</v>
      </c>
    </row>
    <row r="775" spans="1:10" x14ac:dyDescent="0.25">
      <c r="A775" t="s">
        <v>36</v>
      </c>
      <c r="B775" t="s">
        <v>24</v>
      </c>
      <c r="C775" t="s">
        <v>25</v>
      </c>
      <c r="D775" t="s">
        <v>40</v>
      </c>
      <c r="E775" t="s">
        <v>30</v>
      </c>
      <c r="F775" t="s">
        <v>15</v>
      </c>
      <c r="G775">
        <v>4</v>
      </c>
      <c r="H775">
        <v>4</v>
      </c>
      <c r="I775">
        <v>0</v>
      </c>
      <c r="J775">
        <v>3.7</v>
      </c>
    </row>
    <row r="776" spans="1:10" x14ac:dyDescent="0.25">
      <c r="A776" t="s">
        <v>50</v>
      </c>
      <c r="B776" t="s">
        <v>37</v>
      </c>
      <c r="C776" t="s">
        <v>39</v>
      </c>
      <c r="D776" t="s">
        <v>21</v>
      </c>
      <c r="E776" t="s">
        <v>27</v>
      </c>
      <c r="F776" t="s">
        <v>15</v>
      </c>
      <c r="G776">
        <v>4</v>
      </c>
      <c r="H776">
        <v>4</v>
      </c>
      <c r="I776">
        <v>0</v>
      </c>
      <c r="J776">
        <v>4.9000000000000004</v>
      </c>
    </row>
    <row r="777" spans="1:10" x14ac:dyDescent="0.25">
      <c r="A777" t="s">
        <v>36</v>
      </c>
      <c r="B777" t="s">
        <v>16</v>
      </c>
      <c r="C777" t="s">
        <v>17</v>
      </c>
      <c r="D777" t="s">
        <v>13</v>
      </c>
      <c r="E777" t="s">
        <v>53</v>
      </c>
      <c r="F777" t="s">
        <v>15</v>
      </c>
      <c r="G777">
        <v>7</v>
      </c>
      <c r="H777">
        <v>6</v>
      </c>
      <c r="I777">
        <v>0</v>
      </c>
      <c r="J777">
        <v>4</v>
      </c>
    </row>
    <row r="778" spans="1:10" x14ac:dyDescent="0.25">
      <c r="A778" t="s">
        <v>43</v>
      </c>
      <c r="B778" t="s">
        <v>37</v>
      </c>
      <c r="C778" t="s">
        <v>39</v>
      </c>
      <c r="D778" t="s">
        <v>26</v>
      </c>
      <c r="E778" t="s">
        <v>27</v>
      </c>
      <c r="F778" t="s">
        <v>19</v>
      </c>
      <c r="G778">
        <v>2</v>
      </c>
      <c r="H778">
        <v>1</v>
      </c>
      <c r="I778">
        <v>0</v>
      </c>
      <c r="J778">
        <v>2.7</v>
      </c>
    </row>
    <row r="779" spans="1:10" x14ac:dyDescent="0.25">
      <c r="A779" t="s">
        <v>61</v>
      </c>
      <c r="B779" t="s">
        <v>24</v>
      </c>
      <c r="C779" t="s">
        <v>25</v>
      </c>
      <c r="D779" t="s">
        <v>13</v>
      </c>
      <c r="E779" t="s">
        <v>30</v>
      </c>
      <c r="F779" t="s">
        <v>15</v>
      </c>
      <c r="G779">
        <v>3</v>
      </c>
      <c r="H779">
        <v>2</v>
      </c>
      <c r="I779">
        <v>0</v>
      </c>
      <c r="J779">
        <v>2.1</v>
      </c>
    </row>
    <row r="780" spans="1:10" x14ac:dyDescent="0.25">
      <c r="A780" t="s">
        <v>31</v>
      </c>
      <c r="B780" t="s">
        <v>37</v>
      </c>
      <c r="C780" t="s">
        <v>39</v>
      </c>
      <c r="D780" t="s">
        <v>40</v>
      </c>
      <c r="E780" t="s">
        <v>18</v>
      </c>
      <c r="F780" t="s">
        <v>15</v>
      </c>
      <c r="G780">
        <v>4</v>
      </c>
      <c r="H780">
        <v>4</v>
      </c>
      <c r="I780">
        <v>0</v>
      </c>
      <c r="J780">
        <v>2.8</v>
      </c>
    </row>
    <row r="781" spans="1:10" x14ac:dyDescent="0.25">
      <c r="A781" t="s">
        <v>43</v>
      </c>
      <c r="B781" t="s">
        <v>16</v>
      </c>
      <c r="C781" t="s">
        <v>60</v>
      </c>
      <c r="D781" t="s">
        <v>13</v>
      </c>
      <c r="E781" t="s">
        <v>22</v>
      </c>
      <c r="F781" t="s">
        <v>19</v>
      </c>
      <c r="G781">
        <v>7</v>
      </c>
      <c r="H781">
        <v>6</v>
      </c>
      <c r="I781">
        <v>0</v>
      </c>
      <c r="J781">
        <v>4</v>
      </c>
    </row>
    <row r="782" spans="1:10" x14ac:dyDescent="0.25">
      <c r="A782" t="s">
        <v>31</v>
      </c>
      <c r="B782" t="s">
        <v>48</v>
      </c>
      <c r="C782" t="s">
        <v>49</v>
      </c>
      <c r="D782" t="s">
        <v>32</v>
      </c>
      <c r="E782" t="s">
        <v>30</v>
      </c>
      <c r="F782" t="s">
        <v>19</v>
      </c>
      <c r="G782">
        <v>6</v>
      </c>
      <c r="H782">
        <v>6</v>
      </c>
      <c r="I782">
        <v>0</v>
      </c>
      <c r="J782">
        <v>2.9</v>
      </c>
    </row>
    <row r="783" spans="1:10" x14ac:dyDescent="0.25">
      <c r="A783" t="s">
        <v>36</v>
      </c>
      <c r="B783" t="s">
        <v>24</v>
      </c>
      <c r="C783" t="s">
        <v>25</v>
      </c>
      <c r="D783" t="s">
        <v>32</v>
      </c>
      <c r="E783" t="s">
        <v>53</v>
      </c>
      <c r="F783" t="s">
        <v>19</v>
      </c>
      <c r="G783">
        <v>7</v>
      </c>
      <c r="H783">
        <v>7</v>
      </c>
      <c r="I783">
        <v>1</v>
      </c>
      <c r="J783">
        <v>3.2</v>
      </c>
    </row>
    <row r="784" spans="1:10" x14ac:dyDescent="0.25">
      <c r="A784" t="s">
        <v>31</v>
      </c>
      <c r="B784" t="s">
        <v>56</v>
      </c>
      <c r="C784" t="s">
        <v>62</v>
      </c>
      <c r="D784" t="s">
        <v>22</v>
      </c>
      <c r="E784" t="s">
        <v>14</v>
      </c>
      <c r="F784" t="s">
        <v>19</v>
      </c>
      <c r="G784">
        <v>6</v>
      </c>
      <c r="H784">
        <v>6</v>
      </c>
      <c r="I784">
        <v>0</v>
      </c>
      <c r="J784">
        <v>2.7</v>
      </c>
    </row>
    <row r="785" spans="1:10" x14ac:dyDescent="0.25">
      <c r="A785" t="s">
        <v>45</v>
      </c>
      <c r="B785" t="s">
        <v>16</v>
      </c>
      <c r="C785" t="s">
        <v>17</v>
      </c>
      <c r="D785" t="s">
        <v>32</v>
      </c>
      <c r="E785" t="s">
        <v>22</v>
      </c>
      <c r="F785" t="s">
        <v>19</v>
      </c>
      <c r="G785">
        <v>8</v>
      </c>
      <c r="H785">
        <v>8</v>
      </c>
      <c r="I785">
        <v>0</v>
      </c>
      <c r="J785">
        <v>3.2</v>
      </c>
    </row>
    <row r="786" spans="1:10" x14ac:dyDescent="0.25">
      <c r="A786" t="s">
        <v>33</v>
      </c>
      <c r="B786" t="s">
        <v>11</v>
      </c>
      <c r="C786" t="s">
        <v>12</v>
      </c>
      <c r="D786" t="s">
        <v>22</v>
      </c>
      <c r="E786" t="s">
        <v>18</v>
      </c>
      <c r="F786" t="s">
        <v>15</v>
      </c>
      <c r="G786">
        <v>5</v>
      </c>
      <c r="H786">
        <v>5</v>
      </c>
      <c r="I786">
        <v>0</v>
      </c>
      <c r="J786">
        <v>2.7</v>
      </c>
    </row>
    <row r="787" spans="1:10" x14ac:dyDescent="0.25">
      <c r="A787" t="s">
        <v>36</v>
      </c>
      <c r="B787" t="s">
        <v>28</v>
      </c>
      <c r="C787" t="s">
        <v>29</v>
      </c>
      <c r="D787" t="s">
        <v>26</v>
      </c>
      <c r="E787" t="s">
        <v>22</v>
      </c>
      <c r="F787" t="s">
        <v>15</v>
      </c>
      <c r="G787">
        <v>5</v>
      </c>
      <c r="H787">
        <v>5</v>
      </c>
      <c r="I787">
        <v>0</v>
      </c>
      <c r="J787">
        <v>3.9</v>
      </c>
    </row>
    <row r="788" spans="1:10" x14ac:dyDescent="0.25">
      <c r="A788" t="s">
        <v>43</v>
      </c>
      <c r="B788" t="s">
        <v>46</v>
      </c>
      <c r="C788" t="s">
        <v>47</v>
      </c>
      <c r="D788" t="s">
        <v>22</v>
      </c>
      <c r="E788" t="s">
        <v>14</v>
      </c>
      <c r="F788" t="s">
        <v>19</v>
      </c>
      <c r="G788">
        <v>7</v>
      </c>
      <c r="H788">
        <v>6</v>
      </c>
      <c r="I788">
        <v>0</v>
      </c>
      <c r="J788">
        <v>4.3</v>
      </c>
    </row>
    <row r="789" spans="1:10" x14ac:dyDescent="0.25">
      <c r="A789" t="s">
        <v>20</v>
      </c>
      <c r="B789" t="s">
        <v>48</v>
      </c>
      <c r="C789" t="s">
        <v>63</v>
      </c>
      <c r="D789" t="s">
        <v>32</v>
      </c>
      <c r="E789" t="s">
        <v>22</v>
      </c>
      <c r="F789" t="s">
        <v>19</v>
      </c>
      <c r="G789">
        <v>7</v>
      </c>
      <c r="H789">
        <v>7</v>
      </c>
      <c r="I789">
        <v>0</v>
      </c>
      <c r="J789">
        <v>-0.5</v>
      </c>
    </row>
    <row r="790" spans="1:10" x14ac:dyDescent="0.25">
      <c r="A790" t="s">
        <v>55</v>
      </c>
      <c r="B790" t="s">
        <v>11</v>
      </c>
      <c r="C790" t="s">
        <v>12</v>
      </c>
      <c r="D790" t="s">
        <v>40</v>
      </c>
      <c r="E790" t="s">
        <v>27</v>
      </c>
      <c r="F790" t="s">
        <v>15</v>
      </c>
      <c r="G790">
        <v>3</v>
      </c>
      <c r="H790">
        <v>3</v>
      </c>
      <c r="I790">
        <v>0</v>
      </c>
      <c r="J790">
        <v>2.8</v>
      </c>
    </row>
    <row r="791" spans="1:10" x14ac:dyDescent="0.25">
      <c r="A791" t="s">
        <v>31</v>
      </c>
      <c r="B791" t="s">
        <v>56</v>
      </c>
      <c r="C791" t="s">
        <v>57</v>
      </c>
      <c r="D791" t="s">
        <v>13</v>
      </c>
      <c r="E791" t="s">
        <v>53</v>
      </c>
      <c r="F791" t="s">
        <v>19</v>
      </c>
      <c r="G791">
        <v>3</v>
      </c>
      <c r="H791">
        <v>3</v>
      </c>
      <c r="I791">
        <v>0</v>
      </c>
      <c r="J791">
        <v>4.4000000000000004</v>
      </c>
    </row>
    <row r="792" spans="1:10" x14ac:dyDescent="0.25">
      <c r="A792" t="s">
        <v>50</v>
      </c>
      <c r="B792" t="s">
        <v>48</v>
      </c>
      <c r="C792" t="s">
        <v>63</v>
      </c>
      <c r="D792" t="s">
        <v>22</v>
      </c>
      <c r="E792" t="s">
        <v>30</v>
      </c>
      <c r="F792" t="s">
        <v>15</v>
      </c>
      <c r="G792">
        <v>6</v>
      </c>
      <c r="H792">
        <v>4</v>
      </c>
      <c r="I792">
        <v>2</v>
      </c>
      <c r="J792">
        <v>2.9</v>
      </c>
    </row>
    <row r="793" spans="1:10" x14ac:dyDescent="0.25">
      <c r="A793" t="s">
        <v>31</v>
      </c>
      <c r="B793" t="s">
        <v>11</v>
      </c>
      <c r="C793" t="s">
        <v>12</v>
      </c>
      <c r="D793" t="s">
        <v>13</v>
      </c>
      <c r="E793" t="s">
        <v>22</v>
      </c>
      <c r="F793" t="s">
        <v>19</v>
      </c>
      <c r="G793">
        <v>1</v>
      </c>
      <c r="H793">
        <v>1</v>
      </c>
      <c r="I793">
        <v>0</v>
      </c>
      <c r="J793">
        <v>3.6</v>
      </c>
    </row>
    <row r="794" spans="1:10" x14ac:dyDescent="0.25">
      <c r="A794" t="s">
        <v>45</v>
      </c>
      <c r="B794" t="s">
        <v>48</v>
      </c>
      <c r="C794" t="s">
        <v>63</v>
      </c>
      <c r="D794" t="s">
        <v>13</v>
      </c>
      <c r="E794" t="s">
        <v>22</v>
      </c>
      <c r="F794" t="s">
        <v>19</v>
      </c>
      <c r="G794">
        <v>8</v>
      </c>
      <c r="H794">
        <v>7</v>
      </c>
      <c r="I794">
        <v>0</v>
      </c>
      <c r="J794">
        <v>3.1</v>
      </c>
    </row>
    <row r="795" spans="1:10" x14ac:dyDescent="0.25">
      <c r="A795" t="s">
        <v>61</v>
      </c>
      <c r="B795" t="s">
        <v>46</v>
      </c>
      <c r="C795" t="s">
        <v>47</v>
      </c>
      <c r="D795" t="s">
        <v>21</v>
      </c>
      <c r="E795" t="s">
        <v>27</v>
      </c>
      <c r="F795" t="s">
        <v>15</v>
      </c>
      <c r="G795">
        <v>8</v>
      </c>
      <c r="H795">
        <v>8</v>
      </c>
      <c r="I795">
        <v>0</v>
      </c>
      <c r="J795">
        <v>2.7</v>
      </c>
    </row>
    <row r="796" spans="1:10" x14ac:dyDescent="0.25">
      <c r="A796" t="s">
        <v>59</v>
      </c>
      <c r="B796" t="s">
        <v>24</v>
      </c>
      <c r="C796" t="s">
        <v>64</v>
      </c>
      <c r="D796" t="s">
        <v>32</v>
      </c>
      <c r="E796" t="s">
        <v>14</v>
      </c>
      <c r="F796" t="s">
        <v>19</v>
      </c>
      <c r="G796">
        <v>5</v>
      </c>
      <c r="H796">
        <v>4</v>
      </c>
      <c r="I796">
        <v>0</v>
      </c>
      <c r="J796">
        <v>2.6</v>
      </c>
    </row>
    <row r="797" spans="1:10" x14ac:dyDescent="0.25">
      <c r="A797" t="s">
        <v>61</v>
      </c>
      <c r="B797" t="s">
        <v>34</v>
      </c>
      <c r="C797" t="s">
        <v>35</v>
      </c>
      <c r="D797" t="s">
        <v>26</v>
      </c>
      <c r="E797" t="s">
        <v>18</v>
      </c>
      <c r="F797" t="s">
        <v>19</v>
      </c>
      <c r="G797">
        <v>5</v>
      </c>
      <c r="H797">
        <v>5</v>
      </c>
      <c r="I797">
        <v>1</v>
      </c>
      <c r="J797">
        <v>1.8</v>
      </c>
    </row>
    <row r="798" spans="1:10" x14ac:dyDescent="0.25">
      <c r="A798" t="s">
        <v>31</v>
      </c>
      <c r="B798" t="s">
        <v>37</v>
      </c>
      <c r="C798" t="s">
        <v>38</v>
      </c>
      <c r="D798" t="s">
        <v>22</v>
      </c>
      <c r="E798" t="s">
        <v>30</v>
      </c>
      <c r="F798" t="s">
        <v>15</v>
      </c>
      <c r="G798">
        <v>5</v>
      </c>
      <c r="H798">
        <v>5</v>
      </c>
      <c r="I798">
        <v>0</v>
      </c>
      <c r="J798">
        <v>3</v>
      </c>
    </row>
    <row r="799" spans="1:10" x14ac:dyDescent="0.25">
      <c r="A799" t="s">
        <v>23</v>
      </c>
      <c r="B799" t="s">
        <v>37</v>
      </c>
      <c r="C799" t="s">
        <v>39</v>
      </c>
      <c r="D799" t="s">
        <v>32</v>
      </c>
      <c r="E799" t="s">
        <v>53</v>
      </c>
      <c r="F799" t="s">
        <v>15</v>
      </c>
      <c r="G799">
        <v>6</v>
      </c>
      <c r="H799">
        <v>6</v>
      </c>
      <c r="I799">
        <v>0</v>
      </c>
      <c r="J799">
        <v>1.5</v>
      </c>
    </row>
    <row r="800" spans="1:10" x14ac:dyDescent="0.25">
      <c r="A800" t="s">
        <v>23</v>
      </c>
      <c r="B800" t="s">
        <v>41</v>
      </c>
      <c r="C800" t="s">
        <v>42</v>
      </c>
      <c r="D800" t="s">
        <v>22</v>
      </c>
      <c r="E800" t="s">
        <v>22</v>
      </c>
      <c r="F800" t="s">
        <v>15</v>
      </c>
      <c r="G800">
        <v>5</v>
      </c>
      <c r="H800">
        <v>5</v>
      </c>
      <c r="I800">
        <v>0</v>
      </c>
      <c r="J800">
        <v>4</v>
      </c>
    </row>
    <row r="801" spans="1:10" x14ac:dyDescent="0.25">
      <c r="A801" t="s">
        <v>59</v>
      </c>
      <c r="B801" t="s">
        <v>34</v>
      </c>
      <c r="C801" t="s">
        <v>35</v>
      </c>
      <c r="D801" t="s">
        <v>13</v>
      </c>
      <c r="E801" t="s">
        <v>14</v>
      </c>
      <c r="F801" t="s">
        <v>15</v>
      </c>
      <c r="G801">
        <v>3</v>
      </c>
      <c r="H801">
        <v>3</v>
      </c>
      <c r="I801">
        <v>0</v>
      </c>
      <c r="J801">
        <v>2.2999999999999998</v>
      </c>
    </row>
    <row r="802" spans="1:10" x14ac:dyDescent="0.25">
      <c r="A802" t="s">
        <v>50</v>
      </c>
      <c r="B802" t="s">
        <v>56</v>
      </c>
      <c r="C802" t="s">
        <v>62</v>
      </c>
      <c r="D802" t="s">
        <v>26</v>
      </c>
      <c r="E802" t="s">
        <v>18</v>
      </c>
      <c r="F802" t="s">
        <v>15</v>
      </c>
      <c r="G802">
        <v>5</v>
      </c>
      <c r="H802">
        <v>5</v>
      </c>
      <c r="I802">
        <v>0</v>
      </c>
      <c r="J802">
        <v>2.6</v>
      </c>
    </row>
    <row r="803" spans="1:10" x14ac:dyDescent="0.25">
      <c r="A803" t="s">
        <v>31</v>
      </c>
      <c r="B803" t="s">
        <v>34</v>
      </c>
      <c r="C803" t="s">
        <v>35</v>
      </c>
      <c r="D803" t="s">
        <v>21</v>
      </c>
      <c r="E803" t="s">
        <v>22</v>
      </c>
      <c r="F803" t="s">
        <v>15</v>
      </c>
      <c r="G803">
        <v>3</v>
      </c>
      <c r="H803">
        <v>3</v>
      </c>
      <c r="I803">
        <v>0</v>
      </c>
      <c r="J803">
        <v>3.2</v>
      </c>
    </row>
    <row r="804" spans="1:10" x14ac:dyDescent="0.25">
      <c r="A804" t="s">
        <v>50</v>
      </c>
      <c r="B804" t="s">
        <v>34</v>
      </c>
      <c r="C804" t="s">
        <v>51</v>
      </c>
      <c r="D804" t="s">
        <v>22</v>
      </c>
      <c r="E804" t="s">
        <v>18</v>
      </c>
      <c r="F804" t="s">
        <v>15</v>
      </c>
      <c r="G804">
        <v>5</v>
      </c>
      <c r="H804">
        <v>5</v>
      </c>
      <c r="I804">
        <v>0</v>
      </c>
      <c r="J804">
        <v>3.7</v>
      </c>
    </row>
    <row r="805" spans="1:10" x14ac:dyDescent="0.25">
      <c r="A805" t="s">
        <v>33</v>
      </c>
      <c r="B805" t="s">
        <v>11</v>
      </c>
      <c r="C805" t="s">
        <v>12</v>
      </c>
      <c r="D805" t="s">
        <v>26</v>
      </c>
      <c r="E805" t="s">
        <v>14</v>
      </c>
      <c r="F805" t="s">
        <v>15</v>
      </c>
      <c r="G805">
        <v>6</v>
      </c>
      <c r="H805">
        <v>5</v>
      </c>
      <c r="I805">
        <v>1</v>
      </c>
      <c r="J805">
        <v>3.1</v>
      </c>
    </row>
    <row r="806" spans="1:10" x14ac:dyDescent="0.25">
      <c r="A806" t="s">
        <v>20</v>
      </c>
      <c r="B806" t="s">
        <v>28</v>
      </c>
      <c r="C806" t="s">
        <v>29</v>
      </c>
      <c r="D806" t="s">
        <v>22</v>
      </c>
      <c r="E806" t="s">
        <v>14</v>
      </c>
      <c r="F806" t="s">
        <v>15</v>
      </c>
      <c r="G806">
        <v>3</v>
      </c>
      <c r="H806">
        <v>3</v>
      </c>
      <c r="I806">
        <v>0</v>
      </c>
      <c r="J806">
        <v>3.3</v>
      </c>
    </row>
    <row r="807" spans="1:10" x14ac:dyDescent="0.25">
      <c r="A807" t="s">
        <v>33</v>
      </c>
      <c r="B807" t="s">
        <v>16</v>
      </c>
      <c r="C807" t="s">
        <v>17</v>
      </c>
      <c r="D807" t="s">
        <v>32</v>
      </c>
      <c r="E807" t="s">
        <v>18</v>
      </c>
      <c r="F807" t="s">
        <v>19</v>
      </c>
      <c r="G807">
        <v>8</v>
      </c>
      <c r="H807">
        <v>6</v>
      </c>
      <c r="I807">
        <v>1</v>
      </c>
      <c r="J807">
        <v>2.8</v>
      </c>
    </row>
    <row r="808" spans="1:10" x14ac:dyDescent="0.25">
      <c r="A808" t="s">
        <v>59</v>
      </c>
      <c r="B808" t="s">
        <v>28</v>
      </c>
      <c r="C808" t="s">
        <v>29</v>
      </c>
      <c r="D808" t="s">
        <v>32</v>
      </c>
      <c r="E808" t="s">
        <v>18</v>
      </c>
      <c r="F808" t="s">
        <v>15</v>
      </c>
      <c r="G808">
        <v>3</v>
      </c>
      <c r="H808">
        <v>3</v>
      </c>
      <c r="I808">
        <v>0</v>
      </c>
      <c r="J808">
        <v>4.5999999999999996</v>
      </c>
    </row>
    <row r="809" spans="1:10" x14ac:dyDescent="0.25">
      <c r="A809" t="s">
        <v>55</v>
      </c>
      <c r="B809" t="s">
        <v>56</v>
      </c>
      <c r="C809" t="s">
        <v>57</v>
      </c>
      <c r="D809" t="s">
        <v>22</v>
      </c>
      <c r="E809" t="s">
        <v>18</v>
      </c>
      <c r="F809" t="s">
        <v>19</v>
      </c>
      <c r="G809">
        <v>2</v>
      </c>
      <c r="H809">
        <v>1</v>
      </c>
      <c r="I809">
        <v>0</v>
      </c>
      <c r="J809">
        <v>1.3</v>
      </c>
    </row>
    <row r="810" spans="1:10" x14ac:dyDescent="0.25">
      <c r="A810" t="s">
        <v>45</v>
      </c>
      <c r="B810" t="s">
        <v>41</v>
      </c>
      <c r="C810" t="s">
        <v>42</v>
      </c>
      <c r="D810" t="s">
        <v>13</v>
      </c>
      <c r="E810" t="s">
        <v>30</v>
      </c>
      <c r="F810" t="s">
        <v>15</v>
      </c>
      <c r="G810">
        <v>4</v>
      </c>
      <c r="H810">
        <v>4</v>
      </c>
      <c r="I810">
        <v>0</v>
      </c>
      <c r="J810">
        <v>1.2</v>
      </c>
    </row>
    <row r="811" spans="1:10" x14ac:dyDescent="0.25">
      <c r="A811" t="s">
        <v>43</v>
      </c>
      <c r="B811" t="s">
        <v>34</v>
      </c>
      <c r="C811" t="s">
        <v>51</v>
      </c>
      <c r="D811" t="s">
        <v>32</v>
      </c>
      <c r="E811" t="s">
        <v>14</v>
      </c>
      <c r="F811" t="s">
        <v>19</v>
      </c>
      <c r="G811">
        <v>3</v>
      </c>
      <c r="H811">
        <v>3</v>
      </c>
      <c r="I811">
        <v>0</v>
      </c>
      <c r="J811">
        <v>3.3</v>
      </c>
    </row>
    <row r="812" spans="1:10" x14ac:dyDescent="0.25">
      <c r="A812" t="s">
        <v>59</v>
      </c>
      <c r="B812" t="s">
        <v>16</v>
      </c>
      <c r="C812" t="s">
        <v>17</v>
      </c>
      <c r="D812" t="s">
        <v>21</v>
      </c>
      <c r="E812" t="s">
        <v>22</v>
      </c>
      <c r="F812" t="s">
        <v>19</v>
      </c>
      <c r="G812">
        <v>7</v>
      </c>
      <c r="H812">
        <v>6</v>
      </c>
      <c r="I812">
        <v>0</v>
      </c>
      <c r="J812">
        <v>1.4</v>
      </c>
    </row>
    <row r="813" spans="1:10" x14ac:dyDescent="0.25">
      <c r="A813" t="s">
        <v>20</v>
      </c>
      <c r="B813" t="s">
        <v>48</v>
      </c>
      <c r="C813" t="s">
        <v>49</v>
      </c>
      <c r="D813" t="s">
        <v>32</v>
      </c>
      <c r="E813" t="s">
        <v>14</v>
      </c>
      <c r="F813" t="s">
        <v>19</v>
      </c>
      <c r="G813">
        <v>5</v>
      </c>
      <c r="H813">
        <v>4</v>
      </c>
      <c r="I813">
        <v>0</v>
      </c>
      <c r="J813">
        <v>2.6</v>
      </c>
    </row>
    <row r="814" spans="1:10" x14ac:dyDescent="0.25">
      <c r="A814" t="s">
        <v>31</v>
      </c>
      <c r="B814" t="s">
        <v>34</v>
      </c>
      <c r="C814" t="s">
        <v>51</v>
      </c>
      <c r="D814" t="s">
        <v>40</v>
      </c>
      <c r="E814" t="s">
        <v>22</v>
      </c>
      <c r="F814" t="s">
        <v>19</v>
      </c>
      <c r="G814">
        <v>5</v>
      </c>
      <c r="H814">
        <v>5</v>
      </c>
      <c r="I814">
        <v>0</v>
      </c>
      <c r="J814">
        <v>1.8</v>
      </c>
    </row>
    <row r="815" spans="1:10" x14ac:dyDescent="0.25">
      <c r="A815" t="s">
        <v>20</v>
      </c>
      <c r="B815" t="s">
        <v>46</v>
      </c>
      <c r="C815" t="s">
        <v>54</v>
      </c>
      <c r="D815" t="s">
        <v>21</v>
      </c>
      <c r="E815" t="s">
        <v>18</v>
      </c>
      <c r="F815" t="s">
        <v>19</v>
      </c>
      <c r="G815">
        <v>3</v>
      </c>
      <c r="H815">
        <v>2</v>
      </c>
      <c r="I815">
        <v>0</v>
      </c>
      <c r="J815">
        <v>4</v>
      </c>
    </row>
    <row r="816" spans="1:10" x14ac:dyDescent="0.25">
      <c r="A816" t="s">
        <v>20</v>
      </c>
      <c r="B816" t="s">
        <v>48</v>
      </c>
      <c r="C816" t="s">
        <v>63</v>
      </c>
      <c r="D816" t="s">
        <v>13</v>
      </c>
      <c r="E816" t="s">
        <v>18</v>
      </c>
      <c r="F816" t="s">
        <v>19</v>
      </c>
      <c r="G816">
        <v>3</v>
      </c>
      <c r="H816">
        <v>3</v>
      </c>
      <c r="I816">
        <v>0</v>
      </c>
      <c r="J816">
        <v>1.6</v>
      </c>
    </row>
    <row r="817" spans="1:10" x14ac:dyDescent="0.25">
      <c r="A817" t="s">
        <v>43</v>
      </c>
      <c r="B817" t="s">
        <v>48</v>
      </c>
      <c r="C817" t="s">
        <v>49</v>
      </c>
      <c r="D817" t="s">
        <v>22</v>
      </c>
      <c r="E817" t="s">
        <v>22</v>
      </c>
      <c r="F817" t="s">
        <v>15</v>
      </c>
      <c r="G817">
        <v>5</v>
      </c>
      <c r="H817">
        <v>5</v>
      </c>
      <c r="I817">
        <v>0</v>
      </c>
      <c r="J817">
        <v>4.2</v>
      </c>
    </row>
    <row r="818" spans="1:10" x14ac:dyDescent="0.25">
      <c r="A818" t="s">
        <v>36</v>
      </c>
      <c r="B818" t="s">
        <v>41</v>
      </c>
      <c r="C818" t="s">
        <v>42</v>
      </c>
      <c r="D818" t="s">
        <v>26</v>
      </c>
      <c r="E818" t="s">
        <v>22</v>
      </c>
      <c r="F818" t="s">
        <v>19</v>
      </c>
      <c r="G818">
        <v>7</v>
      </c>
      <c r="H818">
        <v>7</v>
      </c>
      <c r="I818">
        <v>1</v>
      </c>
      <c r="J818">
        <v>1.6</v>
      </c>
    </row>
    <row r="819" spans="1:10" x14ac:dyDescent="0.25">
      <c r="A819" t="s">
        <v>23</v>
      </c>
      <c r="B819" t="s">
        <v>48</v>
      </c>
      <c r="C819" t="s">
        <v>63</v>
      </c>
      <c r="D819" t="s">
        <v>40</v>
      </c>
      <c r="E819" t="s">
        <v>14</v>
      </c>
      <c r="F819" t="s">
        <v>15</v>
      </c>
      <c r="G819">
        <v>6</v>
      </c>
      <c r="H819">
        <v>5</v>
      </c>
      <c r="I819">
        <v>0</v>
      </c>
      <c r="J819">
        <v>1.6</v>
      </c>
    </row>
    <row r="820" spans="1:10" x14ac:dyDescent="0.25">
      <c r="A820" t="s">
        <v>33</v>
      </c>
      <c r="B820" t="s">
        <v>24</v>
      </c>
      <c r="C820" t="s">
        <v>64</v>
      </c>
      <c r="D820" t="s">
        <v>32</v>
      </c>
      <c r="E820" t="s">
        <v>14</v>
      </c>
      <c r="F820" t="s">
        <v>15</v>
      </c>
      <c r="G820">
        <v>3</v>
      </c>
      <c r="H820">
        <v>2</v>
      </c>
      <c r="I820">
        <v>0</v>
      </c>
      <c r="J820">
        <v>2.1</v>
      </c>
    </row>
    <row r="821" spans="1:10" x14ac:dyDescent="0.25">
      <c r="A821" t="s">
        <v>23</v>
      </c>
      <c r="B821" t="s">
        <v>48</v>
      </c>
      <c r="C821" t="s">
        <v>49</v>
      </c>
      <c r="D821" t="s">
        <v>40</v>
      </c>
      <c r="E821" t="s">
        <v>22</v>
      </c>
      <c r="F821" t="s">
        <v>19</v>
      </c>
      <c r="G821">
        <v>8</v>
      </c>
      <c r="H821">
        <v>8</v>
      </c>
      <c r="I821">
        <v>0</v>
      </c>
      <c r="J821">
        <v>2.6</v>
      </c>
    </row>
    <row r="822" spans="1:10" x14ac:dyDescent="0.25">
      <c r="A822" t="s">
        <v>61</v>
      </c>
      <c r="B822" t="s">
        <v>24</v>
      </c>
      <c r="C822" t="s">
        <v>64</v>
      </c>
      <c r="D822" t="s">
        <v>13</v>
      </c>
      <c r="E822" t="s">
        <v>53</v>
      </c>
      <c r="F822" t="s">
        <v>15</v>
      </c>
      <c r="G822">
        <v>3</v>
      </c>
      <c r="H822">
        <v>2</v>
      </c>
      <c r="I822">
        <v>0</v>
      </c>
      <c r="J822">
        <v>3.5</v>
      </c>
    </row>
    <row r="823" spans="1:10" x14ac:dyDescent="0.25">
      <c r="A823" t="s">
        <v>36</v>
      </c>
      <c r="B823" t="s">
        <v>34</v>
      </c>
      <c r="C823" t="s">
        <v>51</v>
      </c>
      <c r="D823" t="s">
        <v>32</v>
      </c>
      <c r="E823" t="s">
        <v>53</v>
      </c>
      <c r="F823" t="s">
        <v>15</v>
      </c>
      <c r="G823">
        <v>5</v>
      </c>
      <c r="H823">
        <v>5</v>
      </c>
      <c r="I823">
        <v>0</v>
      </c>
      <c r="J823">
        <v>5</v>
      </c>
    </row>
    <row r="824" spans="1:10" x14ac:dyDescent="0.25">
      <c r="A824" t="s">
        <v>33</v>
      </c>
      <c r="B824" t="s">
        <v>56</v>
      </c>
      <c r="C824" t="s">
        <v>57</v>
      </c>
      <c r="D824" t="s">
        <v>21</v>
      </c>
      <c r="E824" t="s">
        <v>22</v>
      </c>
      <c r="F824" t="s">
        <v>19</v>
      </c>
      <c r="G824">
        <v>4</v>
      </c>
      <c r="H824">
        <v>4</v>
      </c>
      <c r="I824">
        <v>1</v>
      </c>
      <c r="J824">
        <v>2</v>
      </c>
    </row>
    <row r="825" spans="1:10" x14ac:dyDescent="0.25">
      <c r="A825" t="s">
        <v>61</v>
      </c>
      <c r="B825" t="s">
        <v>28</v>
      </c>
      <c r="C825" t="s">
        <v>58</v>
      </c>
      <c r="D825" t="s">
        <v>26</v>
      </c>
      <c r="E825" t="s">
        <v>14</v>
      </c>
      <c r="F825" t="s">
        <v>15</v>
      </c>
      <c r="G825">
        <v>4</v>
      </c>
      <c r="H825">
        <v>3</v>
      </c>
      <c r="I825">
        <v>0</v>
      </c>
      <c r="J825">
        <v>2.2000000000000002</v>
      </c>
    </row>
    <row r="826" spans="1:10" x14ac:dyDescent="0.25">
      <c r="A826" t="s">
        <v>36</v>
      </c>
      <c r="B826" t="s">
        <v>16</v>
      </c>
      <c r="C826" t="s">
        <v>17</v>
      </c>
      <c r="D826" t="s">
        <v>13</v>
      </c>
      <c r="E826" t="s">
        <v>53</v>
      </c>
      <c r="F826" t="s">
        <v>15</v>
      </c>
      <c r="G826">
        <v>5</v>
      </c>
      <c r="H826">
        <v>5</v>
      </c>
      <c r="I826">
        <v>0</v>
      </c>
      <c r="J826">
        <v>4.2</v>
      </c>
    </row>
    <row r="827" spans="1:10" x14ac:dyDescent="0.25">
      <c r="A827" t="s">
        <v>50</v>
      </c>
      <c r="B827" t="s">
        <v>34</v>
      </c>
      <c r="C827" t="s">
        <v>51</v>
      </c>
      <c r="D827" t="s">
        <v>40</v>
      </c>
      <c r="E827" t="s">
        <v>14</v>
      </c>
      <c r="F827" t="s">
        <v>19</v>
      </c>
      <c r="G827">
        <v>5</v>
      </c>
      <c r="H827">
        <v>5</v>
      </c>
      <c r="I827">
        <v>0</v>
      </c>
      <c r="J827">
        <v>3</v>
      </c>
    </row>
    <row r="828" spans="1:10" x14ac:dyDescent="0.25">
      <c r="A828" t="s">
        <v>61</v>
      </c>
      <c r="B828" t="s">
        <v>11</v>
      </c>
      <c r="C828" t="s">
        <v>12</v>
      </c>
      <c r="D828" t="s">
        <v>13</v>
      </c>
      <c r="E828" t="s">
        <v>18</v>
      </c>
      <c r="F828" t="s">
        <v>19</v>
      </c>
      <c r="G828">
        <v>3</v>
      </c>
      <c r="H828">
        <v>3</v>
      </c>
      <c r="I828">
        <v>0</v>
      </c>
      <c r="J828">
        <v>3.3</v>
      </c>
    </row>
    <row r="829" spans="1:10" x14ac:dyDescent="0.25">
      <c r="A829" t="s">
        <v>31</v>
      </c>
      <c r="B829" t="s">
        <v>37</v>
      </c>
      <c r="C829" t="s">
        <v>39</v>
      </c>
      <c r="D829" t="s">
        <v>21</v>
      </c>
      <c r="E829" t="s">
        <v>30</v>
      </c>
      <c r="F829" t="s">
        <v>19</v>
      </c>
      <c r="G829">
        <v>5</v>
      </c>
      <c r="H829">
        <v>5</v>
      </c>
      <c r="I829">
        <v>0</v>
      </c>
      <c r="J829">
        <v>3.1</v>
      </c>
    </row>
    <row r="830" spans="1:10" x14ac:dyDescent="0.25">
      <c r="A830" t="s">
        <v>31</v>
      </c>
      <c r="B830" t="s">
        <v>56</v>
      </c>
      <c r="C830" t="s">
        <v>62</v>
      </c>
      <c r="D830" t="s">
        <v>22</v>
      </c>
      <c r="E830" t="s">
        <v>14</v>
      </c>
      <c r="F830" t="s">
        <v>19</v>
      </c>
      <c r="G830">
        <v>8</v>
      </c>
      <c r="H830">
        <v>6</v>
      </c>
      <c r="I830">
        <v>0</v>
      </c>
      <c r="J830">
        <v>3.7</v>
      </c>
    </row>
    <row r="831" spans="1:10" x14ac:dyDescent="0.25">
      <c r="A831" t="s">
        <v>50</v>
      </c>
      <c r="B831" t="s">
        <v>46</v>
      </c>
      <c r="C831" t="s">
        <v>54</v>
      </c>
      <c r="D831" t="s">
        <v>32</v>
      </c>
      <c r="E831" t="s">
        <v>14</v>
      </c>
      <c r="F831" t="s">
        <v>19</v>
      </c>
      <c r="G831">
        <v>2</v>
      </c>
      <c r="H831">
        <v>2</v>
      </c>
      <c r="I831">
        <v>0</v>
      </c>
      <c r="J831">
        <v>0.8</v>
      </c>
    </row>
    <row r="832" spans="1:10" x14ac:dyDescent="0.25">
      <c r="A832" t="s">
        <v>50</v>
      </c>
      <c r="B832" t="s">
        <v>28</v>
      </c>
      <c r="C832" t="s">
        <v>58</v>
      </c>
      <c r="D832" t="s">
        <v>26</v>
      </c>
      <c r="E832" t="s">
        <v>18</v>
      </c>
      <c r="F832" t="s">
        <v>19</v>
      </c>
      <c r="G832">
        <v>5</v>
      </c>
      <c r="H832">
        <v>5</v>
      </c>
      <c r="I832">
        <v>0</v>
      </c>
      <c r="J832">
        <v>2.2000000000000002</v>
      </c>
    </row>
    <row r="833" spans="1:10" x14ac:dyDescent="0.25">
      <c r="A833" t="s">
        <v>45</v>
      </c>
      <c r="B833" t="s">
        <v>46</v>
      </c>
      <c r="C833" t="s">
        <v>47</v>
      </c>
      <c r="D833" t="s">
        <v>22</v>
      </c>
      <c r="E833" t="s">
        <v>27</v>
      </c>
      <c r="F833" t="s">
        <v>19</v>
      </c>
      <c r="G833">
        <v>3</v>
      </c>
      <c r="H833">
        <v>2</v>
      </c>
      <c r="I833">
        <v>0</v>
      </c>
      <c r="J833">
        <v>4.8</v>
      </c>
    </row>
    <row r="834" spans="1:10" x14ac:dyDescent="0.25">
      <c r="A834" t="s">
        <v>61</v>
      </c>
      <c r="B834" t="s">
        <v>28</v>
      </c>
      <c r="C834" t="s">
        <v>29</v>
      </c>
      <c r="D834" t="s">
        <v>40</v>
      </c>
      <c r="E834" t="s">
        <v>53</v>
      </c>
      <c r="F834" t="s">
        <v>15</v>
      </c>
      <c r="G834">
        <v>4</v>
      </c>
      <c r="H834">
        <v>1</v>
      </c>
      <c r="I834">
        <v>0</v>
      </c>
      <c r="J834">
        <v>2</v>
      </c>
    </row>
    <row r="835" spans="1:10" x14ac:dyDescent="0.25">
      <c r="A835" t="s">
        <v>20</v>
      </c>
      <c r="B835" t="s">
        <v>11</v>
      </c>
      <c r="C835" t="s">
        <v>52</v>
      </c>
      <c r="D835" t="s">
        <v>21</v>
      </c>
      <c r="E835" t="s">
        <v>30</v>
      </c>
      <c r="F835" t="s">
        <v>19</v>
      </c>
      <c r="G835">
        <v>6</v>
      </c>
      <c r="H835">
        <v>6</v>
      </c>
      <c r="I835">
        <v>0</v>
      </c>
      <c r="J835">
        <v>3.5</v>
      </c>
    </row>
    <row r="836" spans="1:10" x14ac:dyDescent="0.25">
      <c r="A836" t="s">
        <v>43</v>
      </c>
      <c r="B836" t="s">
        <v>11</v>
      </c>
      <c r="C836" t="s">
        <v>12</v>
      </c>
      <c r="D836" t="s">
        <v>21</v>
      </c>
      <c r="E836" t="s">
        <v>18</v>
      </c>
      <c r="F836" t="s">
        <v>15</v>
      </c>
      <c r="G836">
        <v>5</v>
      </c>
      <c r="H836">
        <v>4</v>
      </c>
      <c r="I836">
        <v>1</v>
      </c>
      <c r="J836">
        <v>4.0999999999999996</v>
      </c>
    </row>
    <row r="837" spans="1:10" x14ac:dyDescent="0.25">
      <c r="A837" t="s">
        <v>61</v>
      </c>
      <c r="B837" t="s">
        <v>24</v>
      </c>
      <c r="C837" t="s">
        <v>64</v>
      </c>
      <c r="D837" t="s">
        <v>22</v>
      </c>
      <c r="E837" t="s">
        <v>27</v>
      </c>
      <c r="F837" t="s">
        <v>15</v>
      </c>
      <c r="G837">
        <v>8</v>
      </c>
      <c r="H837">
        <v>7</v>
      </c>
      <c r="I837">
        <v>0</v>
      </c>
      <c r="J837">
        <v>2.8</v>
      </c>
    </row>
    <row r="838" spans="1:10" x14ac:dyDescent="0.25">
      <c r="A838" t="s">
        <v>23</v>
      </c>
      <c r="B838" t="s">
        <v>16</v>
      </c>
      <c r="C838" t="s">
        <v>60</v>
      </c>
      <c r="D838" t="s">
        <v>40</v>
      </c>
      <c r="E838" t="s">
        <v>14</v>
      </c>
      <c r="F838" t="s">
        <v>19</v>
      </c>
      <c r="G838">
        <v>4</v>
      </c>
      <c r="H838">
        <v>4</v>
      </c>
      <c r="I838">
        <v>0</v>
      </c>
      <c r="J838">
        <v>3</v>
      </c>
    </row>
    <row r="839" spans="1:10" x14ac:dyDescent="0.25">
      <c r="A839" t="s">
        <v>55</v>
      </c>
      <c r="B839" t="s">
        <v>37</v>
      </c>
      <c r="C839" t="s">
        <v>39</v>
      </c>
      <c r="D839" t="s">
        <v>21</v>
      </c>
      <c r="E839" t="s">
        <v>14</v>
      </c>
      <c r="F839" t="s">
        <v>19</v>
      </c>
      <c r="G839">
        <v>3</v>
      </c>
      <c r="H839">
        <v>3</v>
      </c>
      <c r="I839">
        <v>0</v>
      </c>
      <c r="J839">
        <v>2.6</v>
      </c>
    </row>
    <row r="840" spans="1:10" x14ac:dyDescent="0.25">
      <c r="A840" t="s">
        <v>31</v>
      </c>
      <c r="B840" t="s">
        <v>28</v>
      </c>
      <c r="C840" t="s">
        <v>29</v>
      </c>
      <c r="D840" t="s">
        <v>40</v>
      </c>
      <c r="E840" t="s">
        <v>18</v>
      </c>
      <c r="F840" t="s">
        <v>19</v>
      </c>
      <c r="G840">
        <v>3</v>
      </c>
      <c r="H840">
        <v>3</v>
      </c>
      <c r="I840">
        <v>0</v>
      </c>
      <c r="J840">
        <v>3.6</v>
      </c>
    </row>
    <row r="841" spans="1:10" x14ac:dyDescent="0.25">
      <c r="A841" t="s">
        <v>50</v>
      </c>
      <c r="B841" t="s">
        <v>56</v>
      </c>
      <c r="C841" t="s">
        <v>62</v>
      </c>
      <c r="D841" t="s">
        <v>32</v>
      </c>
      <c r="E841" t="s">
        <v>22</v>
      </c>
      <c r="F841" t="s">
        <v>19</v>
      </c>
      <c r="G841">
        <v>5</v>
      </c>
      <c r="H841">
        <v>4</v>
      </c>
      <c r="I841">
        <v>1</v>
      </c>
      <c r="J841">
        <v>3.7</v>
      </c>
    </row>
    <row r="842" spans="1:10" x14ac:dyDescent="0.25">
      <c r="A842" t="s">
        <v>50</v>
      </c>
      <c r="B842" t="s">
        <v>28</v>
      </c>
      <c r="C842" t="s">
        <v>58</v>
      </c>
      <c r="D842" t="s">
        <v>13</v>
      </c>
      <c r="E842" t="s">
        <v>30</v>
      </c>
      <c r="F842" t="s">
        <v>19</v>
      </c>
      <c r="G842">
        <v>6</v>
      </c>
      <c r="H842">
        <v>5</v>
      </c>
      <c r="I842">
        <v>0</v>
      </c>
      <c r="J842">
        <v>3.1</v>
      </c>
    </row>
    <row r="843" spans="1:10" x14ac:dyDescent="0.25">
      <c r="A843" t="s">
        <v>59</v>
      </c>
      <c r="B843" t="s">
        <v>34</v>
      </c>
      <c r="C843" t="s">
        <v>35</v>
      </c>
      <c r="D843" t="s">
        <v>40</v>
      </c>
      <c r="E843" t="s">
        <v>53</v>
      </c>
      <c r="F843" t="s">
        <v>19</v>
      </c>
      <c r="G843">
        <v>5</v>
      </c>
      <c r="H843">
        <v>3</v>
      </c>
      <c r="I843">
        <v>0</v>
      </c>
      <c r="J843">
        <v>4</v>
      </c>
    </row>
    <row r="844" spans="1:10" x14ac:dyDescent="0.25">
      <c r="A844" t="s">
        <v>31</v>
      </c>
      <c r="B844" t="s">
        <v>16</v>
      </c>
      <c r="C844" t="s">
        <v>60</v>
      </c>
      <c r="D844" t="s">
        <v>32</v>
      </c>
      <c r="E844" t="s">
        <v>18</v>
      </c>
      <c r="F844" t="s">
        <v>19</v>
      </c>
      <c r="G844">
        <v>5</v>
      </c>
      <c r="H844">
        <v>5</v>
      </c>
      <c r="I844">
        <v>1</v>
      </c>
      <c r="J844">
        <v>3.6</v>
      </c>
    </row>
    <row r="845" spans="1:10" x14ac:dyDescent="0.25">
      <c r="A845" t="s">
        <v>55</v>
      </c>
      <c r="B845" t="s">
        <v>37</v>
      </c>
      <c r="C845" t="s">
        <v>38</v>
      </c>
      <c r="D845" t="s">
        <v>32</v>
      </c>
      <c r="E845" t="s">
        <v>14</v>
      </c>
      <c r="F845" t="s">
        <v>15</v>
      </c>
      <c r="G845">
        <v>9</v>
      </c>
      <c r="H845">
        <v>9</v>
      </c>
      <c r="I845">
        <v>0</v>
      </c>
      <c r="J845">
        <v>1.5</v>
      </c>
    </row>
    <row r="846" spans="1:10" x14ac:dyDescent="0.25">
      <c r="A846" t="s">
        <v>10</v>
      </c>
      <c r="B846" t="s">
        <v>16</v>
      </c>
      <c r="C846" t="s">
        <v>17</v>
      </c>
      <c r="D846" t="s">
        <v>21</v>
      </c>
      <c r="E846" t="s">
        <v>27</v>
      </c>
      <c r="F846" t="s">
        <v>15</v>
      </c>
      <c r="G846">
        <v>4</v>
      </c>
      <c r="H846">
        <v>4</v>
      </c>
      <c r="I846">
        <v>0</v>
      </c>
      <c r="J846">
        <v>2.2000000000000002</v>
      </c>
    </row>
    <row r="847" spans="1:10" x14ac:dyDescent="0.25">
      <c r="A847" t="s">
        <v>10</v>
      </c>
      <c r="B847" t="s">
        <v>37</v>
      </c>
      <c r="C847" t="s">
        <v>39</v>
      </c>
      <c r="D847" t="s">
        <v>32</v>
      </c>
      <c r="E847" t="s">
        <v>14</v>
      </c>
      <c r="F847" t="s">
        <v>19</v>
      </c>
      <c r="G847">
        <v>7</v>
      </c>
      <c r="H847">
        <v>6</v>
      </c>
      <c r="I847">
        <v>1</v>
      </c>
      <c r="J847">
        <v>2.9</v>
      </c>
    </row>
    <row r="848" spans="1:10" x14ac:dyDescent="0.25">
      <c r="A848" t="s">
        <v>33</v>
      </c>
      <c r="B848" t="s">
        <v>46</v>
      </c>
      <c r="C848" t="s">
        <v>54</v>
      </c>
      <c r="D848" t="s">
        <v>21</v>
      </c>
      <c r="E848" t="s">
        <v>53</v>
      </c>
      <c r="F848" t="s">
        <v>15</v>
      </c>
      <c r="G848">
        <v>2</v>
      </c>
      <c r="H848">
        <v>1</v>
      </c>
      <c r="I848">
        <v>0</v>
      </c>
      <c r="J848">
        <v>1.9</v>
      </c>
    </row>
    <row r="849" spans="1:10" x14ac:dyDescent="0.25">
      <c r="A849" t="s">
        <v>50</v>
      </c>
      <c r="B849" t="s">
        <v>41</v>
      </c>
      <c r="C849" t="s">
        <v>44</v>
      </c>
      <c r="D849" t="s">
        <v>26</v>
      </c>
      <c r="E849" t="s">
        <v>18</v>
      </c>
      <c r="F849" t="s">
        <v>19</v>
      </c>
      <c r="G849">
        <v>0</v>
      </c>
      <c r="H849">
        <v>0</v>
      </c>
      <c r="I849">
        <v>0</v>
      </c>
      <c r="J849">
        <v>3.1</v>
      </c>
    </row>
    <row r="850" spans="1:10" x14ac:dyDescent="0.25">
      <c r="A850" t="s">
        <v>20</v>
      </c>
      <c r="B850" t="s">
        <v>37</v>
      </c>
      <c r="C850" t="s">
        <v>39</v>
      </c>
      <c r="D850" t="s">
        <v>21</v>
      </c>
      <c r="E850" t="s">
        <v>14</v>
      </c>
      <c r="F850" t="s">
        <v>19</v>
      </c>
      <c r="G850">
        <v>4</v>
      </c>
      <c r="H850">
        <v>4</v>
      </c>
      <c r="I850">
        <v>0</v>
      </c>
      <c r="J850">
        <v>2.1</v>
      </c>
    </row>
    <row r="851" spans="1:10" x14ac:dyDescent="0.25">
      <c r="A851" t="s">
        <v>31</v>
      </c>
      <c r="B851" t="s">
        <v>16</v>
      </c>
      <c r="C851" t="s">
        <v>60</v>
      </c>
      <c r="D851" t="s">
        <v>22</v>
      </c>
      <c r="E851" t="s">
        <v>14</v>
      </c>
      <c r="F851" t="s">
        <v>15</v>
      </c>
      <c r="G851">
        <v>6</v>
      </c>
      <c r="H851">
        <v>5</v>
      </c>
      <c r="I851">
        <v>0</v>
      </c>
      <c r="J851">
        <v>4.0999999999999996</v>
      </c>
    </row>
    <row r="852" spans="1:10" x14ac:dyDescent="0.25">
      <c r="A852" t="s">
        <v>50</v>
      </c>
      <c r="B852" t="s">
        <v>11</v>
      </c>
      <c r="C852" t="s">
        <v>12</v>
      </c>
      <c r="D852" t="s">
        <v>32</v>
      </c>
      <c r="E852" t="s">
        <v>22</v>
      </c>
      <c r="F852" t="s">
        <v>15</v>
      </c>
      <c r="G852">
        <v>6</v>
      </c>
      <c r="H852">
        <v>5</v>
      </c>
      <c r="I852">
        <v>0</v>
      </c>
      <c r="J852">
        <v>4.5</v>
      </c>
    </row>
    <row r="853" spans="1:10" x14ac:dyDescent="0.25">
      <c r="A853" t="s">
        <v>36</v>
      </c>
      <c r="B853" t="s">
        <v>46</v>
      </c>
      <c r="C853" t="s">
        <v>47</v>
      </c>
      <c r="D853" t="s">
        <v>22</v>
      </c>
      <c r="E853" t="s">
        <v>30</v>
      </c>
      <c r="F853" t="s">
        <v>19</v>
      </c>
      <c r="G853">
        <v>4</v>
      </c>
      <c r="H853">
        <v>3</v>
      </c>
      <c r="I853">
        <v>0</v>
      </c>
      <c r="J853">
        <v>2.2000000000000002</v>
      </c>
    </row>
    <row r="854" spans="1:10" x14ac:dyDescent="0.25">
      <c r="A854" t="s">
        <v>45</v>
      </c>
      <c r="B854" t="s">
        <v>28</v>
      </c>
      <c r="C854" t="s">
        <v>58</v>
      </c>
      <c r="D854" t="s">
        <v>40</v>
      </c>
      <c r="E854" t="s">
        <v>22</v>
      </c>
      <c r="F854" t="s">
        <v>19</v>
      </c>
      <c r="G854">
        <v>4</v>
      </c>
      <c r="H854">
        <v>4</v>
      </c>
      <c r="I854">
        <v>0</v>
      </c>
      <c r="J854">
        <v>3</v>
      </c>
    </row>
    <row r="855" spans="1:10" x14ac:dyDescent="0.25">
      <c r="A855" t="s">
        <v>31</v>
      </c>
      <c r="B855" t="s">
        <v>24</v>
      </c>
      <c r="C855" t="s">
        <v>64</v>
      </c>
      <c r="D855" t="s">
        <v>40</v>
      </c>
      <c r="E855" t="s">
        <v>27</v>
      </c>
      <c r="F855" t="s">
        <v>15</v>
      </c>
      <c r="G855">
        <v>3</v>
      </c>
      <c r="H855">
        <v>2</v>
      </c>
      <c r="I855">
        <v>0</v>
      </c>
      <c r="J855">
        <v>4</v>
      </c>
    </row>
    <row r="856" spans="1:10" x14ac:dyDescent="0.25">
      <c r="A856" t="s">
        <v>36</v>
      </c>
      <c r="B856" t="s">
        <v>16</v>
      </c>
      <c r="C856" t="s">
        <v>60</v>
      </c>
      <c r="D856" t="s">
        <v>13</v>
      </c>
      <c r="E856" t="s">
        <v>30</v>
      </c>
      <c r="F856" t="s">
        <v>19</v>
      </c>
      <c r="G856">
        <v>3</v>
      </c>
      <c r="H856">
        <v>3</v>
      </c>
      <c r="I856">
        <v>0</v>
      </c>
      <c r="J856">
        <v>4.9000000000000004</v>
      </c>
    </row>
    <row r="857" spans="1:10" x14ac:dyDescent="0.25">
      <c r="A857" t="s">
        <v>31</v>
      </c>
      <c r="B857" t="s">
        <v>48</v>
      </c>
      <c r="C857" t="s">
        <v>63</v>
      </c>
      <c r="D857" t="s">
        <v>26</v>
      </c>
      <c r="E857" t="s">
        <v>30</v>
      </c>
      <c r="F857" t="s">
        <v>19</v>
      </c>
      <c r="G857">
        <v>1</v>
      </c>
      <c r="H857">
        <v>0</v>
      </c>
      <c r="I857">
        <v>0</v>
      </c>
      <c r="J857">
        <v>2.1</v>
      </c>
    </row>
    <row r="858" spans="1:10" x14ac:dyDescent="0.25">
      <c r="A858" t="s">
        <v>55</v>
      </c>
      <c r="B858" t="s">
        <v>46</v>
      </c>
      <c r="C858" t="s">
        <v>47</v>
      </c>
      <c r="D858" t="s">
        <v>21</v>
      </c>
      <c r="E858" t="s">
        <v>30</v>
      </c>
      <c r="F858" t="s">
        <v>19</v>
      </c>
      <c r="G858">
        <v>2</v>
      </c>
      <c r="H858">
        <v>2</v>
      </c>
      <c r="I858">
        <v>1</v>
      </c>
      <c r="J858">
        <v>2.2999999999999998</v>
      </c>
    </row>
    <row r="859" spans="1:10" x14ac:dyDescent="0.25">
      <c r="A859" t="s">
        <v>55</v>
      </c>
      <c r="B859" t="s">
        <v>28</v>
      </c>
      <c r="C859" t="s">
        <v>58</v>
      </c>
      <c r="D859" t="s">
        <v>22</v>
      </c>
      <c r="E859" t="s">
        <v>22</v>
      </c>
      <c r="F859" t="s">
        <v>19</v>
      </c>
      <c r="G859">
        <v>4</v>
      </c>
      <c r="H859">
        <v>4</v>
      </c>
      <c r="I859">
        <v>0</v>
      </c>
      <c r="J859">
        <v>2.7</v>
      </c>
    </row>
    <row r="860" spans="1:10" x14ac:dyDescent="0.25">
      <c r="A860" t="s">
        <v>59</v>
      </c>
      <c r="B860" t="s">
        <v>41</v>
      </c>
      <c r="C860" t="s">
        <v>42</v>
      </c>
      <c r="D860" t="s">
        <v>22</v>
      </c>
      <c r="E860" t="s">
        <v>22</v>
      </c>
      <c r="F860" t="s">
        <v>15</v>
      </c>
      <c r="G860">
        <v>3</v>
      </c>
      <c r="H860">
        <v>3</v>
      </c>
      <c r="I860">
        <v>1</v>
      </c>
      <c r="J860">
        <v>3.1</v>
      </c>
    </row>
    <row r="861" spans="1:10" x14ac:dyDescent="0.25">
      <c r="A861" t="s">
        <v>10</v>
      </c>
      <c r="B861" t="s">
        <v>37</v>
      </c>
      <c r="C861" t="s">
        <v>38</v>
      </c>
      <c r="D861" t="s">
        <v>13</v>
      </c>
      <c r="E861" t="s">
        <v>30</v>
      </c>
      <c r="F861" t="s">
        <v>19</v>
      </c>
      <c r="G861">
        <v>7</v>
      </c>
      <c r="H861">
        <v>6</v>
      </c>
      <c r="I861">
        <v>0</v>
      </c>
      <c r="J861">
        <v>3.9</v>
      </c>
    </row>
    <row r="862" spans="1:10" x14ac:dyDescent="0.25">
      <c r="A862" t="s">
        <v>55</v>
      </c>
      <c r="B862" t="s">
        <v>41</v>
      </c>
      <c r="C862" t="s">
        <v>42</v>
      </c>
      <c r="D862" t="s">
        <v>40</v>
      </c>
      <c r="E862" t="s">
        <v>53</v>
      </c>
      <c r="F862" t="s">
        <v>15</v>
      </c>
      <c r="G862">
        <v>4</v>
      </c>
      <c r="H862">
        <v>4</v>
      </c>
      <c r="I862">
        <v>0</v>
      </c>
      <c r="J862">
        <v>2.1</v>
      </c>
    </row>
    <row r="863" spans="1:10" x14ac:dyDescent="0.25">
      <c r="A863" t="s">
        <v>33</v>
      </c>
      <c r="B863" t="s">
        <v>41</v>
      </c>
      <c r="C863" t="s">
        <v>42</v>
      </c>
      <c r="D863" t="s">
        <v>13</v>
      </c>
      <c r="E863" t="s">
        <v>22</v>
      </c>
      <c r="F863" t="s">
        <v>19</v>
      </c>
      <c r="G863">
        <v>5</v>
      </c>
      <c r="H863">
        <v>4</v>
      </c>
      <c r="I863">
        <v>1</v>
      </c>
      <c r="J863">
        <v>4.5</v>
      </c>
    </row>
    <row r="864" spans="1:10" x14ac:dyDescent="0.25">
      <c r="A864" t="s">
        <v>45</v>
      </c>
      <c r="B864" t="s">
        <v>11</v>
      </c>
      <c r="C864" t="s">
        <v>52</v>
      </c>
      <c r="D864" t="s">
        <v>32</v>
      </c>
      <c r="E864" t="s">
        <v>30</v>
      </c>
      <c r="F864" t="s">
        <v>19</v>
      </c>
      <c r="G864">
        <v>2</v>
      </c>
      <c r="H864">
        <v>2</v>
      </c>
      <c r="I864">
        <v>0</v>
      </c>
      <c r="J864">
        <v>2.2999999999999998</v>
      </c>
    </row>
    <row r="865" spans="1:10" x14ac:dyDescent="0.25">
      <c r="A865" t="s">
        <v>20</v>
      </c>
      <c r="B865" t="s">
        <v>11</v>
      </c>
      <c r="C865" t="s">
        <v>52</v>
      </c>
      <c r="D865" t="s">
        <v>32</v>
      </c>
      <c r="E865" t="s">
        <v>30</v>
      </c>
      <c r="F865" t="s">
        <v>19</v>
      </c>
      <c r="G865">
        <v>4</v>
      </c>
      <c r="H865">
        <v>4</v>
      </c>
      <c r="I865">
        <v>0</v>
      </c>
      <c r="J865">
        <v>4</v>
      </c>
    </row>
    <row r="866" spans="1:10" x14ac:dyDescent="0.25">
      <c r="A866" t="s">
        <v>43</v>
      </c>
      <c r="B866" t="s">
        <v>37</v>
      </c>
      <c r="C866" t="s">
        <v>38</v>
      </c>
      <c r="D866" t="s">
        <v>13</v>
      </c>
      <c r="E866" t="s">
        <v>30</v>
      </c>
      <c r="F866" t="s">
        <v>15</v>
      </c>
      <c r="G866">
        <v>1</v>
      </c>
      <c r="H866">
        <v>1</v>
      </c>
      <c r="I866">
        <v>0</v>
      </c>
      <c r="J866">
        <v>1.7</v>
      </c>
    </row>
    <row r="867" spans="1:10" x14ac:dyDescent="0.25">
      <c r="A867" t="s">
        <v>31</v>
      </c>
      <c r="B867" t="s">
        <v>24</v>
      </c>
      <c r="C867" t="s">
        <v>64</v>
      </c>
      <c r="D867" t="s">
        <v>26</v>
      </c>
      <c r="E867" t="s">
        <v>22</v>
      </c>
      <c r="F867" t="s">
        <v>19</v>
      </c>
      <c r="G867">
        <v>2</v>
      </c>
      <c r="H867">
        <v>1</v>
      </c>
      <c r="I867">
        <v>0</v>
      </c>
      <c r="J867">
        <v>1.6</v>
      </c>
    </row>
    <row r="868" spans="1:10" x14ac:dyDescent="0.25">
      <c r="A868" t="s">
        <v>23</v>
      </c>
      <c r="B868" t="s">
        <v>37</v>
      </c>
      <c r="C868" t="s">
        <v>39</v>
      </c>
      <c r="D868" t="s">
        <v>21</v>
      </c>
      <c r="E868" t="s">
        <v>18</v>
      </c>
      <c r="F868" t="s">
        <v>15</v>
      </c>
      <c r="G868">
        <v>5</v>
      </c>
      <c r="H868">
        <v>5</v>
      </c>
      <c r="I868">
        <v>0</v>
      </c>
      <c r="J868">
        <v>4</v>
      </c>
    </row>
    <row r="869" spans="1:10" x14ac:dyDescent="0.25">
      <c r="A869" t="s">
        <v>50</v>
      </c>
      <c r="B869" t="s">
        <v>41</v>
      </c>
      <c r="C869" t="s">
        <v>42</v>
      </c>
      <c r="D869" t="s">
        <v>32</v>
      </c>
      <c r="E869" t="s">
        <v>30</v>
      </c>
      <c r="F869" t="s">
        <v>15</v>
      </c>
      <c r="G869">
        <v>4</v>
      </c>
      <c r="H869">
        <v>4</v>
      </c>
      <c r="I869">
        <v>0</v>
      </c>
      <c r="J869">
        <v>3.1</v>
      </c>
    </row>
    <row r="870" spans="1:10" x14ac:dyDescent="0.25">
      <c r="A870" t="s">
        <v>10</v>
      </c>
      <c r="B870" t="s">
        <v>48</v>
      </c>
      <c r="C870" t="s">
        <v>63</v>
      </c>
      <c r="D870" t="s">
        <v>26</v>
      </c>
      <c r="E870" t="s">
        <v>14</v>
      </c>
      <c r="F870" t="s">
        <v>19</v>
      </c>
      <c r="G870">
        <v>7</v>
      </c>
      <c r="H870">
        <v>5</v>
      </c>
      <c r="I870">
        <v>0</v>
      </c>
      <c r="J870">
        <v>2.2999999999999998</v>
      </c>
    </row>
    <row r="871" spans="1:10" x14ac:dyDescent="0.25">
      <c r="A871" t="s">
        <v>50</v>
      </c>
      <c r="B871" t="s">
        <v>48</v>
      </c>
      <c r="C871" t="s">
        <v>63</v>
      </c>
      <c r="D871" t="s">
        <v>22</v>
      </c>
      <c r="E871" t="s">
        <v>18</v>
      </c>
      <c r="F871" t="s">
        <v>19</v>
      </c>
      <c r="G871">
        <v>3</v>
      </c>
      <c r="H871">
        <v>2</v>
      </c>
      <c r="I871">
        <v>0</v>
      </c>
      <c r="J871">
        <v>2.1</v>
      </c>
    </row>
    <row r="872" spans="1:10" x14ac:dyDescent="0.25">
      <c r="A872" t="s">
        <v>43</v>
      </c>
      <c r="B872" t="s">
        <v>28</v>
      </c>
      <c r="C872" t="s">
        <v>29</v>
      </c>
      <c r="D872" t="s">
        <v>26</v>
      </c>
      <c r="E872" t="s">
        <v>53</v>
      </c>
      <c r="F872" t="s">
        <v>15</v>
      </c>
      <c r="G872">
        <v>4</v>
      </c>
      <c r="H872">
        <v>4</v>
      </c>
      <c r="I872">
        <v>0</v>
      </c>
      <c r="J872">
        <v>2.2000000000000002</v>
      </c>
    </row>
    <row r="873" spans="1:10" x14ac:dyDescent="0.25">
      <c r="A873" t="s">
        <v>50</v>
      </c>
      <c r="B873" t="s">
        <v>34</v>
      </c>
      <c r="C873" t="s">
        <v>35</v>
      </c>
      <c r="D873" t="s">
        <v>26</v>
      </c>
      <c r="E873" t="s">
        <v>53</v>
      </c>
      <c r="F873" t="s">
        <v>15</v>
      </c>
      <c r="G873">
        <v>4</v>
      </c>
      <c r="H873">
        <v>4</v>
      </c>
      <c r="I873">
        <v>1</v>
      </c>
      <c r="J873">
        <v>3.4</v>
      </c>
    </row>
    <row r="874" spans="1:10" x14ac:dyDescent="0.25">
      <c r="A874" t="s">
        <v>33</v>
      </c>
      <c r="B874" t="s">
        <v>11</v>
      </c>
      <c r="C874" t="s">
        <v>12</v>
      </c>
      <c r="D874" t="s">
        <v>26</v>
      </c>
      <c r="E874" t="s">
        <v>53</v>
      </c>
      <c r="F874" t="s">
        <v>19</v>
      </c>
      <c r="G874">
        <v>8</v>
      </c>
      <c r="H874">
        <v>8</v>
      </c>
      <c r="I874">
        <v>0</v>
      </c>
      <c r="J874">
        <v>5.6</v>
      </c>
    </row>
    <row r="875" spans="1:10" x14ac:dyDescent="0.25">
      <c r="A875" t="s">
        <v>45</v>
      </c>
      <c r="B875" t="s">
        <v>41</v>
      </c>
      <c r="C875" t="s">
        <v>42</v>
      </c>
      <c r="D875" t="s">
        <v>32</v>
      </c>
      <c r="E875" t="s">
        <v>53</v>
      </c>
      <c r="F875" t="s">
        <v>15</v>
      </c>
      <c r="G875">
        <v>5</v>
      </c>
      <c r="H875">
        <v>5</v>
      </c>
      <c r="I875">
        <v>0</v>
      </c>
      <c r="J875">
        <v>3.3</v>
      </c>
    </row>
    <row r="876" spans="1:10" x14ac:dyDescent="0.25">
      <c r="A876" t="s">
        <v>23</v>
      </c>
      <c r="B876" t="s">
        <v>34</v>
      </c>
      <c r="C876" t="s">
        <v>51</v>
      </c>
      <c r="D876" t="s">
        <v>13</v>
      </c>
      <c r="E876" t="s">
        <v>27</v>
      </c>
      <c r="F876" t="s">
        <v>19</v>
      </c>
      <c r="G876">
        <v>6</v>
      </c>
      <c r="H876">
        <v>6</v>
      </c>
      <c r="I876">
        <v>1</v>
      </c>
      <c r="J876">
        <v>5</v>
      </c>
    </row>
    <row r="877" spans="1:10" x14ac:dyDescent="0.25">
      <c r="A877" t="s">
        <v>10</v>
      </c>
      <c r="B877" t="s">
        <v>46</v>
      </c>
      <c r="C877" t="s">
        <v>47</v>
      </c>
      <c r="D877" t="s">
        <v>22</v>
      </c>
      <c r="E877" t="s">
        <v>22</v>
      </c>
      <c r="F877" t="s">
        <v>19</v>
      </c>
      <c r="G877">
        <v>2</v>
      </c>
      <c r="H877">
        <v>1</v>
      </c>
      <c r="I877">
        <v>0</v>
      </c>
      <c r="J877">
        <v>3.4</v>
      </c>
    </row>
    <row r="878" spans="1:10" x14ac:dyDescent="0.25">
      <c r="A878" t="s">
        <v>10</v>
      </c>
      <c r="B878" t="s">
        <v>16</v>
      </c>
      <c r="C878" t="s">
        <v>17</v>
      </c>
      <c r="D878" t="s">
        <v>40</v>
      </c>
      <c r="E878" t="s">
        <v>18</v>
      </c>
      <c r="F878" t="s">
        <v>15</v>
      </c>
      <c r="G878">
        <v>3</v>
      </c>
      <c r="H878">
        <v>3</v>
      </c>
      <c r="I878">
        <v>0</v>
      </c>
      <c r="J878">
        <v>3.9</v>
      </c>
    </row>
    <row r="879" spans="1:10" x14ac:dyDescent="0.25">
      <c r="A879" t="s">
        <v>50</v>
      </c>
      <c r="B879" t="s">
        <v>37</v>
      </c>
      <c r="C879" t="s">
        <v>38</v>
      </c>
      <c r="D879" t="s">
        <v>40</v>
      </c>
      <c r="E879" t="s">
        <v>18</v>
      </c>
      <c r="F879" t="s">
        <v>15</v>
      </c>
      <c r="G879">
        <v>6</v>
      </c>
      <c r="H879">
        <v>5</v>
      </c>
      <c r="I879">
        <v>0</v>
      </c>
      <c r="J879">
        <v>2.8</v>
      </c>
    </row>
    <row r="880" spans="1:10" x14ac:dyDescent="0.25">
      <c r="A880" t="s">
        <v>33</v>
      </c>
      <c r="B880" t="s">
        <v>56</v>
      </c>
      <c r="C880" t="s">
        <v>57</v>
      </c>
      <c r="D880" t="s">
        <v>22</v>
      </c>
      <c r="E880" t="s">
        <v>27</v>
      </c>
      <c r="F880" t="s">
        <v>19</v>
      </c>
      <c r="G880">
        <v>4</v>
      </c>
      <c r="H880">
        <v>4</v>
      </c>
      <c r="I880">
        <v>0</v>
      </c>
      <c r="J880">
        <v>2.8</v>
      </c>
    </row>
    <row r="881" spans="1:10" x14ac:dyDescent="0.25">
      <c r="A881" t="s">
        <v>23</v>
      </c>
      <c r="B881" t="s">
        <v>46</v>
      </c>
      <c r="C881" t="s">
        <v>54</v>
      </c>
      <c r="D881" t="s">
        <v>26</v>
      </c>
      <c r="E881" t="s">
        <v>22</v>
      </c>
      <c r="F881" t="s">
        <v>19</v>
      </c>
      <c r="G881">
        <v>6</v>
      </c>
      <c r="H881">
        <v>6</v>
      </c>
      <c r="I881">
        <v>0</v>
      </c>
      <c r="J881">
        <v>4.5</v>
      </c>
    </row>
    <row r="882" spans="1:10" x14ac:dyDescent="0.25">
      <c r="A882" t="s">
        <v>20</v>
      </c>
      <c r="B882" t="s">
        <v>28</v>
      </c>
      <c r="C882" t="s">
        <v>29</v>
      </c>
      <c r="D882" t="s">
        <v>22</v>
      </c>
      <c r="E882" t="s">
        <v>14</v>
      </c>
      <c r="F882" t="s">
        <v>15</v>
      </c>
      <c r="G882">
        <v>5</v>
      </c>
      <c r="H882">
        <v>3</v>
      </c>
      <c r="I882">
        <v>0</v>
      </c>
      <c r="J882">
        <v>4.3</v>
      </c>
    </row>
    <row r="883" spans="1:10" x14ac:dyDescent="0.25">
      <c r="A883" t="s">
        <v>20</v>
      </c>
      <c r="B883" t="s">
        <v>34</v>
      </c>
      <c r="C883" t="s">
        <v>35</v>
      </c>
      <c r="D883" t="s">
        <v>22</v>
      </c>
      <c r="E883" t="s">
        <v>22</v>
      </c>
      <c r="F883" t="s">
        <v>15</v>
      </c>
      <c r="G883">
        <v>3</v>
      </c>
      <c r="H883">
        <v>3</v>
      </c>
      <c r="I883">
        <v>0</v>
      </c>
      <c r="J883">
        <v>2.2999999999999998</v>
      </c>
    </row>
    <row r="884" spans="1:10" x14ac:dyDescent="0.25">
      <c r="A884" t="s">
        <v>43</v>
      </c>
      <c r="B884" t="s">
        <v>34</v>
      </c>
      <c r="C884" t="s">
        <v>35</v>
      </c>
      <c r="D884" t="s">
        <v>40</v>
      </c>
      <c r="E884" t="s">
        <v>53</v>
      </c>
      <c r="F884" t="s">
        <v>15</v>
      </c>
      <c r="G884">
        <v>8</v>
      </c>
      <c r="H884">
        <v>7</v>
      </c>
      <c r="I884">
        <v>0</v>
      </c>
      <c r="J884">
        <v>2.5</v>
      </c>
    </row>
    <row r="885" spans="1:10" x14ac:dyDescent="0.25">
      <c r="A885" t="s">
        <v>50</v>
      </c>
      <c r="B885" t="s">
        <v>34</v>
      </c>
      <c r="C885" t="s">
        <v>35</v>
      </c>
      <c r="D885" t="s">
        <v>13</v>
      </c>
      <c r="E885" t="s">
        <v>18</v>
      </c>
      <c r="F885" t="s">
        <v>15</v>
      </c>
      <c r="G885">
        <v>6</v>
      </c>
      <c r="H885">
        <v>6</v>
      </c>
      <c r="I885">
        <v>1</v>
      </c>
      <c r="J885">
        <v>1.6</v>
      </c>
    </row>
    <row r="886" spans="1:10" x14ac:dyDescent="0.25">
      <c r="A886" t="s">
        <v>36</v>
      </c>
      <c r="B886" t="s">
        <v>37</v>
      </c>
      <c r="C886" t="s">
        <v>39</v>
      </c>
      <c r="D886" t="s">
        <v>40</v>
      </c>
      <c r="E886" t="s">
        <v>14</v>
      </c>
      <c r="F886" t="s">
        <v>19</v>
      </c>
      <c r="G886">
        <v>6</v>
      </c>
      <c r="H886">
        <v>6</v>
      </c>
      <c r="I886">
        <v>0</v>
      </c>
      <c r="J886">
        <v>2.1</v>
      </c>
    </row>
    <row r="887" spans="1:10" x14ac:dyDescent="0.25">
      <c r="A887" t="s">
        <v>20</v>
      </c>
      <c r="B887" t="s">
        <v>56</v>
      </c>
      <c r="C887" t="s">
        <v>57</v>
      </c>
      <c r="D887" t="s">
        <v>13</v>
      </c>
      <c r="E887" t="s">
        <v>30</v>
      </c>
      <c r="F887" t="s">
        <v>15</v>
      </c>
      <c r="G887">
        <v>3</v>
      </c>
      <c r="H887">
        <v>3</v>
      </c>
      <c r="I887">
        <v>0</v>
      </c>
      <c r="J887">
        <v>2.9</v>
      </c>
    </row>
    <row r="888" spans="1:10" x14ac:dyDescent="0.25">
      <c r="A888" t="s">
        <v>45</v>
      </c>
      <c r="B888" t="s">
        <v>34</v>
      </c>
      <c r="C888" t="s">
        <v>35</v>
      </c>
      <c r="D888" t="s">
        <v>21</v>
      </c>
      <c r="E888" t="s">
        <v>14</v>
      </c>
      <c r="F888" t="s">
        <v>19</v>
      </c>
      <c r="G888">
        <v>7</v>
      </c>
      <c r="H888">
        <v>6</v>
      </c>
      <c r="I888">
        <v>0</v>
      </c>
      <c r="J888">
        <v>0.9</v>
      </c>
    </row>
    <row r="889" spans="1:10" x14ac:dyDescent="0.25">
      <c r="A889" t="s">
        <v>36</v>
      </c>
      <c r="B889" t="s">
        <v>24</v>
      </c>
      <c r="C889" t="s">
        <v>25</v>
      </c>
      <c r="D889" t="s">
        <v>21</v>
      </c>
      <c r="E889" t="s">
        <v>27</v>
      </c>
      <c r="F889" t="s">
        <v>15</v>
      </c>
      <c r="G889">
        <v>7</v>
      </c>
      <c r="H889">
        <v>6</v>
      </c>
      <c r="I889">
        <v>0</v>
      </c>
      <c r="J889">
        <v>2.8</v>
      </c>
    </row>
    <row r="890" spans="1:10" x14ac:dyDescent="0.25">
      <c r="A890" t="s">
        <v>31</v>
      </c>
      <c r="B890" t="s">
        <v>24</v>
      </c>
      <c r="C890" t="s">
        <v>64</v>
      </c>
      <c r="D890" t="s">
        <v>13</v>
      </c>
      <c r="E890" t="s">
        <v>22</v>
      </c>
      <c r="F890" t="s">
        <v>19</v>
      </c>
      <c r="G890">
        <v>4</v>
      </c>
      <c r="H890">
        <v>4</v>
      </c>
      <c r="I890">
        <v>0</v>
      </c>
      <c r="J890">
        <v>3.4</v>
      </c>
    </row>
    <row r="891" spans="1:10" x14ac:dyDescent="0.25">
      <c r="A891" t="s">
        <v>20</v>
      </c>
      <c r="B891" t="s">
        <v>34</v>
      </c>
      <c r="C891" t="s">
        <v>35</v>
      </c>
      <c r="D891" t="s">
        <v>13</v>
      </c>
      <c r="E891" t="s">
        <v>27</v>
      </c>
      <c r="F891" t="s">
        <v>15</v>
      </c>
      <c r="G891">
        <v>7</v>
      </c>
      <c r="H891">
        <v>5</v>
      </c>
      <c r="I891">
        <v>0</v>
      </c>
      <c r="J891">
        <v>3.1</v>
      </c>
    </row>
    <row r="892" spans="1:10" x14ac:dyDescent="0.25">
      <c r="A892" t="s">
        <v>31</v>
      </c>
      <c r="B892" t="s">
        <v>28</v>
      </c>
      <c r="C892" t="s">
        <v>58</v>
      </c>
      <c r="D892" t="s">
        <v>40</v>
      </c>
      <c r="E892" t="s">
        <v>30</v>
      </c>
      <c r="F892" t="s">
        <v>15</v>
      </c>
      <c r="G892">
        <v>6</v>
      </c>
      <c r="H892">
        <v>5</v>
      </c>
      <c r="I892">
        <v>0</v>
      </c>
      <c r="J892">
        <v>3</v>
      </c>
    </row>
    <row r="893" spans="1:10" x14ac:dyDescent="0.25">
      <c r="A893" t="s">
        <v>20</v>
      </c>
      <c r="B893" t="s">
        <v>11</v>
      </c>
      <c r="C893" t="s">
        <v>52</v>
      </c>
      <c r="D893" t="s">
        <v>32</v>
      </c>
      <c r="E893" t="s">
        <v>30</v>
      </c>
      <c r="F893" t="s">
        <v>15</v>
      </c>
      <c r="G893">
        <v>7</v>
      </c>
      <c r="H893">
        <v>6</v>
      </c>
      <c r="I893">
        <v>0</v>
      </c>
      <c r="J893">
        <v>1.6</v>
      </c>
    </row>
    <row r="894" spans="1:10" x14ac:dyDescent="0.25">
      <c r="A894" t="s">
        <v>61</v>
      </c>
      <c r="B894" t="s">
        <v>56</v>
      </c>
      <c r="C894" t="s">
        <v>57</v>
      </c>
      <c r="D894" t="s">
        <v>22</v>
      </c>
      <c r="E894" t="s">
        <v>27</v>
      </c>
      <c r="F894" t="s">
        <v>19</v>
      </c>
      <c r="G894">
        <v>4</v>
      </c>
      <c r="H894">
        <v>4</v>
      </c>
      <c r="I894">
        <v>0</v>
      </c>
      <c r="J894">
        <v>3.7</v>
      </c>
    </row>
    <row r="895" spans="1:10" x14ac:dyDescent="0.25">
      <c r="A895" t="s">
        <v>50</v>
      </c>
      <c r="B895" t="s">
        <v>34</v>
      </c>
      <c r="C895" t="s">
        <v>35</v>
      </c>
      <c r="D895" t="s">
        <v>26</v>
      </c>
      <c r="E895" t="s">
        <v>18</v>
      </c>
      <c r="F895" t="s">
        <v>19</v>
      </c>
      <c r="G895">
        <v>5</v>
      </c>
      <c r="H895">
        <v>3</v>
      </c>
      <c r="I895">
        <v>0</v>
      </c>
      <c r="J895">
        <v>2.2999999999999998</v>
      </c>
    </row>
    <row r="896" spans="1:10" x14ac:dyDescent="0.25">
      <c r="A896" t="s">
        <v>23</v>
      </c>
      <c r="B896" t="s">
        <v>28</v>
      </c>
      <c r="C896" t="s">
        <v>29</v>
      </c>
      <c r="D896" t="s">
        <v>21</v>
      </c>
      <c r="E896" t="s">
        <v>27</v>
      </c>
      <c r="F896" t="s">
        <v>19</v>
      </c>
      <c r="G896">
        <v>4</v>
      </c>
      <c r="H896">
        <v>2</v>
      </c>
      <c r="I896">
        <v>0</v>
      </c>
      <c r="J896">
        <v>3.5</v>
      </c>
    </row>
    <row r="897" spans="1:10" x14ac:dyDescent="0.25">
      <c r="A897" t="s">
        <v>55</v>
      </c>
      <c r="B897" t="s">
        <v>46</v>
      </c>
      <c r="C897" t="s">
        <v>47</v>
      </c>
      <c r="D897" t="s">
        <v>26</v>
      </c>
      <c r="E897" t="s">
        <v>27</v>
      </c>
      <c r="F897" t="s">
        <v>19</v>
      </c>
      <c r="G897">
        <v>4</v>
      </c>
      <c r="H897">
        <v>3</v>
      </c>
      <c r="I897">
        <v>0</v>
      </c>
      <c r="J897">
        <v>2.8</v>
      </c>
    </row>
    <row r="898" spans="1:10" x14ac:dyDescent="0.25">
      <c r="A898" t="s">
        <v>55</v>
      </c>
      <c r="B898" t="s">
        <v>46</v>
      </c>
      <c r="C898" t="s">
        <v>47</v>
      </c>
      <c r="D898" t="s">
        <v>40</v>
      </c>
      <c r="E898" t="s">
        <v>22</v>
      </c>
      <c r="F898" t="s">
        <v>15</v>
      </c>
      <c r="G898">
        <v>6</v>
      </c>
      <c r="H898">
        <v>6</v>
      </c>
      <c r="I898">
        <v>0</v>
      </c>
      <c r="J898">
        <v>1.5</v>
      </c>
    </row>
    <row r="899" spans="1:10" x14ac:dyDescent="0.25">
      <c r="A899" t="s">
        <v>50</v>
      </c>
      <c r="B899" t="s">
        <v>56</v>
      </c>
      <c r="C899" t="s">
        <v>62</v>
      </c>
      <c r="D899" t="s">
        <v>21</v>
      </c>
      <c r="E899" t="s">
        <v>18</v>
      </c>
      <c r="F899" t="s">
        <v>19</v>
      </c>
      <c r="G899">
        <v>3</v>
      </c>
      <c r="H899">
        <v>2</v>
      </c>
      <c r="I899">
        <v>0</v>
      </c>
      <c r="J899">
        <v>1.7</v>
      </c>
    </row>
    <row r="900" spans="1:10" x14ac:dyDescent="0.25">
      <c r="A900" t="s">
        <v>43</v>
      </c>
      <c r="B900" t="s">
        <v>48</v>
      </c>
      <c r="C900" t="s">
        <v>49</v>
      </c>
      <c r="D900" t="s">
        <v>40</v>
      </c>
      <c r="E900" t="s">
        <v>18</v>
      </c>
      <c r="F900" t="s">
        <v>15</v>
      </c>
      <c r="G900">
        <v>4</v>
      </c>
      <c r="H900">
        <v>3</v>
      </c>
      <c r="I900">
        <v>0</v>
      </c>
      <c r="J900">
        <v>2.6</v>
      </c>
    </row>
    <row r="901" spans="1:10" x14ac:dyDescent="0.25">
      <c r="A901" t="s">
        <v>20</v>
      </c>
      <c r="B901" t="s">
        <v>11</v>
      </c>
      <c r="C901" t="s">
        <v>12</v>
      </c>
      <c r="D901" t="s">
        <v>22</v>
      </c>
      <c r="E901" t="s">
        <v>27</v>
      </c>
      <c r="F901" t="s">
        <v>19</v>
      </c>
      <c r="G901">
        <v>6</v>
      </c>
      <c r="H901">
        <v>6</v>
      </c>
      <c r="I901">
        <v>0</v>
      </c>
      <c r="J901">
        <v>2.4</v>
      </c>
    </row>
    <row r="902" spans="1:10" x14ac:dyDescent="0.25">
      <c r="A902" t="s">
        <v>31</v>
      </c>
      <c r="B902" t="s">
        <v>56</v>
      </c>
      <c r="C902" t="s">
        <v>62</v>
      </c>
      <c r="D902" t="s">
        <v>26</v>
      </c>
      <c r="E902" t="s">
        <v>30</v>
      </c>
      <c r="F902" t="s">
        <v>15</v>
      </c>
      <c r="G902">
        <v>4</v>
      </c>
      <c r="H902">
        <v>4</v>
      </c>
      <c r="I902">
        <v>1</v>
      </c>
      <c r="J902">
        <v>4.5</v>
      </c>
    </row>
    <row r="903" spans="1:10" x14ac:dyDescent="0.25">
      <c r="A903" t="s">
        <v>36</v>
      </c>
      <c r="B903" t="s">
        <v>16</v>
      </c>
      <c r="C903" t="s">
        <v>60</v>
      </c>
      <c r="D903" t="s">
        <v>32</v>
      </c>
      <c r="E903" t="s">
        <v>53</v>
      </c>
      <c r="F903" t="s">
        <v>15</v>
      </c>
      <c r="G903">
        <v>2</v>
      </c>
      <c r="H903">
        <v>2</v>
      </c>
      <c r="I903">
        <v>0</v>
      </c>
      <c r="J903">
        <v>1.9</v>
      </c>
    </row>
    <row r="904" spans="1:10" x14ac:dyDescent="0.25">
      <c r="A904" t="s">
        <v>20</v>
      </c>
      <c r="B904" t="s">
        <v>28</v>
      </c>
      <c r="C904" t="s">
        <v>58</v>
      </c>
      <c r="D904" t="s">
        <v>26</v>
      </c>
      <c r="E904" t="s">
        <v>30</v>
      </c>
      <c r="F904" t="s">
        <v>19</v>
      </c>
      <c r="G904">
        <v>2</v>
      </c>
      <c r="H904">
        <v>2</v>
      </c>
      <c r="I904">
        <v>0</v>
      </c>
      <c r="J904">
        <v>5.9</v>
      </c>
    </row>
    <row r="905" spans="1:10" x14ac:dyDescent="0.25">
      <c r="A905" t="s">
        <v>45</v>
      </c>
      <c r="B905" t="s">
        <v>34</v>
      </c>
      <c r="C905" t="s">
        <v>35</v>
      </c>
      <c r="D905" t="s">
        <v>26</v>
      </c>
      <c r="E905" t="s">
        <v>18</v>
      </c>
      <c r="F905" t="s">
        <v>15</v>
      </c>
      <c r="G905">
        <v>5</v>
      </c>
      <c r="H905">
        <v>4</v>
      </c>
      <c r="I905">
        <v>0</v>
      </c>
      <c r="J905">
        <v>3.3</v>
      </c>
    </row>
    <row r="906" spans="1:10" x14ac:dyDescent="0.25">
      <c r="A906" t="s">
        <v>20</v>
      </c>
      <c r="B906" t="s">
        <v>16</v>
      </c>
      <c r="C906" t="s">
        <v>17</v>
      </c>
      <c r="D906" t="s">
        <v>21</v>
      </c>
      <c r="E906" t="s">
        <v>53</v>
      </c>
      <c r="F906" t="s">
        <v>19</v>
      </c>
      <c r="G906">
        <v>5</v>
      </c>
      <c r="H906">
        <v>5</v>
      </c>
      <c r="I906">
        <v>1</v>
      </c>
      <c r="J906">
        <v>2.1</v>
      </c>
    </row>
    <row r="907" spans="1:10" x14ac:dyDescent="0.25">
      <c r="A907" t="s">
        <v>36</v>
      </c>
      <c r="B907" t="s">
        <v>41</v>
      </c>
      <c r="C907" t="s">
        <v>44</v>
      </c>
      <c r="D907" t="s">
        <v>26</v>
      </c>
      <c r="E907" t="s">
        <v>22</v>
      </c>
      <c r="F907" t="s">
        <v>19</v>
      </c>
      <c r="G907">
        <v>7</v>
      </c>
      <c r="H907">
        <v>7</v>
      </c>
      <c r="I907">
        <v>0</v>
      </c>
      <c r="J907">
        <v>3.2</v>
      </c>
    </row>
    <row r="908" spans="1:10" x14ac:dyDescent="0.25">
      <c r="A908" t="s">
        <v>59</v>
      </c>
      <c r="B908" t="s">
        <v>37</v>
      </c>
      <c r="C908" t="s">
        <v>39</v>
      </c>
      <c r="D908" t="s">
        <v>21</v>
      </c>
      <c r="E908" t="s">
        <v>27</v>
      </c>
      <c r="F908" t="s">
        <v>19</v>
      </c>
      <c r="G908">
        <v>7</v>
      </c>
      <c r="H908">
        <v>6</v>
      </c>
      <c r="I908">
        <v>0</v>
      </c>
      <c r="J908">
        <v>2.6</v>
      </c>
    </row>
    <row r="909" spans="1:10" x14ac:dyDescent="0.25">
      <c r="A909" t="s">
        <v>36</v>
      </c>
      <c r="B909" t="s">
        <v>34</v>
      </c>
      <c r="C909" t="s">
        <v>51</v>
      </c>
      <c r="D909" t="s">
        <v>32</v>
      </c>
      <c r="E909" t="s">
        <v>22</v>
      </c>
      <c r="F909" t="s">
        <v>19</v>
      </c>
      <c r="G909">
        <v>5</v>
      </c>
      <c r="H909">
        <v>5</v>
      </c>
      <c r="I909">
        <v>1</v>
      </c>
      <c r="J909">
        <v>3.6</v>
      </c>
    </row>
    <row r="910" spans="1:10" x14ac:dyDescent="0.25">
      <c r="A910" t="s">
        <v>61</v>
      </c>
      <c r="B910" t="s">
        <v>37</v>
      </c>
      <c r="C910" t="s">
        <v>38</v>
      </c>
      <c r="D910" t="s">
        <v>13</v>
      </c>
      <c r="E910" t="s">
        <v>22</v>
      </c>
      <c r="F910" t="s">
        <v>19</v>
      </c>
      <c r="G910">
        <v>2</v>
      </c>
      <c r="H910">
        <v>2</v>
      </c>
      <c r="I910">
        <v>0</v>
      </c>
      <c r="J910">
        <v>2.2000000000000002</v>
      </c>
    </row>
    <row r="911" spans="1:10" x14ac:dyDescent="0.25">
      <c r="A911" t="s">
        <v>55</v>
      </c>
      <c r="B911" t="s">
        <v>16</v>
      </c>
      <c r="C911" t="s">
        <v>17</v>
      </c>
      <c r="D911" t="s">
        <v>13</v>
      </c>
      <c r="E911" t="s">
        <v>18</v>
      </c>
      <c r="F911" t="s">
        <v>15</v>
      </c>
      <c r="G911">
        <v>5</v>
      </c>
      <c r="H911">
        <v>5</v>
      </c>
      <c r="I911">
        <v>0</v>
      </c>
      <c r="J911">
        <v>2.7</v>
      </c>
    </row>
    <row r="912" spans="1:10" x14ac:dyDescent="0.25">
      <c r="A912" t="s">
        <v>10</v>
      </c>
      <c r="B912" t="s">
        <v>48</v>
      </c>
      <c r="C912" t="s">
        <v>63</v>
      </c>
      <c r="D912" t="s">
        <v>32</v>
      </c>
      <c r="E912" t="s">
        <v>18</v>
      </c>
      <c r="F912" t="s">
        <v>19</v>
      </c>
      <c r="G912">
        <v>7</v>
      </c>
      <c r="H912">
        <v>7</v>
      </c>
      <c r="I912">
        <v>0</v>
      </c>
      <c r="J912">
        <v>3.6</v>
      </c>
    </row>
    <row r="913" spans="1:10" x14ac:dyDescent="0.25">
      <c r="A913" t="s">
        <v>36</v>
      </c>
      <c r="B913" t="s">
        <v>11</v>
      </c>
      <c r="C913" t="s">
        <v>12</v>
      </c>
      <c r="D913" t="s">
        <v>26</v>
      </c>
      <c r="E913" t="s">
        <v>18</v>
      </c>
      <c r="F913" t="s">
        <v>19</v>
      </c>
      <c r="G913">
        <v>5</v>
      </c>
      <c r="H913">
        <v>4</v>
      </c>
      <c r="I913">
        <v>0</v>
      </c>
      <c r="J913">
        <v>3.5</v>
      </c>
    </row>
    <row r="914" spans="1:10" x14ac:dyDescent="0.25">
      <c r="A914" t="s">
        <v>61</v>
      </c>
      <c r="B914" t="s">
        <v>11</v>
      </c>
      <c r="C914" t="s">
        <v>52</v>
      </c>
      <c r="D914" t="s">
        <v>13</v>
      </c>
      <c r="E914" t="s">
        <v>22</v>
      </c>
      <c r="F914" t="s">
        <v>15</v>
      </c>
      <c r="G914">
        <v>2</v>
      </c>
      <c r="H914">
        <v>2</v>
      </c>
      <c r="I914">
        <v>0</v>
      </c>
      <c r="J914">
        <v>-0.3</v>
      </c>
    </row>
    <row r="915" spans="1:10" x14ac:dyDescent="0.25">
      <c r="A915" t="s">
        <v>61</v>
      </c>
      <c r="B915" t="s">
        <v>48</v>
      </c>
      <c r="C915" t="s">
        <v>63</v>
      </c>
      <c r="D915" t="s">
        <v>21</v>
      </c>
      <c r="E915" t="s">
        <v>22</v>
      </c>
      <c r="F915" t="s">
        <v>15</v>
      </c>
      <c r="G915">
        <v>2</v>
      </c>
      <c r="H915">
        <v>2</v>
      </c>
      <c r="I915">
        <v>0</v>
      </c>
      <c r="J915">
        <v>4.2</v>
      </c>
    </row>
    <row r="916" spans="1:10" x14ac:dyDescent="0.25">
      <c r="A916" t="s">
        <v>10</v>
      </c>
      <c r="B916" t="s">
        <v>16</v>
      </c>
      <c r="C916" t="s">
        <v>17</v>
      </c>
      <c r="D916" t="s">
        <v>32</v>
      </c>
      <c r="E916" t="s">
        <v>22</v>
      </c>
      <c r="F916" t="s">
        <v>15</v>
      </c>
      <c r="G916">
        <v>6</v>
      </c>
      <c r="H916">
        <v>6</v>
      </c>
      <c r="I916">
        <v>0</v>
      </c>
      <c r="J916">
        <v>2.9</v>
      </c>
    </row>
    <row r="917" spans="1:10" x14ac:dyDescent="0.25">
      <c r="A917" t="s">
        <v>36</v>
      </c>
      <c r="B917" t="s">
        <v>16</v>
      </c>
      <c r="C917" t="s">
        <v>17</v>
      </c>
      <c r="D917" t="s">
        <v>21</v>
      </c>
      <c r="E917" t="s">
        <v>18</v>
      </c>
      <c r="F917" t="s">
        <v>15</v>
      </c>
      <c r="G917">
        <v>11</v>
      </c>
      <c r="H917">
        <v>9</v>
      </c>
      <c r="I917">
        <v>1</v>
      </c>
      <c r="J917">
        <v>3.1</v>
      </c>
    </row>
    <row r="918" spans="1:10" x14ac:dyDescent="0.25">
      <c r="A918" t="s">
        <v>43</v>
      </c>
      <c r="B918" t="s">
        <v>34</v>
      </c>
      <c r="C918" t="s">
        <v>51</v>
      </c>
      <c r="D918" t="s">
        <v>13</v>
      </c>
      <c r="E918" t="s">
        <v>18</v>
      </c>
      <c r="F918" t="s">
        <v>19</v>
      </c>
      <c r="G918">
        <v>6</v>
      </c>
      <c r="H918">
        <v>6</v>
      </c>
      <c r="I918">
        <v>0</v>
      </c>
      <c r="J918">
        <v>3.2</v>
      </c>
    </row>
    <row r="919" spans="1:10" x14ac:dyDescent="0.25">
      <c r="A919" t="s">
        <v>33</v>
      </c>
      <c r="B919" t="s">
        <v>37</v>
      </c>
      <c r="C919" t="s">
        <v>39</v>
      </c>
      <c r="D919" t="s">
        <v>32</v>
      </c>
      <c r="E919" t="s">
        <v>53</v>
      </c>
      <c r="F919" t="s">
        <v>19</v>
      </c>
      <c r="G919">
        <v>4</v>
      </c>
      <c r="H919">
        <v>4</v>
      </c>
      <c r="I919">
        <v>0</v>
      </c>
      <c r="J919">
        <v>4.2</v>
      </c>
    </row>
    <row r="920" spans="1:10" x14ac:dyDescent="0.25">
      <c r="A920" t="s">
        <v>50</v>
      </c>
      <c r="B920" t="s">
        <v>37</v>
      </c>
      <c r="C920" t="s">
        <v>39</v>
      </c>
      <c r="D920" t="s">
        <v>32</v>
      </c>
      <c r="E920" t="s">
        <v>30</v>
      </c>
      <c r="F920" t="s">
        <v>19</v>
      </c>
      <c r="G920">
        <v>4</v>
      </c>
      <c r="H920">
        <v>4</v>
      </c>
      <c r="I920">
        <v>0</v>
      </c>
      <c r="J920">
        <v>2.1</v>
      </c>
    </row>
    <row r="921" spans="1:10" x14ac:dyDescent="0.25">
      <c r="A921" t="s">
        <v>20</v>
      </c>
      <c r="B921" t="s">
        <v>41</v>
      </c>
      <c r="C921" t="s">
        <v>42</v>
      </c>
      <c r="D921" t="s">
        <v>40</v>
      </c>
      <c r="E921" t="s">
        <v>30</v>
      </c>
      <c r="F921" t="s">
        <v>19</v>
      </c>
      <c r="G921">
        <v>5</v>
      </c>
      <c r="H921">
        <v>5</v>
      </c>
      <c r="I921">
        <v>0</v>
      </c>
      <c r="J921">
        <v>3.3</v>
      </c>
    </row>
    <row r="922" spans="1:10" x14ac:dyDescent="0.25">
      <c r="A922" t="s">
        <v>61</v>
      </c>
      <c r="B922" t="s">
        <v>37</v>
      </c>
      <c r="C922" t="s">
        <v>38</v>
      </c>
      <c r="D922" t="s">
        <v>21</v>
      </c>
      <c r="E922" t="s">
        <v>27</v>
      </c>
      <c r="F922" t="s">
        <v>15</v>
      </c>
      <c r="G922">
        <v>6</v>
      </c>
      <c r="H922">
        <v>6</v>
      </c>
      <c r="I922">
        <v>2</v>
      </c>
      <c r="J922">
        <v>4</v>
      </c>
    </row>
    <row r="923" spans="1:10" x14ac:dyDescent="0.25">
      <c r="A923" t="s">
        <v>43</v>
      </c>
      <c r="B923" t="s">
        <v>37</v>
      </c>
      <c r="C923" t="s">
        <v>39</v>
      </c>
      <c r="D923" t="s">
        <v>13</v>
      </c>
      <c r="E923" t="s">
        <v>14</v>
      </c>
      <c r="F923" t="s">
        <v>15</v>
      </c>
      <c r="G923">
        <v>2</v>
      </c>
      <c r="H923">
        <v>1</v>
      </c>
      <c r="I923">
        <v>0</v>
      </c>
      <c r="J923">
        <v>1.3</v>
      </c>
    </row>
    <row r="924" spans="1:10" x14ac:dyDescent="0.25">
      <c r="A924" t="s">
        <v>61</v>
      </c>
      <c r="B924" t="s">
        <v>28</v>
      </c>
      <c r="C924" t="s">
        <v>29</v>
      </c>
      <c r="D924" t="s">
        <v>22</v>
      </c>
      <c r="E924" t="s">
        <v>18</v>
      </c>
      <c r="F924" t="s">
        <v>15</v>
      </c>
      <c r="G924">
        <v>11</v>
      </c>
      <c r="H924">
        <v>11</v>
      </c>
      <c r="I924">
        <v>0</v>
      </c>
      <c r="J924">
        <v>0.6</v>
      </c>
    </row>
    <row r="925" spans="1:10" x14ac:dyDescent="0.25">
      <c r="A925" t="s">
        <v>55</v>
      </c>
      <c r="B925" t="s">
        <v>41</v>
      </c>
      <c r="C925" t="s">
        <v>42</v>
      </c>
      <c r="D925" t="s">
        <v>26</v>
      </c>
      <c r="E925" t="s">
        <v>30</v>
      </c>
      <c r="F925" t="s">
        <v>19</v>
      </c>
      <c r="G925">
        <v>5</v>
      </c>
      <c r="H925">
        <v>4</v>
      </c>
      <c r="I925">
        <v>0</v>
      </c>
      <c r="J925">
        <v>3.2</v>
      </c>
    </row>
    <row r="926" spans="1:10" x14ac:dyDescent="0.25">
      <c r="A926" t="s">
        <v>23</v>
      </c>
      <c r="B926" t="s">
        <v>34</v>
      </c>
      <c r="C926" t="s">
        <v>35</v>
      </c>
      <c r="D926" t="s">
        <v>32</v>
      </c>
      <c r="E926" t="s">
        <v>22</v>
      </c>
      <c r="F926" t="s">
        <v>15</v>
      </c>
      <c r="G926">
        <v>4</v>
      </c>
      <c r="H926">
        <v>4</v>
      </c>
      <c r="I926">
        <v>0</v>
      </c>
      <c r="J926">
        <v>2.2999999999999998</v>
      </c>
    </row>
    <row r="927" spans="1:10" x14ac:dyDescent="0.25">
      <c r="A927" t="s">
        <v>50</v>
      </c>
      <c r="B927" t="s">
        <v>56</v>
      </c>
      <c r="C927" t="s">
        <v>57</v>
      </c>
      <c r="D927" t="s">
        <v>32</v>
      </c>
      <c r="E927" t="s">
        <v>53</v>
      </c>
      <c r="F927" t="s">
        <v>15</v>
      </c>
      <c r="G927">
        <v>4</v>
      </c>
      <c r="H927">
        <v>4</v>
      </c>
      <c r="I927">
        <v>1</v>
      </c>
      <c r="J927">
        <v>2.6</v>
      </c>
    </row>
    <row r="928" spans="1:10" x14ac:dyDescent="0.25">
      <c r="A928" t="s">
        <v>59</v>
      </c>
      <c r="B928" t="s">
        <v>24</v>
      </c>
      <c r="C928" t="s">
        <v>64</v>
      </c>
      <c r="D928" t="s">
        <v>32</v>
      </c>
      <c r="E928" t="s">
        <v>22</v>
      </c>
      <c r="F928" t="s">
        <v>15</v>
      </c>
      <c r="G928">
        <v>3</v>
      </c>
      <c r="H928">
        <v>3</v>
      </c>
      <c r="I928">
        <v>0</v>
      </c>
      <c r="J928">
        <v>2.1</v>
      </c>
    </row>
    <row r="929" spans="1:10" x14ac:dyDescent="0.25">
      <c r="A929" t="s">
        <v>10</v>
      </c>
      <c r="B929" t="s">
        <v>11</v>
      </c>
      <c r="C929" t="s">
        <v>12</v>
      </c>
      <c r="D929" t="s">
        <v>32</v>
      </c>
      <c r="E929" t="s">
        <v>14</v>
      </c>
      <c r="F929" t="s">
        <v>15</v>
      </c>
      <c r="G929">
        <v>6</v>
      </c>
      <c r="H929">
        <v>5</v>
      </c>
      <c r="I929">
        <v>0</v>
      </c>
      <c r="J929">
        <v>2.2999999999999998</v>
      </c>
    </row>
    <row r="930" spans="1:10" x14ac:dyDescent="0.25">
      <c r="A930" t="s">
        <v>45</v>
      </c>
      <c r="B930" t="s">
        <v>56</v>
      </c>
      <c r="C930" t="s">
        <v>62</v>
      </c>
      <c r="D930" t="s">
        <v>40</v>
      </c>
      <c r="E930" t="s">
        <v>53</v>
      </c>
      <c r="F930" t="s">
        <v>15</v>
      </c>
      <c r="G930">
        <v>4</v>
      </c>
      <c r="H930">
        <v>4</v>
      </c>
      <c r="I930">
        <v>0</v>
      </c>
      <c r="J930">
        <v>2.9</v>
      </c>
    </row>
    <row r="931" spans="1:10" x14ac:dyDescent="0.25">
      <c r="A931" t="s">
        <v>43</v>
      </c>
      <c r="B931" t="s">
        <v>34</v>
      </c>
      <c r="C931" t="s">
        <v>35</v>
      </c>
      <c r="D931" t="s">
        <v>22</v>
      </c>
      <c r="E931" t="s">
        <v>18</v>
      </c>
      <c r="F931" t="s">
        <v>19</v>
      </c>
      <c r="G931">
        <v>8</v>
      </c>
      <c r="H931">
        <v>8</v>
      </c>
      <c r="I931">
        <v>0</v>
      </c>
      <c r="J931">
        <v>3.3</v>
      </c>
    </row>
    <row r="932" spans="1:10" x14ac:dyDescent="0.25">
      <c r="A932" t="s">
        <v>55</v>
      </c>
      <c r="B932" t="s">
        <v>34</v>
      </c>
      <c r="C932" t="s">
        <v>51</v>
      </c>
      <c r="D932" t="s">
        <v>40</v>
      </c>
      <c r="E932" t="s">
        <v>30</v>
      </c>
      <c r="F932" t="s">
        <v>15</v>
      </c>
      <c r="G932">
        <v>5</v>
      </c>
      <c r="H932">
        <v>4</v>
      </c>
      <c r="I932">
        <v>0</v>
      </c>
      <c r="J932">
        <v>3.1</v>
      </c>
    </row>
    <row r="933" spans="1:10" x14ac:dyDescent="0.25">
      <c r="A933" t="s">
        <v>59</v>
      </c>
      <c r="B933" t="s">
        <v>16</v>
      </c>
      <c r="C933" t="s">
        <v>60</v>
      </c>
      <c r="D933" t="s">
        <v>13</v>
      </c>
      <c r="E933" t="s">
        <v>14</v>
      </c>
      <c r="F933" t="s">
        <v>19</v>
      </c>
      <c r="G933">
        <v>5</v>
      </c>
      <c r="H933">
        <v>5</v>
      </c>
      <c r="I933">
        <v>1</v>
      </c>
      <c r="J933">
        <v>2.9</v>
      </c>
    </row>
    <row r="934" spans="1:10" x14ac:dyDescent="0.25">
      <c r="A934" t="s">
        <v>43</v>
      </c>
      <c r="B934" t="s">
        <v>34</v>
      </c>
      <c r="C934" t="s">
        <v>51</v>
      </c>
      <c r="D934" t="s">
        <v>32</v>
      </c>
      <c r="E934" t="s">
        <v>27</v>
      </c>
      <c r="F934" t="s">
        <v>19</v>
      </c>
      <c r="G934">
        <v>6</v>
      </c>
      <c r="H934">
        <v>6</v>
      </c>
      <c r="I934">
        <v>0</v>
      </c>
      <c r="J934">
        <v>1.2</v>
      </c>
    </row>
    <row r="935" spans="1:10" x14ac:dyDescent="0.25">
      <c r="A935" t="s">
        <v>45</v>
      </c>
      <c r="B935" t="s">
        <v>37</v>
      </c>
      <c r="C935" t="s">
        <v>39</v>
      </c>
      <c r="D935" t="s">
        <v>13</v>
      </c>
      <c r="E935" t="s">
        <v>30</v>
      </c>
      <c r="F935" t="s">
        <v>19</v>
      </c>
      <c r="G935">
        <v>4</v>
      </c>
      <c r="H935">
        <v>4</v>
      </c>
      <c r="I935">
        <v>1</v>
      </c>
      <c r="J935">
        <v>2.2999999999999998</v>
      </c>
    </row>
    <row r="936" spans="1:10" x14ac:dyDescent="0.25">
      <c r="A936" t="s">
        <v>45</v>
      </c>
      <c r="B936" t="s">
        <v>11</v>
      </c>
      <c r="C936" t="s">
        <v>52</v>
      </c>
      <c r="D936" t="s">
        <v>26</v>
      </c>
      <c r="E936" t="s">
        <v>22</v>
      </c>
      <c r="F936" t="s">
        <v>15</v>
      </c>
      <c r="G936">
        <v>5</v>
      </c>
      <c r="H936">
        <v>5</v>
      </c>
      <c r="I936">
        <v>1</v>
      </c>
      <c r="J936">
        <v>2.9</v>
      </c>
    </row>
    <row r="937" spans="1:10" x14ac:dyDescent="0.25">
      <c r="A937" t="s">
        <v>20</v>
      </c>
      <c r="B937" t="s">
        <v>37</v>
      </c>
      <c r="C937" t="s">
        <v>38</v>
      </c>
      <c r="D937" t="s">
        <v>40</v>
      </c>
      <c r="E937" t="s">
        <v>18</v>
      </c>
      <c r="F937" t="s">
        <v>19</v>
      </c>
      <c r="G937">
        <v>5</v>
      </c>
      <c r="H937">
        <v>5</v>
      </c>
      <c r="I937">
        <v>0</v>
      </c>
      <c r="J937">
        <v>3.8</v>
      </c>
    </row>
    <row r="938" spans="1:10" x14ac:dyDescent="0.25">
      <c r="A938" t="s">
        <v>59</v>
      </c>
      <c r="B938" t="s">
        <v>34</v>
      </c>
      <c r="C938" t="s">
        <v>35</v>
      </c>
      <c r="D938" t="s">
        <v>40</v>
      </c>
      <c r="E938" t="s">
        <v>14</v>
      </c>
      <c r="F938" t="s">
        <v>19</v>
      </c>
      <c r="G938">
        <v>4</v>
      </c>
      <c r="H938">
        <v>4</v>
      </c>
      <c r="I938">
        <v>0</v>
      </c>
      <c r="J938">
        <v>1</v>
      </c>
    </row>
    <row r="939" spans="1:10" x14ac:dyDescent="0.25">
      <c r="A939" t="s">
        <v>59</v>
      </c>
      <c r="B939" t="s">
        <v>16</v>
      </c>
      <c r="C939" t="s">
        <v>60</v>
      </c>
      <c r="D939" t="s">
        <v>40</v>
      </c>
      <c r="E939" t="s">
        <v>30</v>
      </c>
      <c r="F939" t="s">
        <v>15</v>
      </c>
      <c r="G939">
        <v>8</v>
      </c>
      <c r="H939">
        <v>7</v>
      </c>
      <c r="I939">
        <v>1</v>
      </c>
      <c r="J939">
        <v>3.5</v>
      </c>
    </row>
    <row r="940" spans="1:10" x14ac:dyDescent="0.25">
      <c r="A940" t="s">
        <v>31</v>
      </c>
      <c r="B940" t="s">
        <v>34</v>
      </c>
      <c r="C940" t="s">
        <v>51</v>
      </c>
      <c r="D940" t="s">
        <v>22</v>
      </c>
      <c r="E940" t="s">
        <v>18</v>
      </c>
      <c r="F940" t="s">
        <v>15</v>
      </c>
      <c r="G940">
        <v>4</v>
      </c>
      <c r="H940">
        <v>4</v>
      </c>
      <c r="I940">
        <v>0</v>
      </c>
      <c r="J940">
        <v>4.7</v>
      </c>
    </row>
    <row r="941" spans="1:10" x14ac:dyDescent="0.25">
      <c r="A941" t="s">
        <v>20</v>
      </c>
      <c r="B941" t="s">
        <v>28</v>
      </c>
      <c r="C941" t="s">
        <v>58</v>
      </c>
      <c r="D941" t="s">
        <v>32</v>
      </c>
      <c r="E941" t="s">
        <v>30</v>
      </c>
      <c r="F941" t="s">
        <v>19</v>
      </c>
      <c r="G941">
        <v>4</v>
      </c>
      <c r="H941">
        <v>3</v>
      </c>
      <c r="I941">
        <v>0</v>
      </c>
      <c r="J941">
        <v>2.1</v>
      </c>
    </row>
    <row r="942" spans="1:10" x14ac:dyDescent="0.25">
      <c r="A942" t="s">
        <v>50</v>
      </c>
      <c r="B942" t="s">
        <v>37</v>
      </c>
      <c r="C942" t="s">
        <v>39</v>
      </c>
      <c r="D942" t="s">
        <v>13</v>
      </c>
      <c r="E942" t="s">
        <v>22</v>
      </c>
      <c r="F942" t="s">
        <v>19</v>
      </c>
      <c r="G942">
        <v>8</v>
      </c>
      <c r="H942">
        <v>8</v>
      </c>
      <c r="I942">
        <v>0</v>
      </c>
      <c r="J942">
        <v>2</v>
      </c>
    </row>
    <row r="943" spans="1:10" x14ac:dyDescent="0.25">
      <c r="A943" t="s">
        <v>10</v>
      </c>
      <c r="B943" t="s">
        <v>37</v>
      </c>
      <c r="C943" t="s">
        <v>39</v>
      </c>
      <c r="D943" t="s">
        <v>40</v>
      </c>
      <c r="E943" t="s">
        <v>18</v>
      </c>
      <c r="F943" t="s">
        <v>19</v>
      </c>
      <c r="G943">
        <v>2</v>
      </c>
      <c r="H943">
        <v>2</v>
      </c>
      <c r="I943">
        <v>0</v>
      </c>
      <c r="J943">
        <v>3.5</v>
      </c>
    </row>
    <row r="944" spans="1:10" x14ac:dyDescent="0.25">
      <c r="A944" t="s">
        <v>55</v>
      </c>
      <c r="B944" t="s">
        <v>37</v>
      </c>
      <c r="C944" t="s">
        <v>38</v>
      </c>
      <c r="D944" t="s">
        <v>13</v>
      </c>
      <c r="E944" t="s">
        <v>53</v>
      </c>
      <c r="F944" t="s">
        <v>19</v>
      </c>
      <c r="G944">
        <v>8</v>
      </c>
      <c r="H944">
        <v>8</v>
      </c>
      <c r="I944">
        <v>1</v>
      </c>
      <c r="J944">
        <v>3.3</v>
      </c>
    </row>
    <row r="945" spans="1:10" x14ac:dyDescent="0.25">
      <c r="A945" t="s">
        <v>23</v>
      </c>
      <c r="B945" t="s">
        <v>11</v>
      </c>
      <c r="C945" t="s">
        <v>12</v>
      </c>
      <c r="D945" t="s">
        <v>13</v>
      </c>
      <c r="E945" t="s">
        <v>18</v>
      </c>
      <c r="F945" t="s">
        <v>19</v>
      </c>
      <c r="G945">
        <v>7</v>
      </c>
      <c r="H945">
        <v>7</v>
      </c>
      <c r="I945">
        <v>0</v>
      </c>
      <c r="J945">
        <v>4.7</v>
      </c>
    </row>
    <row r="946" spans="1:10" x14ac:dyDescent="0.25">
      <c r="A946" t="s">
        <v>45</v>
      </c>
      <c r="B946" t="s">
        <v>24</v>
      </c>
      <c r="C946" t="s">
        <v>25</v>
      </c>
      <c r="D946" t="s">
        <v>32</v>
      </c>
      <c r="E946" t="s">
        <v>18</v>
      </c>
      <c r="F946" t="s">
        <v>15</v>
      </c>
      <c r="G946">
        <v>7</v>
      </c>
      <c r="H946">
        <v>7</v>
      </c>
      <c r="I946">
        <v>1</v>
      </c>
      <c r="J946">
        <v>4.2</v>
      </c>
    </row>
    <row r="947" spans="1:10" x14ac:dyDescent="0.25">
      <c r="A947" t="s">
        <v>20</v>
      </c>
      <c r="B947" t="s">
        <v>48</v>
      </c>
      <c r="C947" t="s">
        <v>63</v>
      </c>
      <c r="D947" t="s">
        <v>21</v>
      </c>
      <c r="E947" t="s">
        <v>14</v>
      </c>
      <c r="F947" t="s">
        <v>19</v>
      </c>
      <c r="G947">
        <v>2</v>
      </c>
      <c r="H947">
        <v>1</v>
      </c>
      <c r="I947">
        <v>0</v>
      </c>
      <c r="J947">
        <v>3</v>
      </c>
    </row>
    <row r="948" spans="1:10" x14ac:dyDescent="0.25">
      <c r="A948" t="s">
        <v>36</v>
      </c>
      <c r="B948" t="s">
        <v>37</v>
      </c>
      <c r="C948" t="s">
        <v>39</v>
      </c>
      <c r="D948" t="s">
        <v>13</v>
      </c>
      <c r="E948" t="s">
        <v>22</v>
      </c>
      <c r="F948" t="s">
        <v>19</v>
      </c>
      <c r="G948">
        <v>3</v>
      </c>
      <c r="H948">
        <v>3</v>
      </c>
      <c r="I948">
        <v>0</v>
      </c>
      <c r="J948">
        <v>3.5</v>
      </c>
    </row>
    <row r="949" spans="1:10" x14ac:dyDescent="0.25">
      <c r="A949" t="s">
        <v>55</v>
      </c>
      <c r="B949" t="s">
        <v>11</v>
      </c>
      <c r="C949" t="s">
        <v>12</v>
      </c>
      <c r="D949" t="s">
        <v>21</v>
      </c>
      <c r="E949" t="s">
        <v>30</v>
      </c>
      <c r="F949" t="s">
        <v>19</v>
      </c>
      <c r="G949">
        <v>6</v>
      </c>
      <c r="H949">
        <v>5</v>
      </c>
      <c r="I949">
        <v>0</v>
      </c>
      <c r="J949">
        <v>3.6</v>
      </c>
    </row>
    <row r="950" spans="1:10" x14ac:dyDescent="0.25">
      <c r="A950" t="s">
        <v>50</v>
      </c>
      <c r="B950" t="s">
        <v>41</v>
      </c>
      <c r="C950" t="s">
        <v>44</v>
      </c>
      <c r="D950" t="s">
        <v>26</v>
      </c>
      <c r="E950" t="s">
        <v>14</v>
      </c>
      <c r="F950" t="s">
        <v>15</v>
      </c>
      <c r="G950">
        <v>3</v>
      </c>
      <c r="H950">
        <v>3</v>
      </c>
      <c r="I950">
        <v>0</v>
      </c>
      <c r="J950">
        <v>3.4</v>
      </c>
    </row>
    <row r="951" spans="1:10" x14ac:dyDescent="0.25">
      <c r="A951" t="s">
        <v>59</v>
      </c>
      <c r="B951" t="s">
        <v>56</v>
      </c>
      <c r="C951" t="s">
        <v>57</v>
      </c>
      <c r="D951" t="s">
        <v>22</v>
      </c>
      <c r="E951" t="s">
        <v>18</v>
      </c>
      <c r="F951" t="s">
        <v>19</v>
      </c>
      <c r="G951">
        <v>4</v>
      </c>
      <c r="H951">
        <v>3</v>
      </c>
      <c r="I951">
        <v>0</v>
      </c>
      <c r="J951">
        <v>1.6</v>
      </c>
    </row>
    <row r="952" spans="1:10" x14ac:dyDescent="0.25">
      <c r="A952" t="s">
        <v>20</v>
      </c>
      <c r="B952" t="s">
        <v>28</v>
      </c>
      <c r="C952" t="s">
        <v>58</v>
      </c>
      <c r="D952" t="s">
        <v>21</v>
      </c>
      <c r="E952" t="s">
        <v>14</v>
      </c>
      <c r="F952" t="s">
        <v>19</v>
      </c>
      <c r="G952">
        <v>3</v>
      </c>
      <c r="H952">
        <v>3</v>
      </c>
      <c r="I952">
        <v>0</v>
      </c>
      <c r="J952">
        <v>2.4</v>
      </c>
    </row>
    <row r="953" spans="1:10" x14ac:dyDescent="0.25">
      <c r="A953" t="s">
        <v>50</v>
      </c>
      <c r="B953" t="s">
        <v>56</v>
      </c>
      <c r="C953" t="s">
        <v>57</v>
      </c>
      <c r="D953" t="s">
        <v>22</v>
      </c>
      <c r="E953" t="s">
        <v>22</v>
      </c>
      <c r="F953" t="s">
        <v>15</v>
      </c>
      <c r="G953">
        <v>5</v>
      </c>
      <c r="H953">
        <v>5</v>
      </c>
      <c r="I953">
        <v>0</v>
      </c>
      <c r="J953">
        <v>2.2999999999999998</v>
      </c>
    </row>
    <row r="954" spans="1:10" x14ac:dyDescent="0.25">
      <c r="A954" t="s">
        <v>59</v>
      </c>
      <c r="B954" t="s">
        <v>16</v>
      </c>
      <c r="C954" t="s">
        <v>60</v>
      </c>
      <c r="D954" t="s">
        <v>13</v>
      </c>
      <c r="E954" t="s">
        <v>30</v>
      </c>
      <c r="F954" t="s">
        <v>19</v>
      </c>
      <c r="G954">
        <v>3</v>
      </c>
      <c r="H954">
        <v>2</v>
      </c>
      <c r="I954">
        <v>0</v>
      </c>
      <c r="J954">
        <v>1.4</v>
      </c>
    </row>
    <row r="955" spans="1:10" x14ac:dyDescent="0.25">
      <c r="A955" t="s">
        <v>23</v>
      </c>
      <c r="B955" t="s">
        <v>46</v>
      </c>
      <c r="C955" t="s">
        <v>47</v>
      </c>
      <c r="D955" t="s">
        <v>13</v>
      </c>
      <c r="E955" t="s">
        <v>18</v>
      </c>
      <c r="F955" t="s">
        <v>19</v>
      </c>
      <c r="G955">
        <v>3</v>
      </c>
      <c r="H955">
        <v>3</v>
      </c>
      <c r="I955">
        <v>0</v>
      </c>
      <c r="J955">
        <v>4.0999999999999996</v>
      </c>
    </row>
    <row r="956" spans="1:10" x14ac:dyDescent="0.25">
      <c r="A956" t="s">
        <v>23</v>
      </c>
      <c r="B956" t="s">
        <v>16</v>
      </c>
      <c r="C956" t="s">
        <v>17</v>
      </c>
      <c r="D956" t="s">
        <v>22</v>
      </c>
      <c r="E956" t="s">
        <v>14</v>
      </c>
      <c r="F956" t="s">
        <v>19</v>
      </c>
      <c r="G956">
        <v>2</v>
      </c>
      <c r="H956">
        <v>2</v>
      </c>
      <c r="I956">
        <v>0</v>
      </c>
      <c r="J956">
        <v>3.1</v>
      </c>
    </row>
    <row r="957" spans="1:10" x14ac:dyDescent="0.25">
      <c r="A957" t="s">
        <v>23</v>
      </c>
      <c r="B957" t="s">
        <v>34</v>
      </c>
      <c r="C957" t="s">
        <v>35</v>
      </c>
      <c r="D957" t="s">
        <v>32</v>
      </c>
      <c r="E957" t="s">
        <v>27</v>
      </c>
      <c r="F957" t="s">
        <v>15</v>
      </c>
      <c r="G957">
        <v>6</v>
      </c>
      <c r="H957">
        <v>6</v>
      </c>
      <c r="I957">
        <v>1</v>
      </c>
      <c r="J957">
        <v>3.5</v>
      </c>
    </row>
    <row r="958" spans="1:10" x14ac:dyDescent="0.25">
      <c r="A958" t="s">
        <v>36</v>
      </c>
      <c r="B958" t="s">
        <v>24</v>
      </c>
      <c r="C958" t="s">
        <v>64</v>
      </c>
      <c r="D958" t="s">
        <v>13</v>
      </c>
      <c r="E958" t="s">
        <v>18</v>
      </c>
      <c r="F958" t="s">
        <v>15</v>
      </c>
      <c r="G958">
        <v>4</v>
      </c>
      <c r="H958">
        <v>3</v>
      </c>
      <c r="I958">
        <v>0</v>
      </c>
      <c r="J958">
        <v>4.9000000000000004</v>
      </c>
    </row>
    <row r="959" spans="1:10" x14ac:dyDescent="0.25">
      <c r="A959" t="s">
        <v>23</v>
      </c>
      <c r="B959" t="s">
        <v>34</v>
      </c>
      <c r="C959" t="s">
        <v>51</v>
      </c>
      <c r="D959" t="s">
        <v>26</v>
      </c>
      <c r="E959" t="s">
        <v>53</v>
      </c>
      <c r="F959" t="s">
        <v>19</v>
      </c>
      <c r="G959">
        <v>7</v>
      </c>
      <c r="H959">
        <v>7</v>
      </c>
      <c r="I959">
        <v>0</v>
      </c>
      <c r="J959">
        <v>3.3</v>
      </c>
    </row>
    <row r="960" spans="1:10" x14ac:dyDescent="0.25">
      <c r="A960" t="s">
        <v>61</v>
      </c>
      <c r="B960" t="s">
        <v>16</v>
      </c>
      <c r="C960" t="s">
        <v>60</v>
      </c>
      <c r="D960" t="s">
        <v>32</v>
      </c>
      <c r="E960" t="s">
        <v>14</v>
      </c>
      <c r="F960" t="s">
        <v>15</v>
      </c>
      <c r="G960">
        <v>4</v>
      </c>
      <c r="H960">
        <v>4</v>
      </c>
      <c r="I960">
        <v>0</v>
      </c>
      <c r="J960">
        <v>3</v>
      </c>
    </row>
    <row r="961" spans="1:10" x14ac:dyDescent="0.25">
      <c r="A961" t="s">
        <v>43</v>
      </c>
      <c r="B961" t="s">
        <v>37</v>
      </c>
      <c r="C961" t="s">
        <v>38</v>
      </c>
      <c r="D961" t="s">
        <v>26</v>
      </c>
      <c r="E961" t="s">
        <v>14</v>
      </c>
      <c r="F961" t="s">
        <v>15</v>
      </c>
      <c r="G961">
        <v>2</v>
      </c>
      <c r="H961">
        <v>2</v>
      </c>
      <c r="I961">
        <v>0</v>
      </c>
      <c r="J961">
        <v>3.2</v>
      </c>
    </row>
    <row r="962" spans="1:10" x14ac:dyDescent="0.25">
      <c r="A962" t="s">
        <v>33</v>
      </c>
      <c r="B962" t="s">
        <v>16</v>
      </c>
      <c r="C962" t="s">
        <v>17</v>
      </c>
      <c r="D962" t="s">
        <v>40</v>
      </c>
      <c r="E962" t="s">
        <v>18</v>
      </c>
      <c r="F962" t="s">
        <v>19</v>
      </c>
      <c r="G962">
        <v>3</v>
      </c>
      <c r="H962">
        <v>3</v>
      </c>
      <c r="I962">
        <v>0</v>
      </c>
      <c r="J962">
        <v>1.8</v>
      </c>
    </row>
    <row r="963" spans="1:10" x14ac:dyDescent="0.25">
      <c r="A963" t="s">
        <v>33</v>
      </c>
      <c r="B963" t="s">
        <v>46</v>
      </c>
      <c r="C963" t="s">
        <v>54</v>
      </c>
      <c r="D963" t="s">
        <v>32</v>
      </c>
      <c r="E963" t="s">
        <v>30</v>
      </c>
      <c r="F963" t="s">
        <v>15</v>
      </c>
      <c r="G963">
        <v>5</v>
      </c>
      <c r="H963">
        <v>5</v>
      </c>
      <c r="I963">
        <v>0</v>
      </c>
      <c r="J963">
        <v>3.4</v>
      </c>
    </row>
    <row r="964" spans="1:10" x14ac:dyDescent="0.25">
      <c r="A964" t="s">
        <v>10</v>
      </c>
      <c r="B964" t="s">
        <v>34</v>
      </c>
      <c r="C964" t="s">
        <v>51</v>
      </c>
      <c r="D964" t="s">
        <v>26</v>
      </c>
      <c r="E964" t="s">
        <v>27</v>
      </c>
      <c r="F964" t="s">
        <v>19</v>
      </c>
      <c r="G964">
        <v>3</v>
      </c>
      <c r="H964">
        <v>3</v>
      </c>
      <c r="I964">
        <v>0</v>
      </c>
      <c r="J964">
        <v>2.6</v>
      </c>
    </row>
    <row r="965" spans="1:10" x14ac:dyDescent="0.25">
      <c r="A965" t="s">
        <v>10</v>
      </c>
      <c r="B965" t="s">
        <v>28</v>
      </c>
      <c r="C965" t="s">
        <v>58</v>
      </c>
      <c r="D965" t="s">
        <v>22</v>
      </c>
      <c r="E965" t="s">
        <v>53</v>
      </c>
      <c r="F965" t="s">
        <v>15</v>
      </c>
      <c r="G965">
        <v>3</v>
      </c>
      <c r="H965">
        <v>3</v>
      </c>
      <c r="I965">
        <v>0</v>
      </c>
      <c r="J965">
        <v>3.3</v>
      </c>
    </row>
    <row r="966" spans="1:10" x14ac:dyDescent="0.25">
      <c r="A966" t="s">
        <v>10</v>
      </c>
      <c r="B966" t="s">
        <v>11</v>
      </c>
      <c r="C966" t="s">
        <v>52</v>
      </c>
      <c r="D966" t="s">
        <v>40</v>
      </c>
      <c r="E966" t="s">
        <v>30</v>
      </c>
      <c r="F966" t="s">
        <v>15</v>
      </c>
      <c r="G966">
        <v>6</v>
      </c>
      <c r="H966">
        <v>5</v>
      </c>
      <c r="I966">
        <v>0</v>
      </c>
      <c r="J966">
        <v>3.8</v>
      </c>
    </row>
    <row r="967" spans="1:10" x14ac:dyDescent="0.25">
      <c r="A967" t="s">
        <v>55</v>
      </c>
      <c r="B967" t="s">
        <v>48</v>
      </c>
      <c r="C967" t="s">
        <v>63</v>
      </c>
      <c r="D967" t="s">
        <v>22</v>
      </c>
      <c r="E967" t="s">
        <v>30</v>
      </c>
      <c r="F967" t="s">
        <v>15</v>
      </c>
      <c r="G967">
        <v>6</v>
      </c>
      <c r="H967">
        <v>6</v>
      </c>
      <c r="I967">
        <v>0</v>
      </c>
      <c r="J967">
        <v>4.9000000000000004</v>
      </c>
    </row>
    <row r="968" spans="1:10" x14ac:dyDescent="0.25">
      <c r="A968" t="s">
        <v>31</v>
      </c>
      <c r="B968" t="s">
        <v>28</v>
      </c>
      <c r="C968" t="s">
        <v>29</v>
      </c>
      <c r="D968" t="s">
        <v>13</v>
      </c>
      <c r="E968" t="s">
        <v>22</v>
      </c>
      <c r="F968" t="s">
        <v>15</v>
      </c>
      <c r="G968">
        <v>4</v>
      </c>
      <c r="H968">
        <v>4</v>
      </c>
      <c r="I968">
        <v>0</v>
      </c>
      <c r="J968">
        <v>2.9</v>
      </c>
    </row>
    <row r="969" spans="1:10" x14ac:dyDescent="0.25">
      <c r="A969" t="s">
        <v>45</v>
      </c>
      <c r="B969" t="s">
        <v>28</v>
      </c>
      <c r="C969" t="s">
        <v>58</v>
      </c>
      <c r="D969" t="s">
        <v>26</v>
      </c>
      <c r="E969" t="s">
        <v>22</v>
      </c>
      <c r="F969" t="s">
        <v>15</v>
      </c>
      <c r="G969">
        <v>6</v>
      </c>
      <c r="H969">
        <v>6</v>
      </c>
      <c r="I969">
        <v>0</v>
      </c>
      <c r="J969">
        <v>1.3</v>
      </c>
    </row>
    <row r="970" spans="1:10" x14ac:dyDescent="0.25">
      <c r="A970" t="s">
        <v>36</v>
      </c>
      <c r="B970" t="s">
        <v>11</v>
      </c>
      <c r="C970" t="s">
        <v>52</v>
      </c>
      <c r="D970" t="s">
        <v>22</v>
      </c>
      <c r="E970" t="s">
        <v>53</v>
      </c>
      <c r="F970" t="s">
        <v>19</v>
      </c>
      <c r="G970">
        <v>7</v>
      </c>
      <c r="H970">
        <v>7</v>
      </c>
      <c r="I970">
        <v>2</v>
      </c>
      <c r="J970">
        <v>2.6</v>
      </c>
    </row>
    <row r="971" spans="1:10" x14ac:dyDescent="0.25">
      <c r="A971" t="s">
        <v>10</v>
      </c>
      <c r="B971" t="s">
        <v>28</v>
      </c>
      <c r="C971" t="s">
        <v>58</v>
      </c>
      <c r="D971" t="s">
        <v>22</v>
      </c>
      <c r="E971" t="s">
        <v>18</v>
      </c>
      <c r="F971" t="s">
        <v>15</v>
      </c>
      <c r="G971">
        <v>5</v>
      </c>
      <c r="H971">
        <v>4</v>
      </c>
      <c r="I971">
        <v>0</v>
      </c>
      <c r="J971">
        <v>3.7</v>
      </c>
    </row>
    <row r="972" spans="1:10" x14ac:dyDescent="0.25">
      <c r="A972" t="s">
        <v>36</v>
      </c>
      <c r="B972" t="s">
        <v>48</v>
      </c>
      <c r="C972" t="s">
        <v>63</v>
      </c>
      <c r="D972" t="s">
        <v>21</v>
      </c>
      <c r="E972" t="s">
        <v>27</v>
      </c>
      <c r="F972" t="s">
        <v>15</v>
      </c>
      <c r="G972">
        <v>5</v>
      </c>
      <c r="H972">
        <v>5</v>
      </c>
      <c r="I972">
        <v>1</v>
      </c>
      <c r="J972">
        <v>3.5</v>
      </c>
    </row>
    <row r="973" spans="1:10" x14ac:dyDescent="0.25">
      <c r="A973" t="s">
        <v>31</v>
      </c>
      <c r="B973" t="s">
        <v>28</v>
      </c>
      <c r="C973" t="s">
        <v>58</v>
      </c>
      <c r="D973" t="s">
        <v>13</v>
      </c>
      <c r="E973" t="s">
        <v>30</v>
      </c>
      <c r="F973" t="s">
        <v>19</v>
      </c>
      <c r="G973">
        <v>4</v>
      </c>
      <c r="H973">
        <v>4</v>
      </c>
      <c r="I973">
        <v>1</v>
      </c>
      <c r="J973">
        <v>2.7</v>
      </c>
    </row>
    <row r="974" spans="1:10" x14ac:dyDescent="0.25">
      <c r="A974" t="s">
        <v>55</v>
      </c>
      <c r="B974" t="s">
        <v>46</v>
      </c>
      <c r="C974" t="s">
        <v>54</v>
      </c>
      <c r="D974" t="s">
        <v>13</v>
      </c>
      <c r="E974" t="s">
        <v>53</v>
      </c>
      <c r="F974" t="s">
        <v>19</v>
      </c>
      <c r="G974">
        <v>3</v>
      </c>
      <c r="H974">
        <v>3</v>
      </c>
      <c r="I974">
        <v>0</v>
      </c>
      <c r="J974">
        <v>3.1</v>
      </c>
    </row>
    <row r="975" spans="1:10" x14ac:dyDescent="0.25">
      <c r="A975" t="s">
        <v>50</v>
      </c>
      <c r="B975" t="s">
        <v>34</v>
      </c>
      <c r="C975" t="s">
        <v>51</v>
      </c>
      <c r="D975" t="s">
        <v>32</v>
      </c>
      <c r="E975" t="s">
        <v>22</v>
      </c>
      <c r="F975" t="s">
        <v>19</v>
      </c>
      <c r="G975">
        <v>5</v>
      </c>
      <c r="H975">
        <v>4</v>
      </c>
      <c r="I975">
        <v>0</v>
      </c>
      <c r="J975">
        <v>2.2999999999999998</v>
      </c>
    </row>
    <row r="976" spans="1:10" x14ac:dyDescent="0.25">
      <c r="A976" t="s">
        <v>59</v>
      </c>
      <c r="B976" t="s">
        <v>37</v>
      </c>
      <c r="C976" t="s">
        <v>39</v>
      </c>
      <c r="D976" t="s">
        <v>13</v>
      </c>
      <c r="E976" t="s">
        <v>14</v>
      </c>
      <c r="F976" t="s">
        <v>15</v>
      </c>
      <c r="G976">
        <v>6</v>
      </c>
      <c r="H976">
        <v>4</v>
      </c>
      <c r="I976">
        <v>0</v>
      </c>
      <c r="J976">
        <v>2.7</v>
      </c>
    </row>
    <row r="977" spans="1:10" x14ac:dyDescent="0.25">
      <c r="A977" t="s">
        <v>33</v>
      </c>
      <c r="B977" t="s">
        <v>37</v>
      </c>
      <c r="C977" t="s">
        <v>39</v>
      </c>
      <c r="D977" t="s">
        <v>22</v>
      </c>
      <c r="E977" t="s">
        <v>27</v>
      </c>
      <c r="F977" t="s">
        <v>19</v>
      </c>
      <c r="G977">
        <v>4</v>
      </c>
      <c r="H977">
        <v>4</v>
      </c>
      <c r="I977">
        <v>0</v>
      </c>
      <c r="J977">
        <v>2.2999999999999998</v>
      </c>
    </row>
    <row r="978" spans="1:10" x14ac:dyDescent="0.25">
      <c r="A978" t="s">
        <v>50</v>
      </c>
      <c r="B978" t="s">
        <v>48</v>
      </c>
      <c r="C978" t="s">
        <v>49</v>
      </c>
      <c r="D978" t="s">
        <v>32</v>
      </c>
      <c r="E978" t="s">
        <v>27</v>
      </c>
      <c r="F978" t="s">
        <v>19</v>
      </c>
      <c r="G978">
        <v>5</v>
      </c>
      <c r="H978">
        <v>4</v>
      </c>
      <c r="I978">
        <v>2</v>
      </c>
      <c r="J978">
        <v>2.7</v>
      </c>
    </row>
    <row r="979" spans="1:10" x14ac:dyDescent="0.25">
      <c r="A979" t="s">
        <v>23</v>
      </c>
      <c r="B979" t="s">
        <v>37</v>
      </c>
      <c r="C979" t="s">
        <v>38</v>
      </c>
      <c r="D979" t="s">
        <v>22</v>
      </c>
      <c r="E979" t="s">
        <v>53</v>
      </c>
      <c r="F979" t="s">
        <v>15</v>
      </c>
      <c r="G979">
        <v>3</v>
      </c>
      <c r="H979">
        <v>2</v>
      </c>
      <c r="I979">
        <v>0</v>
      </c>
      <c r="J979">
        <v>3</v>
      </c>
    </row>
    <row r="980" spans="1:10" x14ac:dyDescent="0.25">
      <c r="A980" t="s">
        <v>59</v>
      </c>
      <c r="B980" t="s">
        <v>48</v>
      </c>
      <c r="C980" t="s">
        <v>49</v>
      </c>
      <c r="D980" t="s">
        <v>22</v>
      </c>
      <c r="E980" t="s">
        <v>53</v>
      </c>
      <c r="F980" t="s">
        <v>15</v>
      </c>
      <c r="G980">
        <v>12</v>
      </c>
      <c r="H980">
        <v>12</v>
      </c>
      <c r="I980">
        <v>0</v>
      </c>
      <c r="J980">
        <v>4.3</v>
      </c>
    </row>
    <row r="981" spans="1:10" x14ac:dyDescent="0.25">
      <c r="A981" t="s">
        <v>61</v>
      </c>
      <c r="B981" t="s">
        <v>24</v>
      </c>
      <c r="C981" t="s">
        <v>25</v>
      </c>
      <c r="D981" t="s">
        <v>26</v>
      </c>
      <c r="E981" t="s">
        <v>30</v>
      </c>
      <c r="F981" t="s">
        <v>19</v>
      </c>
      <c r="G981">
        <v>3</v>
      </c>
      <c r="H981">
        <v>3</v>
      </c>
      <c r="I981">
        <v>0</v>
      </c>
      <c r="J981">
        <v>3.1</v>
      </c>
    </row>
    <row r="982" spans="1:10" x14ac:dyDescent="0.25">
      <c r="A982" t="s">
        <v>59</v>
      </c>
      <c r="B982" t="s">
        <v>28</v>
      </c>
      <c r="C982" t="s">
        <v>29</v>
      </c>
      <c r="D982" t="s">
        <v>13</v>
      </c>
      <c r="E982" t="s">
        <v>14</v>
      </c>
      <c r="F982" t="s">
        <v>15</v>
      </c>
      <c r="G982">
        <v>4</v>
      </c>
      <c r="H982">
        <v>2</v>
      </c>
      <c r="I982">
        <v>0</v>
      </c>
      <c r="J982">
        <v>2.4</v>
      </c>
    </row>
    <row r="983" spans="1:10" x14ac:dyDescent="0.25">
      <c r="A983" t="s">
        <v>23</v>
      </c>
      <c r="B983" t="s">
        <v>41</v>
      </c>
      <c r="C983" t="s">
        <v>42</v>
      </c>
      <c r="D983" t="s">
        <v>32</v>
      </c>
      <c r="E983" t="s">
        <v>22</v>
      </c>
      <c r="F983" t="s">
        <v>15</v>
      </c>
      <c r="G983">
        <v>6</v>
      </c>
      <c r="H983">
        <v>6</v>
      </c>
      <c r="I983">
        <v>0</v>
      </c>
      <c r="J983">
        <v>2.5</v>
      </c>
    </row>
    <row r="984" spans="1:10" x14ac:dyDescent="0.25">
      <c r="A984" t="s">
        <v>36</v>
      </c>
      <c r="B984" t="s">
        <v>41</v>
      </c>
      <c r="C984" t="s">
        <v>44</v>
      </c>
      <c r="D984" t="s">
        <v>32</v>
      </c>
      <c r="E984" t="s">
        <v>18</v>
      </c>
      <c r="F984" t="s">
        <v>19</v>
      </c>
      <c r="G984">
        <v>8</v>
      </c>
      <c r="H984">
        <v>6</v>
      </c>
      <c r="I984">
        <v>0</v>
      </c>
      <c r="J984">
        <v>1.1000000000000001</v>
      </c>
    </row>
    <row r="985" spans="1:10" x14ac:dyDescent="0.25">
      <c r="A985" t="s">
        <v>59</v>
      </c>
      <c r="B985" t="s">
        <v>56</v>
      </c>
      <c r="C985" t="s">
        <v>62</v>
      </c>
      <c r="D985" t="s">
        <v>26</v>
      </c>
      <c r="E985" t="s">
        <v>30</v>
      </c>
      <c r="F985" t="s">
        <v>19</v>
      </c>
      <c r="G985">
        <v>7</v>
      </c>
      <c r="H985">
        <v>7</v>
      </c>
      <c r="I985">
        <v>0</v>
      </c>
      <c r="J985">
        <v>3.8</v>
      </c>
    </row>
    <row r="986" spans="1:10" x14ac:dyDescent="0.25">
      <c r="A986" t="s">
        <v>33</v>
      </c>
      <c r="B986" t="s">
        <v>24</v>
      </c>
      <c r="C986" t="s">
        <v>25</v>
      </c>
      <c r="D986" t="s">
        <v>26</v>
      </c>
      <c r="E986" t="s">
        <v>18</v>
      </c>
      <c r="F986" t="s">
        <v>15</v>
      </c>
      <c r="G986">
        <v>5</v>
      </c>
      <c r="H986">
        <v>4</v>
      </c>
      <c r="I986">
        <v>0</v>
      </c>
      <c r="J986">
        <v>2.9</v>
      </c>
    </row>
    <row r="987" spans="1:10" x14ac:dyDescent="0.25">
      <c r="A987" t="s">
        <v>61</v>
      </c>
      <c r="B987" t="s">
        <v>34</v>
      </c>
      <c r="C987" t="s">
        <v>51</v>
      </c>
      <c r="D987" t="s">
        <v>26</v>
      </c>
      <c r="E987" t="s">
        <v>22</v>
      </c>
      <c r="F987" t="s">
        <v>15</v>
      </c>
      <c r="G987">
        <v>8</v>
      </c>
      <c r="H987">
        <v>8</v>
      </c>
      <c r="I987">
        <v>1</v>
      </c>
      <c r="J987">
        <v>2.2000000000000002</v>
      </c>
    </row>
    <row r="988" spans="1:10" x14ac:dyDescent="0.25">
      <c r="A988" t="s">
        <v>33</v>
      </c>
      <c r="B988" t="s">
        <v>46</v>
      </c>
      <c r="C988" t="s">
        <v>54</v>
      </c>
      <c r="D988" t="s">
        <v>26</v>
      </c>
      <c r="E988" t="s">
        <v>18</v>
      </c>
      <c r="F988" t="s">
        <v>15</v>
      </c>
      <c r="G988">
        <v>6</v>
      </c>
      <c r="H988">
        <v>6</v>
      </c>
      <c r="I988">
        <v>0</v>
      </c>
      <c r="J988">
        <v>1.7</v>
      </c>
    </row>
    <row r="989" spans="1:10" x14ac:dyDescent="0.25">
      <c r="A989" t="s">
        <v>20</v>
      </c>
      <c r="B989" t="s">
        <v>28</v>
      </c>
      <c r="C989" t="s">
        <v>29</v>
      </c>
      <c r="D989" t="s">
        <v>13</v>
      </c>
      <c r="E989" t="s">
        <v>14</v>
      </c>
      <c r="F989" t="s">
        <v>15</v>
      </c>
      <c r="G989">
        <v>8</v>
      </c>
      <c r="H989">
        <v>8</v>
      </c>
      <c r="I989">
        <v>0</v>
      </c>
      <c r="J989">
        <v>3.1</v>
      </c>
    </row>
    <row r="990" spans="1:10" x14ac:dyDescent="0.25">
      <c r="A990" t="s">
        <v>23</v>
      </c>
      <c r="B990" t="s">
        <v>34</v>
      </c>
      <c r="C990" t="s">
        <v>35</v>
      </c>
      <c r="D990" t="s">
        <v>32</v>
      </c>
      <c r="E990" t="s">
        <v>22</v>
      </c>
      <c r="F990" t="s">
        <v>15</v>
      </c>
      <c r="G990">
        <v>4</v>
      </c>
      <c r="H990">
        <v>4</v>
      </c>
      <c r="I990">
        <v>0</v>
      </c>
      <c r="J990">
        <v>1.7</v>
      </c>
    </row>
    <row r="991" spans="1:10" x14ac:dyDescent="0.25">
      <c r="A991" t="s">
        <v>23</v>
      </c>
      <c r="B991" t="s">
        <v>48</v>
      </c>
      <c r="C991" t="s">
        <v>63</v>
      </c>
      <c r="D991" t="s">
        <v>13</v>
      </c>
      <c r="E991" t="s">
        <v>14</v>
      </c>
      <c r="F991" t="s">
        <v>19</v>
      </c>
      <c r="G991">
        <v>6</v>
      </c>
      <c r="H991">
        <v>3</v>
      </c>
      <c r="I991">
        <v>0</v>
      </c>
      <c r="J991">
        <v>3.9</v>
      </c>
    </row>
    <row r="992" spans="1:10" x14ac:dyDescent="0.25">
      <c r="A992" t="s">
        <v>20</v>
      </c>
      <c r="B992" t="s">
        <v>11</v>
      </c>
      <c r="C992" t="s">
        <v>12</v>
      </c>
      <c r="D992" t="s">
        <v>21</v>
      </c>
      <c r="E992" t="s">
        <v>30</v>
      </c>
      <c r="F992" t="s">
        <v>15</v>
      </c>
      <c r="G992">
        <v>6</v>
      </c>
      <c r="H992">
        <v>5</v>
      </c>
      <c r="I992">
        <v>1</v>
      </c>
      <c r="J992">
        <v>2.5</v>
      </c>
    </row>
    <row r="993" spans="1:10" x14ac:dyDescent="0.25">
      <c r="A993" t="s">
        <v>55</v>
      </c>
      <c r="B993" t="s">
        <v>16</v>
      </c>
      <c r="C993" t="s">
        <v>17</v>
      </c>
      <c r="D993" t="s">
        <v>22</v>
      </c>
      <c r="E993" t="s">
        <v>53</v>
      </c>
      <c r="F993" t="s">
        <v>15</v>
      </c>
      <c r="G993">
        <v>4</v>
      </c>
      <c r="H993">
        <v>4</v>
      </c>
      <c r="I993">
        <v>0</v>
      </c>
      <c r="J993">
        <v>2.6</v>
      </c>
    </row>
    <row r="994" spans="1:10" x14ac:dyDescent="0.25">
      <c r="A994" t="s">
        <v>59</v>
      </c>
      <c r="B994" t="s">
        <v>56</v>
      </c>
      <c r="C994" t="s">
        <v>62</v>
      </c>
      <c r="D994" t="s">
        <v>40</v>
      </c>
      <c r="E994" t="s">
        <v>14</v>
      </c>
      <c r="F994" t="s">
        <v>15</v>
      </c>
      <c r="G994">
        <v>5</v>
      </c>
      <c r="H994">
        <v>5</v>
      </c>
      <c r="I994">
        <v>1</v>
      </c>
      <c r="J994">
        <v>2.6</v>
      </c>
    </row>
    <row r="995" spans="1:10" x14ac:dyDescent="0.25">
      <c r="A995" t="s">
        <v>61</v>
      </c>
      <c r="B995" t="s">
        <v>34</v>
      </c>
      <c r="C995" t="s">
        <v>35</v>
      </c>
      <c r="D995" t="s">
        <v>32</v>
      </c>
      <c r="E995" t="s">
        <v>27</v>
      </c>
      <c r="F995" t="s">
        <v>15</v>
      </c>
      <c r="G995">
        <v>6</v>
      </c>
      <c r="H995">
        <v>6</v>
      </c>
      <c r="I995">
        <v>0</v>
      </c>
      <c r="J995">
        <v>3.5</v>
      </c>
    </row>
    <row r="996" spans="1:10" x14ac:dyDescent="0.25">
      <c r="A996" t="s">
        <v>23</v>
      </c>
      <c r="B996" t="s">
        <v>41</v>
      </c>
      <c r="C996" t="s">
        <v>42</v>
      </c>
      <c r="D996" t="s">
        <v>13</v>
      </c>
      <c r="E996" t="s">
        <v>22</v>
      </c>
      <c r="F996" t="s">
        <v>15</v>
      </c>
      <c r="G996">
        <v>2</v>
      </c>
      <c r="H996">
        <v>1</v>
      </c>
      <c r="I996">
        <v>0</v>
      </c>
      <c r="J996">
        <v>3.6</v>
      </c>
    </row>
    <row r="997" spans="1:10" x14ac:dyDescent="0.25">
      <c r="A997" t="s">
        <v>45</v>
      </c>
      <c r="B997" t="s">
        <v>46</v>
      </c>
      <c r="C997" t="s">
        <v>54</v>
      </c>
      <c r="D997" t="s">
        <v>32</v>
      </c>
      <c r="E997" t="s">
        <v>18</v>
      </c>
      <c r="F997" t="s">
        <v>15</v>
      </c>
      <c r="G997">
        <v>7</v>
      </c>
      <c r="H997">
        <v>7</v>
      </c>
      <c r="I997">
        <v>1</v>
      </c>
      <c r="J997">
        <v>0.3</v>
      </c>
    </row>
    <row r="998" spans="1:10" x14ac:dyDescent="0.25">
      <c r="A998" t="s">
        <v>20</v>
      </c>
      <c r="B998" t="s">
        <v>34</v>
      </c>
      <c r="C998" t="s">
        <v>35</v>
      </c>
      <c r="D998" t="s">
        <v>40</v>
      </c>
      <c r="E998" t="s">
        <v>27</v>
      </c>
      <c r="F998" t="s">
        <v>19</v>
      </c>
      <c r="G998">
        <v>4</v>
      </c>
      <c r="H998">
        <v>4</v>
      </c>
      <c r="I998">
        <v>0</v>
      </c>
      <c r="J998">
        <v>3</v>
      </c>
    </row>
    <row r="999" spans="1:10" x14ac:dyDescent="0.25">
      <c r="A999" t="s">
        <v>10</v>
      </c>
      <c r="B999" t="s">
        <v>41</v>
      </c>
      <c r="C999" t="s">
        <v>42</v>
      </c>
      <c r="D999" t="s">
        <v>32</v>
      </c>
      <c r="E999" t="s">
        <v>18</v>
      </c>
      <c r="F999" t="s">
        <v>15</v>
      </c>
      <c r="G999">
        <v>6</v>
      </c>
      <c r="H999">
        <v>5</v>
      </c>
      <c r="I999">
        <v>1</v>
      </c>
      <c r="J999">
        <v>2.2000000000000002</v>
      </c>
    </row>
    <row r="1000" spans="1:10" x14ac:dyDescent="0.25">
      <c r="A1000" t="s">
        <v>55</v>
      </c>
      <c r="B1000" t="s">
        <v>16</v>
      </c>
      <c r="C1000" t="s">
        <v>60</v>
      </c>
      <c r="D1000" t="s">
        <v>26</v>
      </c>
      <c r="E1000" t="s">
        <v>18</v>
      </c>
      <c r="F1000" t="s">
        <v>15</v>
      </c>
      <c r="G1000">
        <v>4</v>
      </c>
      <c r="H1000">
        <v>3</v>
      </c>
      <c r="I1000">
        <v>0</v>
      </c>
      <c r="J1000">
        <v>3.2</v>
      </c>
    </row>
    <row r="1001" spans="1:10" x14ac:dyDescent="0.25">
      <c r="A1001" t="s">
        <v>55</v>
      </c>
      <c r="B1001" t="s">
        <v>37</v>
      </c>
      <c r="C1001" t="s">
        <v>39</v>
      </c>
      <c r="D1001" t="s">
        <v>26</v>
      </c>
      <c r="E1001" t="s">
        <v>22</v>
      </c>
      <c r="F1001" t="s">
        <v>15</v>
      </c>
      <c r="G1001">
        <v>10</v>
      </c>
      <c r="H1001">
        <v>9</v>
      </c>
      <c r="I1001">
        <v>1</v>
      </c>
      <c r="J1001">
        <v>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79499-CFF0-4C98-9424-E97676FAD40A}">
  <dimension ref="A1:R1001"/>
  <sheetViews>
    <sheetView workbookViewId="0">
      <selection activeCell="E14" sqref="E14"/>
    </sheetView>
  </sheetViews>
  <sheetFormatPr defaultRowHeight="15" x14ac:dyDescent="0.25"/>
  <cols>
    <col min="1" max="1" width="8.85546875" style="1" customWidth="1"/>
    <col min="2" max="2" width="19" style="1" customWidth="1"/>
    <col min="3" max="3" width="14.5703125" style="1" customWidth="1"/>
    <col min="5" max="5" width="28.5703125" bestFit="1" customWidth="1"/>
    <col min="6" max="6" width="16.42578125" bestFit="1" customWidth="1"/>
    <col min="7" max="7" width="12.28515625" bestFit="1" customWidth="1"/>
    <col min="8" max="8" width="9.85546875" customWidth="1"/>
    <col min="9" max="9" width="19.28515625" customWidth="1"/>
    <col min="10" max="10" width="21.140625" customWidth="1"/>
    <col min="11" max="11" width="17.140625" customWidth="1"/>
    <col min="12" max="12" width="16.85546875" customWidth="1"/>
    <col min="13" max="13" width="17.140625" customWidth="1"/>
    <col min="14" max="14" width="11.140625" customWidth="1"/>
  </cols>
  <sheetData>
    <row r="1" spans="1:18" x14ac:dyDescent="0.25">
      <c r="A1" s="16" t="s">
        <v>0</v>
      </c>
      <c r="B1" s="16" t="s">
        <v>66</v>
      </c>
      <c r="C1" s="16" t="s">
        <v>65</v>
      </c>
      <c r="D1" s="17" t="s">
        <v>1</v>
      </c>
      <c r="E1" s="17" t="s">
        <v>2</v>
      </c>
      <c r="F1" s="17" t="s">
        <v>3</v>
      </c>
      <c r="G1" s="17" t="s">
        <v>4</v>
      </c>
      <c r="H1" s="17" t="s">
        <v>5</v>
      </c>
      <c r="I1" s="17" t="s">
        <v>6</v>
      </c>
      <c r="J1" s="17" t="s">
        <v>7</v>
      </c>
      <c r="K1" s="17" t="s">
        <v>8</v>
      </c>
      <c r="L1" s="17" t="s">
        <v>9</v>
      </c>
      <c r="M1" s="18" t="s">
        <v>84</v>
      </c>
      <c r="N1" s="18" t="s">
        <v>86</v>
      </c>
    </row>
    <row r="2" spans="1:18" x14ac:dyDescent="0.25">
      <c r="A2" s="15" t="s">
        <v>10</v>
      </c>
      <c r="B2" s="9">
        <f>DATE(LEFT(A2,4), RIGHT(A2,2), 1)</f>
        <v>45017</v>
      </c>
      <c r="C2" s="9" t="str">
        <f>TEXT('Cleaned Datasets'!$B2,"MMMM")</f>
        <v>April</v>
      </c>
      <c r="D2" s="10" t="s">
        <v>11</v>
      </c>
      <c r="E2" s="10" t="s">
        <v>12</v>
      </c>
      <c r="F2" s="10" t="s">
        <v>13</v>
      </c>
      <c r="G2" s="10" t="s">
        <v>14</v>
      </c>
      <c r="H2" s="10" t="s">
        <v>15</v>
      </c>
      <c r="I2" s="10">
        <v>5</v>
      </c>
      <c r="J2" s="10">
        <v>5</v>
      </c>
      <c r="K2" s="10">
        <v>1</v>
      </c>
      <c r="L2" s="10">
        <v>4.5999999999999996</v>
      </c>
      <c r="M2" s="11">
        <f>IFERROR(J2/I2,0)</f>
        <v>1</v>
      </c>
      <c r="N2" s="11">
        <f>IFERROR(K2/I2,0)</f>
        <v>0.2</v>
      </c>
      <c r="P2">
        <f>SUM('Cleaned Datasets'!$I2)</f>
        <v>5</v>
      </c>
    </row>
    <row r="3" spans="1:18" x14ac:dyDescent="0.25">
      <c r="A3" s="12" t="s">
        <v>10</v>
      </c>
      <c r="B3" s="12">
        <f t="shared" ref="B3:B66" si="0">DATE(LEFT(A3,4), RIGHT(A3,2), 1)</f>
        <v>45017</v>
      </c>
      <c r="C3" s="12" t="str">
        <f>TEXT('Cleaned Datasets'!$B3,"MMMM")</f>
        <v>April</v>
      </c>
      <c r="D3" s="13" t="s">
        <v>16</v>
      </c>
      <c r="E3" s="13" t="s">
        <v>17</v>
      </c>
      <c r="F3" s="13" t="s">
        <v>13</v>
      </c>
      <c r="G3" s="13" t="s">
        <v>18</v>
      </c>
      <c r="H3" s="13" t="s">
        <v>19</v>
      </c>
      <c r="I3" s="13">
        <v>3</v>
      </c>
      <c r="J3" s="13">
        <v>3</v>
      </c>
      <c r="K3" s="13">
        <v>0</v>
      </c>
      <c r="L3" s="13">
        <v>3.8</v>
      </c>
      <c r="M3" s="14">
        <f t="shared" ref="M3:M66" si="1">IFERROR(J3/I3,0)</f>
        <v>1</v>
      </c>
      <c r="N3" s="14">
        <f t="shared" ref="N3:N66" si="2">IFERROR(K3/I3,0)</f>
        <v>0</v>
      </c>
    </row>
    <row r="4" spans="1:18" x14ac:dyDescent="0.25">
      <c r="A4" s="9" t="s">
        <v>20</v>
      </c>
      <c r="B4" s="9">
        <f t="shared" si="0"/>
        <v>45078</v>
      </c>
      <c r="C4" s="9" t="str">
        <f>TEXT('Cleaned Datasets'!$B4,"MMMM")</f>
        <v>June</v>
      </c>
      <c r="D4" s="10" t="s">
        <v>16</v>
      </c>
      <c r="E4" s="10" t="s">
        <v>17</v>
      </c>
      <c r="F4" s="10" t="s">
        <v>21</v>
      </c>
      <c r="G4" s="10" t="s">
        <v>22</v>
      </c>
      <c r="H4" s="10" t="s">
        <v>19</v>
      </c>
      <c r="I4" s="10">
        <v>5</v>
      </c>
      <c r="J4" s="10">
        <v>5</v>
      </c>
      <c r="K4" s="10">
        <v>0</v>
      </c>
      <c r="L4" s="10">
        <v>4.5</v>
      </c>
      <c r="M4" s="11">
        <f t="shared" si="1"/>
        <v>1</v>
      </c>
      <c r="N4" s="11">
        <f t="shared" si="2"/>
        <v>0</v>
      </c>
    </row>
    <row r="5" spans="1:18" x14ac:dyDescent="0.25">
      <c r="A5" s="12" t="s">
        <v>23</v>
      </c>
      <c r="B5" s="12">
        <f t="shared" si="0"/>
        <v>45200</v>
      </c>
      <c r="C5" s="12" t="str">
        <f>TEXT('Cleaned Datasets'!$B5,"MMMM")</f>
        <v>October</v>
      </c>
      <c r="D5" s="13" t="s">
        <v>24</v>
      </c>
      <c r="E5" s="13" t="s">
        <v>25</v>
      </c>
      <c r="F5" s="13" t="s">
        <v>26</v>
      </c>
      <c r="G5" s="13" t="s">
        <v>27</v>
      </c>
      <c r="H5" s="13" t="s">
        <v>15</v>
      </c>
      <c r="I5" s="13">
        <v>3</v>
      </c>
      <c r="J5" s="13">
        <v>3</v>
      </c>
      <c r="K5" s="13">
        <v>0</v>
      </c>
      <c r="L5" s="13">
        <v>2.8</v>
      </c>
      <c r="M5" s="14">
        <f t="shared" si="1"/>
        <v>1</v>
      </c>
      <c r="N5" s="14">
        <f t="shared" si="2"/>
        <v>0</v>
      </c>
    </row>
    <row r="6" spans="1:18" x14ac:dyDescent="0.25">
      <c r="A6" s="9" t="s">
        <v>23</v>
      </c>
      <c r="B6" s="9">
        <f t="shared" si="0"/>
        <v>45200</v>
      </c>
      <c r="C6" s="9" t="str">
        <f>TEXT('Cleaned Datasets'!$B6,"MMMM")</f>
        <v>October</v>
      </c>
      <c r="D6" s="10" t="s">
        <v>28</v>
      </c>
      <c r="E6" s="10" t="s">
        <v>29</v>
      </c>
      <c r="F6" s="10" t="s">
        <v>21</v>
      </c>
      <c r="G6" s="10" t="s">
        <v>30</v>
      </c>
      <c r="H6" s="10" t="s">
        <v>15</v>
      </c>
      <c r="I6" s="10">
        <v>5</v>
      </c>
      <c r="J6" s="10">
        <v>4</v>
      </c>
      <c r="K6" s="10">
        <v>0</v>
      </c>
      <c r="L6" s="10">
        <v>3</v>
      </c>
      <c r="M6" s="11">
        <f t="shared" si="1"/>
        <v>0.8</v>
      </c>
      <c r="N6" s="11">
        <f t="shared" si="2"/>
        <v>0</v>
      </c>
    </row>
    <row r="7" spans="1:18" x14ac:dyDescent="0.25">
      <c r="A7" s="12" t="s">
        <v>31</v>
      </c>
      <c r="B7" s="12">
        <f t="shared" si="0"/>
        <v>45139</v>
      </c>
      <c r="C7" s="12" t="str">
        <f>TEXT('Cleaned Datasets'!$B7,"MMMM")</f>
        <v>August</v>
      </c>
      <c r="D7" s="13" t="s">
        <v>28</v>
      </c>
      <c r="E7" s="13" t="s">
        <v>29</v>
      </c>
      <c r="F7" s="13" t="s">
        <v>32</v>
      </c>
      <c r="G7" s="13" t="s">
        <v>14</v>
      </c>
      <c r="H7" s="13" t="s">
        <v>19</v>
      </c>
      <c r="I7" s="13">
        <v>3</v>
      </c>
      <c r="J7" s="13">
        <v>3</v>
      </c>
      <c r="K7" s="13">
        <v>0</v>
      </c>
      <c r="L7" s="13">
        <v>1.9</v>
      </c>
      <c r="M7" s="14">
        <f t="shared" si="1"/>
        <v>1</v>
      </c>
      <c r="N7" s="14">
        <f t="shared" si="2"/>
        <v>0</v>
      </c>
    </row>
    <row r="8" spans="1:18" x14ac:dyDescent="0.25">
      <c r="A8" s="9" t="s">
        <v>33</v>
      </c>
      <c r="B8" s="9">
        <f t="shared" si="0"/>
        <v>44927</v>
      </c>
      <c r="C8" s="9" t="str">
        <f>TEXT('Cleaned Datasets'!$B8,"MMMM")</f>
        <v>January</v>
      </c>
      <c r="D8" s="10" t="s">
        <v>34</v>
      </c>
      <c r="E8" s="10" t="s">
        <v>35</v>
      </c>
      <c r="F8" s="10" t="s">
        <v>21</v>
      </c>
      <c r="G8" s="10" t="s">
        <v>27</v>
      </c>
      <c r="H8" s="10" t="s">
        <v>19</v>
      </c>
      <c r="I8" s="10">
        <v>8</v>
      </c>
      <c r="J8" s="10">
        <v>8</v>
      </c>
      <c r="K8" s="10">
        <v>0</v>
      </c>
      <c r="L8" s="10">
        <v>2</v>
      </c>
      <c r="M8" s="11">
        <f t="shared" si="1"/>
        <v>1</v>
      </c>
      <c r="N8" s="11">
        <f t="shared" si="2"/>
        <v>0</v>
      </c>
      <c r="R8" s="4"/>
    </row>
    <row r="9" spans="1:18" x14ac:dyDescent="0.25">
      <c r="A9" s="12" t="s">
        <v>36</v>
      </c>
      <c r="B9" s="12">
        <f t="shared" si="0"/>
        <v>44986</v>
      </c>
      <c r="C9" s="12" t="str">
        <f>TEXT('Cleaned Datasets'!$B9,"MMMM")</f>
        <v>March</v>
      </c>
      <c r="D9" s="13" t="s">
        <v>37</v>
      </c>
      <c r="E9" s="13" t="s">
        <v>38</v>
      </c>
      <c r="F9" s="13" t="s">
        <v>32</v>
      </c>
      <c r="G9" s="13" t="s">
        <v>27</v>
      </c>
      <c r="H9" s="13" t="s">
        <v>19</v>
      </c>
      <c r="I9" s="13">
        <v>5</v>
      </c>
      <c r="J9" s="13">
        <v>4</v>
      </c>
      <c r="K9" s="13">
        <v>0</v>
      </c>
      <c r="L9" s="13">
        <v>1.4</v>
      </c>
      <c r="M9" s="14">
        <f t="shared" si="1"/>
        <v>0.8</v>
      </c>
      <c r="N9" s="14">
        <f t="shared" si="2"/>
        <v>0</v>
      </c>
    </row>
    <row r="10" spans="1:18" x14ac:dyDescent="0.25">
      <c r="A10" s="9" t="s">
        <v>33</v>
      </c>
      <c r="B10" s="9">
        <f t="shared" si="0"/>
        <v>44927</v>
      </c>
      <c r="C10" s="9" t="str">
        <f>TEXT('Cleaned Datasets'!$B10,"MMMM")</f>
        <v>January</v>
      </c>
      <c r="D10" s="10" t="s">
        <v>37</v>
      </c>
      <c r="E10" s="10" t="s">
        <v>39</v>
      </c>
      <c r="F10" s="10" t="s">
        <v>40</v>
      </c>
      <c r="G10" s="10" t="s">
        <v>14</v>
      </c>
      <c r="H10" s="10" t="s">
        <v>15</v>
      </c>
      <c r="I10" s="10">
        <v>3</v>
      </c>
      <c r="J10" s="10">
        <v>2</v>
      </c>
      <c r="K10" s="10">
        <v>0</v>
      </c>
      <c r="L10" s="10">
        <v>3.9</v>
      </c>
      <c r="M10" s="11">
        <f t="shared" si="1"/>
        <v>0.66666666666666663</v>
      </c>
      <c r="N10" s="11">
        <f t="shared" si="2"/>
        <v>0</v>
      </c>
    </row>
    <row r="11" spans="1:18" x14ac:dyDescent="0.25">
      <c r="A11" s="12" t="s">
        <v>23</v>
      </c>
      <c r="B11" s="12">
        <f t="shared" si="0"/>
        <v>45200</v>
      </c>
      <c r="C11" s="12" t="str">
        <f>TEXT('Cleaned Datasets'!$B11,"MMMM")</f>
        <v>October</v>
      </c>
      <c r="D11" s="13" t="s">
        <v>41</v>
      </c>
      <c r="E11" s="13" t="s">
        <v>42</v>
      </c>
      <c r="F11" s="13" t="s">
        <v>22</v>
      </c>
      <c r="G11" s="13" t="s">
        <v>27</v>
      </c>
      <c r="H11" s="13" t="s">
        <v>15</v>
      </c>
      <c r="I11" s="13">
        <v>2</v>
      </c>
      <c r="J11" s="13">
        <v>1</v>
      </c>
      <c r="K11" s="13">
        <v>0</v>
      </c>
      <c r="L11" s="13">
        <v>3.8</v>
      </c>
      <c r="M11" s="14">
        <f t="shared" si="1"/>
        <v>0.5</v>
      </c>
      <c r="N11" s="14">
        <f t="shared" si="2"/>
        <v>0</v>
      </c>
    </row>
    <row r="12" spans="1:18" x14ac:dyDescent="0.25">
      <c r="A12" s="9" t="s">
        <v>43</v>
      </c>
      <c r="B12" s="9">
        <f t="shared" si="0"/>
        <v>44958</v>
      </c>
      <c r="C12" s="9" t="str">
        <f>TEXT('Cleaned Datasets'!$B12,"MMMM")</f>
        <v>February</v>
      </c>
      <c r="D12" s="10" t="s">
        <v>37</v>
      </c>
      <c r="E12" s="10" t="s">
        <v>39</v>
      </c>
      <c r="F12" s="10" t="s">
        <v>13</v>
      </c>
      <c r="G12" s="10" t="s">
        <v>22</v>
      </c>
      <c r="H12" s="10" t="s">
        <v>19</v>
      </c>
      <c r="I12" s="10">
        <v>2</v>
      </c>
      <c r="J12" s="10">
        <v>2</v>
      </c>
      <c r="K12" s="10">
        <v>0</v>
      </c>
      <c r="L12" s="10">
        <v>3.8</v>
      </c>
      <c r="M12" s="11">
        <f t="shared" si="1"/>
        <v>1</v>
      </c>
      <c r="N12" s="11">
        <f t="shared" si="2"/>
        <v>0</v>
      </c>
    </row>
    <row r="13" spans="1:18" x14ac:dyDescent="0.25">
      <c r="A13" s="12" t="s">
        <v>31</v>
      </c>
      <c r="B13" s="12">
        <f t="shared" si="0"/>
        <v>45139</v>
      </c>
      <c r="C13" s="12" t="str">
        <f>TEXT('Cleaned Datasets'!$B13,"MMMM")</f>
        <v>August</v>
      </c>
      <c r="D13" s="13" t="s">
        <v>41</v>
      </c>
      <c r="E13" s="13" t="s">
        <v>44</v>
      </c>
      <c r="F13" s="13" t="s">
        <v>22</v>
      </c>
      <c r="G13" s="13" t="s">
        <v>18</v>
      </c>
      <c r="H13" s="13" t="s">
        <v>15</v>
      </c>
      <c r="I13" s="13">
        <v>6</v>
      </c>
      <c r="J13" s="13">
        <v>6</v>
      </c>
      <c r="K13" s="13">
        <v>0</v>
      </c>
      <c r="L13" s="13">
        <v>3.3</v>
      </c>
      <c r="M13" s="14">
        <f t="shared" si="1"/>
        <v>1</v>
      </c>
      <c r="N13" s="14">
        <f t="shared" si="2"/>
        <v>0</v>
      </c>
    </row>
    <row r="14" spans="1:18" x14ac:dyDescent="0.25">
      <c r="A14" s="9" t="s">
        <v>10</v>
      </c>
      <c r="B14" s="9">
        <f t="shared" si="0"/>
        <v>45017</v>
      </c>
      <c r="C14" s="9" t="str">
        <f>TEXT('Cleaned Datasets'!$B14,"MMMM")</f>
        <v>April</v>
      </c>
      <c r="D14" s="10" t="s">
        <v>11</v>
      </c>
      <c r="E14" s="10" t="s">
        <v>12</v>
      </c>
      <c r="F14" s="10" t="s">
        <v>21</v>
      </c>
      <c r="G14" s="10" t="s">
        <v>14</v>
      </c>
      <c r="H14" s="10" t="s">
        <v>19</v>
      </c>
      <c r="I14" s="10">
        <v>1</v>
      </c>
      <c r="J14" s="10">
        <v>1</v>
      </c>
      <c r="K14" s="10">
        <v>0</v>
      </c>
      <c r="L14" s="10">
        <v>3.1</v>
      </c>
      <c r="M14" s="11">
        <f t="shared" si="1"/>
        <v>1</v>
      </c>
      <c r="N14" s="11">
        <f t="shared" si="2"/>
        <v>0</v>
      </c>
    </row>
    <row r="15" spans="1:18" x14ac:dyDescent="0.25">
      <c r="A15" s="12" t="s">
        <v>45</v>
      </c>
      <c r="B15" s="12">
        <f t="shared" si="0"/>
        <v>45047</v>
      </c>
      <c r="C15" s="12" t="str">
        <f>TEXT('Cleaned Datasets'!$B15,"MMMM")</f>
        <v>May</v>
      </c>
      <c r="D15" s="13" t="s">
        <v>46</v>
      </c>
      <c r="E15" s="13" t="s">
        <v>47</v>
      </c>
      <c r="F15" s="13" t="s">
        <v>13</v>
      </c>
      <c r="G15" s="13" t="s">
        <v>30</v>
      </c>
      <c r="H15" s="13" t="s">
        <v>19</v>
      </c>
      <c r="I15" s="13">
        <v>5</v>
      </c>
      <c r="J15" s="13">
        <v>5</v>
      </c>
      <c r="K15" s="13">
        <v>0</v>
      </c>
      <c r="L15" s="13">
        <v>1</v>
      </c>
      <c r="M15" s="14">
        <f t="shared" si="1"/>
        <v>1</v>
      </c>
      <c r="N15" s="14">
        <f t="shared" si="2"/>
        <v>0</v>
      </c>
    </row>
    <row r="16" spans="1:18" x14ac:dyDescent="0.25">
      <c r="A16" s="9" t="s">
        <v>36</v>
      </c>
      <c r="B16" s="9">
        <f t="shared" si="0"/>
        <v>44986</v>
      </c>
      <c r="C16" s="9" t="str">
        <f>TEXT('Cleaned Datasets'!$B16,"MMMM")</f>
        <v>March</v>
      </c>
      <c r="D16" s="10" t="s">
        <v>48</v>
      </c>
      <c r="E16" s="10" t="s">
        <v>49</v>
      </c>
      <c r="F16" s="10" t="s">
        <v>32</v>
      </c>
      <c r="G16" s="10" t="s">
        <v>14</v>
      </c>
      <c r="H16" s="10" t="s">
        <v>15</v>
      </c>
      <c r="I16" s="10">
        <v>11</v>
      </c>
      <c r="J16" s="10">
        <v>11</v>
      </c>
      <c r="K16" s="10">
        <v>0</v>
      </c>
      <c r="L16" s="10">
        <v>3.3</v>
      </c>
      <c r="M16" s="11">
        <f t="shared" si="1"/>
        <v>1</v>
      </c>
      <c r="N16" s="11">
        <f t="shared" si="2"/>
        <v>0</v>
      </c>
    </row>
    <row r="17" spans="1:14" x14ac:dyDescent="0.25">
      <c r="A17" s="12" t="s">
        <v>50</v>
      </c>
      <c r="B17" s="12">
        <f t="shared" si="0"/>
        <v>45108</v>
      </c>
      <c r="C17" s="12" t="str">
        <f>TEXT('Cleaned Datasets'!$B17,"MMMM")</f>
        <v>July</v>
      </c>
      <c r="D17" s="13" t="s">
        <v>34</v>
      </c>
      <c r="E17" s="13" t="s">
        <v>51</v>
      </c>
      <c r="F17" s="13" t="s">
        <v>26</v>
      </c>
      <c r="G17" s="13" t="s">
        <v>18</v>
      </c>
      <c r="H17" s="13" t="s">
        <v>19</v>
      </c>
      <c r="I17" s="13">
        <v>1</v>
      </c>
      <c r="J17" s="13">
        <v>1</v>
      </c>
      <c r="K17" s="13">
        <v>0</v>
      </c>
      <c r="L17" s="13">
        <v>3.3</v>
      </c>
      <c r="M17" s="14">
        <f t="shared" si="1"/>
        <v>1</v>
      </c>
      <c r="N17" s="14">
        <f t="shared" si="2"/>
        <v>0</v>
      </c>
    </row>
    <row r="18" spans="1:14" x14ac:dyDescent="0.25">
      <c r="A18" s="9" t="s">
        <v>23</v>
      </c>
      <c r="B18" s="9">
        <f t="shared" si="0"/>
        <v>45200</v>
      </c>
      <c r="C18" s="9" t="str">
        <f>TEXT('Cleaned Datasets'!$B18,"MMMM")</f>
        <v>October</v>
      </c>
      <c r="D18" s="10" t="s">
        <v>11</v>
      </c>
      <c r="E18" s="10" t="s">
        <v>52</v>
      </c>
      <c r="F18" s="10" t="s">
        <v>13</v>
      </c>
      <c r="G18" s="10" t="s">
        <v>53</v>
      </c>
      <c r="H18" s="10" t="s">
        <v>19</v>
      </c>
      <c r="I18" s="10">
        <v>4</v>
      </c>
      <c r="J18" s="10">
        <v>3</v>
      </c>
      <c r="K18" s="10">
        <v>0</v>
      </c>
      <c r="L18" s="10">
        <v>3</v>
      </c>
      <c r="M18" s="11">
        <f t="shared" si="1"/>
        <v>0.75</v>
      </c>
      <c r="N18" s="11">
        <f t="shared" si="2"/>
        <v>0</v>
      </c>
    </row>
    <row r="19" spans="1:14" x14ac:dyDescent="0.25">
      <c r="A19" s="12" t="s">
        <v>45</v>
      </c>
      <c r="B19" s="12">
        <f t="shared" si="0"/>
        <v>45047</v>
      </c>
      <c r="C19" s="12" t="str">
        <f>TEXT('Cleaned Datasets'!$B19,"MMMM")</f>
        <v>May</v>
      </c>
      <c r="D19" s="13" t="s">
        <v>37</v>
      </c>
      <c r="E19" s="13" t="s">
        <v>39</v>
      </c>
      <c r="F19" s="13" t="s">
        <v>21</v>
      </c>
      <c r="G19" s="13" t="s">
        <v>30</v>
      </c>
      <c r="H19" s="13" t="s">
        <v>15</v>
      </c>
      <c r="I19" s="13">
        <v>2</v>
      </c>
      <c r="J19" s="13">
        <v>2</v>
      </c>
      <c r="K19" s="13">
        <v>0</v>
      </c>
      <c r="L19" s="13">
        <v>1.3</v>
      </c>
      <c r="M19" s="14">
        <f t="shared" si="1"/>
        <v>1</v>
      </c>
      <c r="N19" s="14">
        <f t="shared" si="2"/>
        <v>0</v>
      </c>
    </row>
    <row r="20" spans="1:14" x14ac:dyDescent="0.25">
      <c r="A20" s="9" t="s">
        <v>20</v>
      </c>
      <c r="B20" s="9">
        <f t="shared" si="0"/>
        <v>45078</v>
      </c>
      <c r="C20" s="9" t="str">
        <f>TEXT('Cleaned Datasets'!$B20,"MMMM")</f>
        <v>June</v>
      </c>
      <c r="D20" s="10" t="s">
        <v>34</v>
      </c>
      <c r="E20" s="10" t="s">
        <v>51</v>
      </c>
      <c r="F20" s="10" t="s">
        <v>32</v>
      </c>
      <c r="G20" s="10" t="s">
        <v>27</v>
      </c>
      <c r="H20" s="10" t="s">
        <v>15</v>
      </c>
      <c r="I20" s="10">
        <v>3</v>
      </c>
      <c r="J20" s="10">
        <v>3</v>
      </c>
      <c r="K20" s="10">
        <v>0</v>
      </c>
      <c r="L20" s="10">
        <v>4.0999999999999996</v>
      </c>
      <c r="M20" s="11">
        <f t="shared" si="1"/>
        <v>1</v>
      </c>
      <c r="N20" s="11">
        <f t="shared" si="2"/>
        <v>0</v>
      </c>
    </row>
    <row r="21" spans="1:14" x14ac:dyDescent="0.25">
      <c r="A21" s="12" t="s">
        <v>33</v>
      </c>
      <c r="B21" s="12">
        <f t="shared" si="0"/>
        <v>44927</v>
      </c>
      <c r="C21" s="12" t="str">
        <f>TEXT('Cleaned Datasets'!$B21,"MMMM")</f>
        <v>January</v>
      </c>
      <c r="D21" s="13" t="s">
        <v>11</v>
      </c>
      <c r="E21" s="13" t="s">
        <v>12</v>
      </c>
      <c r="F21" s="13" t="s">
        <v>40</v>
      </c>
      <c r="G21" s="13" t="s">
        <v>22</v>
      </c>
      <c r="H21" s="13" t="s">
        <v>19</v>
      </c>
      <c r="I21" s="13">
        <v>6</v>
      </c>
      <c r="J21" s="13">
        <v>5</v>
      </c>
      <c r="K21" s="13">
        <v>0</v>
      </c>
      <c r="L21" s="13">
        <v>3.8</v>
      </c>
      <c r="M21" s="14">
        <f t="shared" si="1"/>
        <v>0.83333333333333337</v>
      </c>
      <c r="N21" s="14">
        <f t="shared" si="2"/>
        <v>0</v>
      </c>
    </row>
    <row r="22" spans="1:14" x14ac:dyDescent="0.25">
      <c r="A22" s="9" t="s">
        <v>50</v>
      </c>
      <c r="B22" s="9">
        <f t="shared" si="0"/>
        <v>45108</v>
      </c>
      <c r="C22" s="9" t="str">
        <f>TEXT('Cleaned Datasets'!$B22,"MMMM")</f>
        <v>July</v>
      </c>
      <c r="D22" s="10" t="s">
        <v>48</v>
      </c>
      <c r="E22" s="10" t="s">
        <v>49</v>
      </c>
      <c r="F22" s="10" t="s">
        <v>26</v>
      </c>
      <c r="G22" s="10" t="s">
        <v>30</v>
      </c>
      <c r="H22" s="10" t="s">
        <v>19</v>
      </c>
      <c r="I22" s="10">
        <v>2</v>
      </c>
      <c r="J22" s="10">
        <v>2</v>
      </c>
      <c r="K22" s="10">
        <v>0</v>
      </c>
      <c r="L22" s="10">
        <v>1.4</v>
      </c>
      <c r="M22" s="11">
        <f t="shared" si="1"/>
        <v>1</v>
      </c>
      <c r="N22" s="11">
        <f t="shared" si="2"/>
        <v>0</v>
      </c>
    </row>
    <row r="23" spans="1:14" x14ac:dyDescent="0.25">
      <c r="A23" s="12" t="s">
        <v>45</v>
      </c>
      <c r="B23" s="12">
        <f t="shared" si="0"/>
        <v>45047</v>
      </c>
      <c r="C23" s="12" t="str">
        <f>TEXT('Cleaned Datasets'!$B23,"MMMM")</f>
        <v>May</v>
      </c>
      <c r="D23" s="13" t="s">
        <v>48</v>
      </c>
      <c r="E23" s="13" t="s">
        <v>49</v>
      </c>
      <c r="F23" s="13" t="s">
        <v>13</v>
      </c>
      <c r="G23" s="13" t="s">
        <v>22</v>
      </c>
      <c r="H23" s="13" t="s">
        <v>19</v>
      </c>
      <c r="I23" s="13">
        <v>5</v>
      </c>
      <c r="J23" s="13">
        <v>5</v>
      </c>
      <c r="K23" s="13">
        <v>0</v>
      </c>
      <c r="L23" s="13">
        <v>3.1</v>
      </c>
      <c r="M23" s="14">
        <f t="shared" si="1"/>
        <v>1</v>
      </c>
      <c r="N23" s="14">
        <f t="shared" si="2"/>
        <v>0</v>
      </c>
    </row>
    <row r="24" spans="1:14" x14ac:dyDescent="0.25">
      <c r="A24" s="9" t="s">
        <v>20</v>
      </c>
      <c r="B24" s="9">
        <f t="shared" si="0"/>
        <v>45078</v>
      </c>
      <c r="C24" s="9" t="str">
        <f>TEXT('Cleaned Datasets'!$B24,"MMMM")</f>
        <v>June</v>
      </c>
      <c r="D24" s="10" t="s">
        <v>11</v>
      </c>
      <c r="E24" s="10" t="s">
        <v>12</v>
      </c>
      <c r="F24" s="10" t="s">
        <v>32</v>
      </c>
      <c r="G24" s="10" t="s">
        <v>30</v>
      </c>
      <c r="H24" s="10" t="s">
        <v>15</v>
      </c>
      <c r="I24" s="10">
        <v>8</v>
      </c>
      <c r="J24" s="10">
        <v>6</v>
      </c>
      <c r="K24" s="10">
        <v>1</v>
      </c>
      <c r="L24" s="10">
        <v>1.6</v>
      </c>
      <c r="M24" s="11">
        <f t="shared" si="1"/>
        <v>0.75</v>
      </c>
      <c r="N24" s="11">
        <f t="shared" si="2"/>
        <v>0.125</v>
      </c>
    </row>
    <row r="25" spans="1:14" x14ac:dyDescent="0.25">
      <c r="A25" s="12" t="s">
        <v>50</v>
      </c>
      <c r="B25" s="12">
        <f t="shared" si="0"/>
        <v>45108</v>
      </c>
      <c r="C25" s="12" t="str">
        <f>TEXT('Cleaned Datasets'!$B25,"MMMM")</f>
        <v>July</v>
      </c>
      <c r="D25" s="13" t="s">
        <v>37</v>
      </c>
      <c r="E25" s="13" t="s">
        <v>39</v>
      </c>
      <c r="F25" s="13" t="s">
        <v>40</v>
      </c>
      <c r="G25" s="13" t="s">
        <v>14</v>
      </c>
      <c r="H25" s="13" t="s">
        <v>19</v>
      </c>
      <c r="I25" s="13">
        <v>7</v>
      </c>
      <c r="J25" s="13">
        <v>5</v>
      </c>
      <c r="K25" s="13">
        <v>0</v>
      </c>
      <c r="L25" s="13">
        <v>4.2</v>
      </c>
      <c r="M25" s="14">
        <f t="shared" si="1"/>
        <v>0.7142857142857143</v>
      </c>
      <c r="N25" s="14">
        <f t="shared" si="2"/>
        <v>0</v>
      </c>
    </row>
    <row r="26" spans="1:14" x14ac:dyDescent="0.25">
      <c r="A26" s="9" t="s">
        <v>45</v>
      </c>
      <c r="B26" s="9">
        <f t="shared" si="0"/>
        <v>45047</v>
      </c>
      <c r="C26" s="9" t="str">
        <f>TEXT('Cleaned Datasets'!$B26,"MMMM")</f>
        <v>May</v>
      </c>
      <c r="D26" s="10" t="s">
        <v>41</v>
      </c>
      <c r="E26" s="10" t="s">
        <v>44</v>
      </c>
      <c r="F26" s="10" t="s">
        <v>22</v>
      </c>
      <c r="G26" s="10" t="s">
        <v>27</v>
      </c>
      <c r="H26" s="10" t="s">
        <v>19</v>
      </c>
      <c r="I26" s="10">
        <v>1</v>
      </c>
      <c r="J26" s="10">
        <v>1</v>
      </c>
      <c r="K26" s="10">
        <v>0</v>
      </c>
      <c r="L26" s="10">
        <v>3.2</v>
      </c>
      <c r="M26" s="11">
        <f t="shared" si="1"/>
        <v>1</v>
      </c>
      <c r="N26" s="11">
        <f t="shared" si="2"/>
        <v>0</v>
      </c>
    </row>
    <row r="27" spans="1:14" x14ac:dyDescent="0.25">
      <c r="A27" s="12" t="s">
        <v>50</v>
      </c>
      <c r="B27" s="12">
        <f t="shared" si="0"/>
        <v>45108</v>
      </c>
      <c r="C27" s="12" t="str">
        <f>TEXT('Cleaned Datasets'!$B27,"MMMM")</f>
        <v>July</v>
      </c>
      <c r="D27" s="13" t="s">
        <v>46</v>
      </c>
      <c r="E27" s="13" t="s">
        <v>54</v>
      </c>
      <c r="F27" s="13" t="s">
        <v>40</v>
      </c>
      <c r="G27" s="13" t="s">
        <v>30</v>
      </c>
      <c r="H27" s="13" t="s">
        <v>19</v>
      </c>
      <c r="I27" s="13">
        <v>5</v>
      </c>
      <c r="J27" s="13">
        <v>4</v>
      </c>
      <c r="K27" s="13">
        <v>0</v>
      </c>
      <c r="L27" s="13">
        <v>1.8</v>
      </c>
      <c r="M27" s="14">
        <f t="shared" si="1"/>
        <v>0.8</v>
      </c>
      <c r="N27" s="14">
        <f t="shared" si="2"/>
        <v>0</v>
      </c>
    </row>
    <row r="28" spans="1:14" x14ac:dyDescent="0.25">
      <c r="A28" s="9" t="s">
        <v>43</v>
      </c>
      <c r="B28" s="9">
        <f t="shared" si="0"/>
        <v>44958</v>
      </c>
      <c r="C28" s="9" t="str">
        <f>TEXT('Cleaned Datasets'!$B28,"MMMM")</f>
        <v>February</v>
      </c>
      <c r="D28" s="10" t="s">
        <v>34</v>
      </c>
      <c r="E28" s="10" t="s">
        <v>51</v>
      </c>
      <c r="F28" s="10" t="s">
        <v>13</v>
      </c>
      <c r="G28" s="10" t="s">
        <v>30</v>
      </c>
      <c r="H28" s="10" t="s">
        <v>15</v>
      </c>
      <c r="I28" s="10">
        <v>5</v>
      </c>
      <c r="J28" s="10">
        <v>5</v>
      </c>
      <c r="K28" s="10">
        <v>1</v>
      </c>
      <c r="L28" s="10">
        <v>3.9</v>
      </c>
      <c r="M28" s="11">
        <f t="shared" si="1"/>
        <v>1</v>
      </c>
      <c r="N28" s="11">
        <f t="shared" si="2"/>
        <v>0.2</v>
      </c>
    </row>
    <row r="29" spans="1:14" x14ac:dyDescent="0.25">
      <c r="A29" s="12" t="s">
        <v>23</v>
      </c>
      <c r="B29" s="12">
        <f t="shared" si="0"/>
        <v>45200</v>
      </c>
      <c r="C29" s="12" t="str">
        <f>TEXT('Cleaned Datasets'!$B29,"MMMM")</f>
        <v>October</v>
      </c>
      <c r="D29" s="13" t="s">
        <v>37</v>
      </c>
      <c r="E29" s="13" t="s">
        <v>38</v>
      </c>
      <c r="F29" s="13" t="s">
        <v>40</v>
      </c>
      <c r="G29" s="13" t="s">
        <v>27</v>
      </c>
      <c r="H29" s="13" t="s">
        <v>19</v>
      </c>
      <c r="I29" s="13">
        <v>7</v>
      </c>
      <c r="J29" s="13">
        <v>7</v>
      </c>
      <c r="K29" s="13">
        <v>0</v>
      </c>
      <c r="L29" s="13">
        <v>2.8</v>
      </c>
      <c r="M29" s="14">
        <f t="shared" si="1"/>
        <v>1</v>
      </c>
      <c r="N29" s="14">
        <f t="shared" si="2"/>
        <v>0</v>
      </c>
    </row>
    <row r="30" spans="1:14" x14ac:dyDescent="0.25">
      <c r="A30" s="9" t="s">
        <v>20</v>
      </c>
      <c r="B30" s="9">
        <f t="shared" si="0"/>
        <v>45078</v>
      </c>
      <c r="C30" s="9" t="str">
        <f>TEXT('Cleaned Datasets'!$B30,"MMMM")</f>
        <v>June</v>
      </c>
      <c r="D30" s="10" t="s">
        <v>34</v>
      </c>
      <c r="E30" s="10" t="s">
        <v>51</v>
      </c>
      <c r="F30" s="10" t="s">
        <v>26</v>
      </c>
      <c r="G30" s="10" t="s">
        <v>18</v>
      </c>
      <c r="H30" s="10" t="s">
        <v>15</v>
      </c>
      <c r="I30" s="10">
        <v>5</v>
      </c>
      <c r="J30" s="10">
        <v>3</v>
      </c>
      <c r="K30" s="10">
        <v>0</v>
      </c>
      <c r="L30" s="10">
        <v>2.5</v>
      </c>
      <c r="M30" s="11">
        <f t="shared" si="1"/>
        <v>0.6</v>
      </c>
      <c r="N30" s="11">
        <f t="shared" si="2"/>
        <v>0</v>
      </c>
    </row>
    <row r="31" spans="1:14" x14ac:dyDescent="0.25">
      <c r="A31" s="12" t="s">
        <v>55</v>
      </c>
      <c r="B31" s="12">
        <f t="shared" si="0"/>
        <v>45261</v>
      </c>
      <c r="C31" s="12" t="str">
        <f>TEXT('Cleaned Datasets'!$B31,"MMMM")</f>
        <v>December</v>
      </c>
      <c r="D31" s="13" t="s">
        <v>46</v>
      </c>
      <c r="E31" s="13" t="s">
        <v>54</v>
      </c>
      <c r="F31" s="13" t="s">
        <v>26</v>
      </c>
      <c r="G31" s="13" t="s">
        <v>53</v>
      </c>
      <c r="H31" s="13" t="s">
        <v>15</v>
      </c>
      <c r="I31" s="13">
        <v>6</v>
      </c>
      <c r="J31" s="13">
        <v>5</v>
      </c>
      <c r="K31" s="13">
        <v>0</v>
      </c>
      <c r="L31" s="13">
        <v>3.8</v>
      </c>
      <c r="M31" s="14">
        <f t="shared" si="1"/>
        <v>0.83333333333333337</v>
      </c>
      <c r="N31" s="14">
        <f t="shared" si="2"/>
        <v>0</v>
      </c>
    </row>
    <row r="32" spans="1:14" x14ac:dyDescent="0.25">
      <c r="A32" s="9" t="s">
        <v>31</v>
      </c>
      <c r="B32" s="9">
        <f t="shared" si="0"/>
        <v>45139</v>
      </c>
      <c r="C32" s="9" t="str">
        <f>TEXT('Cleaned Datasets'!$B32,"MMMM")</f>
        <v>August</v>
      </c>
      <c r="D32" s="10" t="s">
        <v>16</v>
      </c>
      <c r="E32" s="10" t="s">
        <v>17</v>
      </c>
      <c r="F32" s="10" t="s">
        <v>22</v>
      </c>
      <c r="G32" s="10" t="s">
        <v>22</v>
      </c>
      <c r="H32" s="10" t="s">
        <v>19</v>
      </c>
      <c r="I32" s="10">
        <v>8</v>
      </c>
      <c r="J32" s="10">
        <v>8</v>
      </c>
      <c r="K32" s="10">
        <v>1</v>
      </c>
      <c r="L32" s="10">
        <v>3.3</v>
      </c>
      <c r="M32" s="11">
        <f t="shared" si="1"/>
        <v>1</v>
      </c>
      <c r="N32" s="11">
        <f t="shared" si="2"/>
        <v>0.125</v>
      </c>
    </row>
    <row r="33" spans="1:14" x14ac:dyDescent="0.25">
      <c r="A33" s="12" t="s">
        <v>43</v>
      </c>
      <c r="B33" s="12">
        <f t="shared" si="0"/>
        <v>44958</v>
      </c>
      <c r="C33" s="12" t="str">
        <f>TEXT('Cleaned Datasets'!$B33,"MMMM")</f>
        <v>February</v>
      </c>
      <c r="D33" s="13" t="s">
        <v>37</v>
      </c>
      <c r="E33" s="13" t="s">
        <v>39</v>
      </c>
      <c r="F33" s="13" t="s">
        <v>32</v>
      </c>
      <c r="G33" s="13" t="s">
        <v>53</v>
      </c>
      <c r="H33" s="13" t="s">
        <v>15</v>
      </c>
      <c r="I33" s="13">
        <v>10</v>
      </c>
      <c r="J33" s="13">
        <v>9</v>
      </c>
      <c r="K33" s="13">
        <v>0</v>
      </c>
      <c r="L33" s="13">
        <v>3.3</v>
      </c>
      <c r="M33" s="14">
        <f t="shared" si="1"/>
        <v>0.9</v>
      </c>
      <c r="N33" s="14">
        <f t="shared" si="2"/>
        <v>0</v>
      </c>
    </row>
    <row r="34" spans="1:14" x14ac:dyDescent="0.25">
      <c r="A34" s="9" t="s">
        <v>45</v>
      </c>
      <c r="B34" s="9">
        <f t="shared" si="0"/>
        <v>45047</v>
      </c>
      <c r="C34" s="9" t="str">
        <f>TEXT('Cleaned Datasets'!$B34,"MMMM")</f>
        <v>May</v>
      </c>
      <c r="D34" s="10" t="s">
        <v>56</v>
      </c>
      <c r="E34" s="10" t="s">
        <v>57</v>
      </c>
      <c r="F34" s="10" t="s">
        <v>40</v>
      </c>
      <c r="G34" s="10" t="s">
        <v>27</v>
      </c>
      <c r="H34" s="10" t="s">
        <v>15</v>
      </c>
      <c r="I34" s="10">
        <v>4</v>
      </c>
      <c r="J34" s="10">
        <v>4</v>
      </c>
      <c r="K34" s="10">
        <v>1</v>
      </c>
      <c r="L34" s="10">
        <v>2.1</v>
      </c>
      <c r="M34" s="11">
        <f t="shared" si="1"/>
        <v>1</v>
      </c>
      <c r="N34" s="11">
        <f t="shared" si="2"/>
        <v>0.25</v>
      </c>
    </row>
    <row r="35" spans="1:14" x14ac:dyDescent="0.25">
      <c r="A35" s="12" t="s">
        <v>43</v>
      </c>
      <c r="B35" s="12">
        <f t="shared" si="0"/>
        <v>44958</v>
      </c>
      <c r="C35" s="12" t="str">
        <f>TEXT('Cleaned Datasets'!$B35,"MMMM")</f>
        <v>February</v>
      </c>
      <c r="D35" s="13" t="s">
        <v>16</v>
      </c>
      <c r="E35" s="13" t="s">
        <v>17</v>
      </c>
      <c r="F35" s="13" t="s">
        <v>26</v>
      </c>
      <c r="G35" s="13" t="s">
        <v>53</v>
      </c>
      <c r="H35" s="13" t="s">
        <v>15</v>
      </c>
      <c r="I35" s="13">
        <v>4</v>
      </c>
      <c r="J35" s="13">
        <v>4</v>
      </c>
      <c r="K35" s="13">
        <v>0</v>
      </c>
      <c r="L35" s="13">
        <v>2.7</v>
      </c>
      <c r="M35" s="14">
        <f t="shared" si="1"/>
        <v>1</v>
      </c>
      <c r="N35" s="14">
        <f t="shared" si="2"/>
        <v>0</v>
      </c>
    </row>
    <row r="36" spans="1:14" x14ac:dyDescent="0.25">
      <c r="A36" s="9" t="s">
        <v>23</v>
      </c>
      <c r="B36" s="9">
        <f t="shared" si="0"/>
        <v>45200</v>
      </c>
      <c r="C36" s="9" t="str">
        <f>TEXT('Cleaned Datasets'!$B36,"MMMM")</f>
        <v>October</v>
      </c>
      <c r="D36" s="10" t="s">
        <v>34</v>
      </c>
      <c r="E36" s="10" t="s">
        <v>35</v>
      </c>
      <c r="F36" s="10" t="s">
        <v>22</v>
      </c>
      <c r="G36" s="10" t="s">
        <v>18</v>
      </c>
      <c r="H36" s="10" t="s">
        <v>15</v>
      </c>
      <c r="I36" s="10">
        <v>8</v>
      </c>
      <c r="J36" s="10">
        <v>8</v>
      </c>
      <c r="K36" s="10">
        <v>0</v>
      </c>
      <c r="L36" s="10">
        <v>2.2000000000000002</v>
      </c>
      <c r="M36" s="11">
        <f t="shared" si="1"/>
        <v>1</v>
      </c>
      <c r="N36" s="11">
        <f t="shared" si="2"/>
        <v>0</v>
      </c>
    </row>
    <row r="37" spans="1:14" x14ac:dyDescent="0.25">
      <c r="A37" s="12" t="s">
        <v>33</v>
      </c>
      <c r="B37" s="12">
        <f t="shared" si="0"/>
        <v>44927</v>
      </c>
      <c r="C37" s="12" t="str">
        <f>TEXT('Cleaned Datasets'!$B37,"MMMM")</f>
        <v>January</v>
      </c>
      <c r="D37" s="13" t="s">
        <v>37</v>
      </c>
      <c r="E37" s="13" t="s">
        <v>39</v>
      </c>
      <c r="F37" s="13" t="s">
        <v>13</v>
      </c>
      <c r="G37" s="13" t="s">
        <v>22</v>
      </c>
      <c r="H37" s="13" t="s">
        <v>19</v>
      </c>
      <c r="I37" s="13">
        <v>3</v>
      </c>
      <c r="J37" s="13">
        <v>3</v>
      </c>
      <c r="K37" s="13">
        <v>0</v>
      </c>
      <c r="L37" s="13">
        <v>4.7</v>
      </c>
      <c r="M37" s="14">
        <f t="shared" si="1"/>
        <v>1</v>
      </c>
      <c r="N37" s="14">
        <f t="shared" si="2"/>
        <v>0</v>
      </c>
    </row>
    <row r="38" spans="1:14" x14ac:dyDescent="0.25">
      <c r="A38" s="9" t="s">
        <v>50</v>
      </c>
      <c r="B38" s="9">
        <f t="shared" si="0"/>
        <v>45108</v>
      </c>
      <c r="C38" s="9" t="str">
        <f>TEXT('Cleaned Datasets'!$B38,"MMMM")</f>
        <v>July</v>
      </c>
      <c r="D38" s="10" t="s">
        <v>28</v>
      </c>
      <c r="E38" s="10" t="s">
        <v>58</v>
      </c>
      <c r="F38" s="10" t="s">
        <v>26</v>
      </c>
      <c r="G38" s="10" t="s">
        <v>22</v>
      </c>
      <c r="H38" s="10" t="s">
        <v>15</v>
      </c>
      <c r="I38" s="10">
        <v>7</v>
      </c>
      <c r="J38" s="10">
        <v>6</v>
      </c>
      <c r="K38" s="10">
        <v>0</v>
      </c>
      <c r="L38" s="10">
        <v>2.8</v>
      </c>
      <c r="M38" s="11">
        <f t="shared" si="1"/>
        <v>0.8571428571428571</v>
      </c>
      <c r="N38" s="11">
        <f t="shared" si="2"/>
        <v>0</v>
      </c>
    </row>
    <row r="39" spans="1:14" x14ac:dyDescent="0.25">
      <c r="A39" s="12" t="s">
        <v>59</v>
      </c>
      <c r="B39" s="12">
        <f t="shared" si="0"/>
        <v>45170</v>
      </c>
      <c r="C39" s="12" t="str">
        <f>TEXT('Cleaned Datasets'!$B39,"MMMM")</f>
        <v>September</v>
      </c>
      <c r="D39" s="13" t="s">
        <v>34</v>
      </c>
      <c r="E39" s="13" t="s">
        <v>51</v>
      </c>
      <c r="F39" s="13" t="s">
        <v>21</v>
      </c>
      <c r="G39" s="13" t="s">
        <v>30</v>
      </c>
      <c r="H39" s="13" t="s">
        <v>15</v>
      </c>
      <c r="I39" s="13">
        <v>3</v>
      </c>
      <c r="J39" s="13">
        <v>3</v>
      </c>
      <c r="K39" s="13">
        <v>0</v>
      </c>
      <c r="L39" s="13">
        <v>4.9000000000000004</v>
      </c>
      <c r="M39" s="14">
        <f t="shared" si="1"/>
        <v>1</v>
      </c>
      <c r="N39" s="14">
        <f t="shared" si="2"/>
        <v>0</v>
      </c>
    </row>
    <row r="40" spans="1:14" x14ac:dyDescent="0.25">
      <c r="A40" s="9" t="s">
        <v>50</v>
      </c>
      <c r="B40" s="9">
        <f t="shared" si="0"/>
        <v>45108</v>
      </c>
      <c r="C40" s="9" t="str">
        <f>TEXT('Cleaned Datasets'!$B40,"MMMM")</f>
        <v>July</v>
      </c>
      <c r="D40" s="10" t="s">
        <v>46</v>
      </c>
      <c r="E40" s="10" t="s">
        <v>54</v>
      </c>
      <c r="F40" s="10" t="s">
        <v>13</v>
      </c>
      <c r="G40" s="10" t="s">
        <v>14</v>
      </c>
      <c r="H40" s="10" t="s">
        <v>15</v>
      </c>
      <c r="I40" s="10">
        <v>3</v>
      </c>
      <c r="J40" s="10">
        <v>3</v>
      </c>
      <c r="K40" s="10">
        <v>0</v>
      </c>
      <c r="L40" s="10">
        <v>3.4</v>
      </c>
      <c r="M40" s="11">
        <f t="shared" si="1"/>
        <v>1</v>
      </c>
      <c r="N40" s="11">
        <f t="shared" si="2"/>
        <v>0</v>
      </c>
    </row>
    <row r="41" spans="1:14" x14ac:dyDescent="0.25">
      <c r="A41" s="12" t="s">
        <v>31</v>
      </c>
      <c r="B41" s="12">
        <f t="shared" si="0"/>
        <v>45139</v>
      </c>
      <c r="C41" s="12" t="str">
        <f>TEXT('Cleaned Datasets'!$B41,"MMMM")</f>
        <v>August</v>
      </c>
      <c r="D41" s="13" t="s">
        <v>37</v>
      </c>
      <c r="E41" s="13" t="s">
        <v>39</v>
      </c>
      <c r="F41" s="13" t="s">
        <v>26</v>
      </c>
      <c r="G41" s="13" t="s">
        <v>22</v>
      </c>
      <c r="H41" s="13" t="s">
        <v>19</v>
      </c>
      <c r="I41" s="13">
        <v>3</v>
      </c>
      <c r="J41" s="13">
        <v>3</v>
      </c>
      <c r="K41" s="13">
        <v>1</v>
      </c>
      <c r="L41" s="13">
        <v>3.9</v>
      </c>
      <c r="M41" s="14">
        <f t="shared" si="1"/>
        <v>1</v>
      </c>
      <c r="N41" s="14">
        <f t="shared" si="2"/>
        <v>0.33333333333333331</v>
      </c>
    </row>
    <row r="42" spans="1:14" x14ac:dyDescent="0.25">
      <c r="A42" s="9" t="s">
        <v>23</v>
      </c>
      <c r="B42" s="9">
        <f t="shared" si="0"/>
        <v>45200</v>
      </c>
      <c r="C42" s="9" t="str">
        <f>TEXT('Cleaned Datasets'!$B42,"MMMM")</f>
        <v>October</v>
      </c>
      <c r="D42" s="10" t="s">
        <v>16</v>
      </c>
      <c r="E42" s="10" t="s">
        <v>60</v>
      </c>
      <c r="F42" s="10" t="s">
        <v>26</v>
      </c>
      <c r="G42" s="10" t="s">
        <v>22</v>
      </c>
      <c r="H42" s="10" t="s">
        <v>15</v>
      </c>
      <c r="I42" s="10">
        <v>9</v>
      </c>
      <c r="J42" s="10">
        <v>9</v>
      </c>
      <c r="K42" s="10">
        <v>0</v>
      </c>
      <c r="L42" s="10">
        <v>2.5</v>
      </c>
      <c r="M42" s="11">
        <f t="shared" si="1"/>
        <v>1</v>
      </c>
      <c r="N42" s="11">
        <f t="shared" si="2"/>
        <v>0</v>
      </c>
    </row>
    <row r="43" spans="1:14" x14ac:dyDescent="0.25">
      <c r="A43" s="12" t="s">
        <v>36</v>
      </c>
      <c r="B43" s="12">
        <f t="shared" si="0"/>
        <v>44986</v>
      </c>
      <c r="C43" s="12" t="str">
        <f>TEXT('Cleaned Datasets'!$B43,"MMMM")</f>
        <v>March</v>
      </c>
      <c r="D43" s="13" t="s">
        <v>34</v>
      </c>
      <c r="E43" s="13" t="s">
        <v>35</v>
      </c>
      <c r="F43" s="13" t="s">
        <v>26</v>
      </c>
      <c r="G43" s="13" t="s">
        <v>53</v>
      </c>
      <c r="H43" s="13" t="s">
        <v>19</v>
      </c>
      <c r="I43" s="13">
        <v>2</v>
      </c>
      <c r="J43" s="13">
        <v>1</v>
      </c>
      <c r="K43" s="13">
        <v>0</v>
      </c>
      <c r="L43" s="13">
        <v>3.2</v>
      </c>
      <c r="M43" s="14">
        <f t="shared" si="1"/>
        <v>0.5</v>
      </c>
      <c r="N43" s="14">
        <f t="shared" si="2"/>
        <v>0</v>
      </c>
    </row>
    <row r="44" spans="1:14" x14ac:dyDescent="0.25">
      <c r="A44" s="9" t="s">
        <v>10</v>
      </c>
      <c r="B44" s="9">
        <f t="shared" si="0"/>
        <v>45017</v>
      </c>
      <c r="C44" s="9" t="str">
        <f>TEXT('Cleaned Datasets'!$B44,"MMMM")</f>
        <v>April</v>
      </c>
      <c r="D44" s="10" t="s">
        <v>37</v>
      </c>
      <c r="E44" s="10" t="s">
        <v>38</v>
      </c>
      <c r="F44" s="10" t="s">
        <v>22</v>
      </c>
      <c r="G44" s="10" t="s">
        <v>27</v>
      </c>
      <c r="H44" s="10" t="s">
        <v>19</v>
      </c>
      <c r="I44" s="10">
        <v>7</v>
      </c>
      <c r="J44" s="10">
        <v>6</v>
      </c>
      <c r="K44" s="10">
        <v>1</v>
      </c>
      <c r="L44" s="10">
        <v>3</v>
      </c>
      <c r="M44" s="11">
        <f t="shared" si="1"/>
        <v>0.8571428571428571</v>
      </c>
      <c r="N44" s="11">
        <f t="shared" si="2"/>
        <v>0.14285714285714285</v>
      </c>
    </row>
    <row r="45" spans="1:14" x14ac:dyDescent="0.25">
      <c r="A45" s="12" t="s">
        <v>59</v>
      </c>
      <c r="B45" s="12">
        <f t="shared" si="0"/>
        <v>45170</v>
      </c>
      <c r="C45" s="12" t="str">
        <f>TEXT('Cleaned Datasets'!$B45,"MMMM")</f>
        <v>September</v>
      </c>
      <c r="D45" s="13" t="s">
        <v>41</v>
      </c>
      <c r="E45" s="13" t="s">
        <v>44</v>
      </c>
      <c r="F45" s="13" t="s">
        <v>40</v>
      </c>
      <c r="G45" s="13" t="s">
        <v>18</v>
      </c>
      <c r="H45" s="13" t="s">
        <v>15</v>
      </c>
      <c r="I45" s="13">
        <v>8</v>
      </c>
      <c r="J45" s="13">
        <v>6</v>
      </c>
      <c r="K45" s="13">
        <v>0</v>
      </c>
      <c r="L45" s="13">
        <v>3.1</v>
      </c>
      <c r="M45" s="14">
        <f t="shared" si="1"/>
        <v>0.75</v>
      </c>
      <c r="N45" s="14">
        <f t="shared" si="2"/>
        <v>0</v>
      </c>
    </row>
    <row r="46" spans="1:14" x14ac:dyDescent="0.25">
      <c r="A46" s="9" t="s">
        <v>10</v>
      </c>
      <c r="B46" s="9">
        <f t="shared" si="0"/>
        <v>45017</v>
      </c>
      <c r="C46" s="9" t="str">
        <f>TEXT('Cleaned Datasets'!$B46,"MMMM")</f>
        <v>April</v>
      </c>
      <c r="D46" s="10" t="s">
        <v>48</v>
      </c>
      <c r="E46" s="10" t="s">
        <v>49</v>
      </c>
      <c r="F46" s="10" t="s">
        <v>21</v>
      </c>
      <c r="G46" s="10" t="s">
        <v>18</v>
      </c>
      <c r="H46" s="10" t="s">
        <v>15</v>
      </c>
      <c r="I46" s="10">
        <v>4</v>
      </c>
      <c r="J46" s="10">
        <v>3</v>
      </c>
      <c r="K46" s="10">
        <v>0</v>
      </c>
      <c r="L46" s="10">
        <v>3.3</v>
      </c>
      <c r="M46" s="11">
        <f t="shared" si="1"/>
        <v>0.75</v>
      </c>
      <c r="N46" s="11">
        <f t="shared" si="2"/>
        <v>0</v>
      </c>
    </row>
    <row r="47" spans="1:14" x14ac:dyDescent="0.25">
      <c r="A47" s="12" t="s">
        <v>61</v>
      </c>
      <c r="B47" s="12">
        <f t="shared" si="0"/>
        <v>45231</v>
      </c>
      <c r="C47" s="12" t="str">
        <f>TEXT('Cleaned Datasets'!$B47,"MMMM")</f>
        <v>November</v>
      </c>
      <c r="D47" s="13" t="s">
        <v>56</v>
      </c>
      <c r="E47" s="13" t="s">
        <v>57</v>
      </c>
      <c r="F47" s="13" t="s">
        <v>22</v>
      </c>
      <c r="G47" s="13" t="s">
        <v>27</v>
      </c>
      <c r="H47" s="13" t="s">
        <v>15</v>
      </c>
      <c r="I47" s="13">
        <v>8</v>
      </c>
      <c r="J47" s="13">
        <v>7</v>
      </c>
      <c r="K47" s="13">
        <v>0</v>
      </c>
      <c r="L47" s="13">
        <v>2.9</v>
      </c>
      <c r="M47" s="14">
        <f t="shared" si="1"/>
        <v>0.875</v>
      </c>
      <c r="N47" s="14">
        <f t="shared" si="2"/>
        <v>0</v>
      </c>
    </row>
    <row r="48" spans="1:14" x14ac:dyDescent="0.25">
      <c r="A48" s="9" t="s">
        <v>10</v>
      </c>
      <c r="B48" s="9">
        <f t="shared" si="0"/>
        <v>45017</v>
      </c>
      <c r="C48" s="9" t="str">
        <f>TEXT('Cleaned Datasets'!$B48,"MMMM")</f>
        <v>April</v>
      </c>
      <c r="D48" s="10" t="s">
        <v>16</v>
      </c>
      <c r="E48" s="10" t="s">
        <v>60</v>
      </c>
      <c r="F48" s="10" t="s">
        <v>32</v>
      </c>
      <c r="G48" s="10" t="s">
        <v>14</v>
      </c>
      <c r="H48" s="10" t="s">
        <v>15</v>
      </c>
      <c r="I48" s="10">
        <v>4</v>
      </c>
      <c r="J48" s="10">
        <v>4</v>
      </c>
      <c r="K48" s="10">
        <v>0</v>
      </c>
      <c r="L48" s="10">
        <v>3.4</v>
      </c>
      <c r="M48" s="11">
        <f t="shared" si="1"/>
        <v>1</v>
      </c>
      <c r="N48" s="11">
        <f t="shared" si="2"/>
        <v>0</v>
      </c>
    </row>
    <row r="49" spans="1:14" x14ac:dyDescent="0.25">
      <c r="A49" s="12" t="s">
        <v>50</v>
      </c>
      <c r="B49" s="12">
        <f t="shared" si="0"/>
        <v>45108</v>
      </c>
      <c r="C49" s="12" t="str">
        <f>TEXT('Cleaned Datasets'!$B49,"MMMM")</f>
        <v>July</v>
      </c>
      <c r="D49" s="13" t="s">
        <v>11</v>
      </c>
      <c r="E49" s="13" t="s">
        <v>12</v>
      </c>
      <c r="F49" s="13" t="s">
        <v>26</v>
      </c>
      <c r="G49" s="13" t="s">
        <v>30</v>
      </c>
      <c r="H49" s="13" t="s">
        <v>19</v>
      </c>
      <c r="I49" s="13">
        <v>2</v>
      </c>
      <c r="J49" s="13">
        <v>2</v>
      </c>
      <c r="K49" s="13">
        <v>0</v>
      </c>
      <c r="L49" s="13">
        <v>2.4</v>
      </c>
      <c r="M49" s="14">
        <f t="shared" si="1"/>
        <v>1</v>
      </c>
      <c r="N49" s="14">
        <f t="shared" si="2"/>
        <v>0</v>
      </c>
    </row>
    <row r="50" spans="1:14" x14ac:dyDescent="0.25">
      <c r="A50" s="9" t="s">
        <v>55</v>
      </c>
      <c r="B50" s="9">
        <f t="shared" si="0"/>
        <v>45261</v>
      </c>
      <c r="C50" s="9" t="str">
        <f>TEXT('Cleaned Datasets'!$B50,"MMMM")</f>
        <v>December</v>
      </c>
      <c r="D50" s="10" t="s">
        <v>11</v>
      </c>
      <c r="E50" s="10" t="s">
        <v>52</v>
      </c>
      <c r="F50" s="10" t="s">
        <v>40</v>
      </c>
      <c r="G50" s="10" t="s">
        <v>22</v>
      </c>
      <c r="H50" s="10" t="s">
        <v>15</v>
      </c>
      <c r="I50" s="10">
        <v>3</v>
      </c>
      <c r="J50" s="10">
        <v>1</v>
      </c>
      <c r="K50" s="10">
        <v>0</v>
      </c>
      <c r="L50" s="10">
        <v>4.2</v>
      </c>
      <c r="M50" s="11">
        <f t="shared" si="1"/>
        <v>0.33333333333333331</v>
      </c>
      <c r="N50" s="11">
        <f t="shared" si="2"/>
        <v>0</v>
      </c>
    </row>
    <row r="51" spans="1:14" x14ac:dyDescent="0.25">
      <c r="A51" s="12" t="s">
        <v>55</v>
      </c>
      <c r="B51" s="12">
        <f t="shared" si="0"/>
        <v>45261</v>
      </c>
      <c r="C51" s="12" t="str">
        <f>TEXT('Cleaned Datasets'!$B51,"MMMM")</f>
        <v>December</v>
      </c>
      <c r="D51" s="13" t="s">
        <v>24</v>
      </c>
      <c r="E51" s="13" t="s">
        <v>25</v>
      </c>
      <c r="F51" s="13" t="s">
        <v>32</v>
      </c>
      <c r="G51" s="13" t="s">
        <v>14</v>
      </c>
      <c r="H51" s="13" t="s">
        <v>15</v>
      </c>
      <c r="I51" s="13">
        <v>7</v>
      </c>
      <c r="J51" s="13">
        <v>5</v>
      </c>
      <c r="K51" s="13">
        <v>0</v>
      </c>
      <c r="L51" s="13">
        <v>2.5</v>
      </c>
      <c r="M51" s="14">
        <f t="shared" si="1"/>
        <v>0.7142857142857143</v>
      </c>
      <c r="N51" s="14">
        <f t="shared" si="2"/>
        <v>0</v>
      </c>
    </row>
    <row r="52" spans="1:14" x14ac:dyDescent="0.25">
      <c r="A52" s="9" t="s">
        <v>10</v>
      </c>
      <c r="B52" s="9">
        <f t="shared" si="0"/>
        <v>45017</v>
      </c>
      <c r="C52" s="9" t="str">
        <f>TEXT('Cleaned Datasets'!$B52,"MMMM")</f>
        <v>April</v>
      </c>
      <c r="D52" s="10" t="s">
        <v>46</v>
      </c>
      <c r="E52" s="10" t="s">
        <v>47</v>
      </c>
      <c r="F52" s="10" t="s">
        <v>13</v>
      </c>
      <c r="G52" s="10" t="s">
        <v>30</v>
      </c>
      <c r="H52" s="10" t="s">
        <v>15</v>
      </c>
      <c r="I52" s="10">
        <v>1</v>
      </c>
      <c r="J52" s="10">
        <v>1</v>
      </c>
      <c r="K52" s="10">
        <v>0</v>
      </c>
      <c r="L52" s="10">
        <v>4.3</v>
      </c>
      <c r="M52" s="11">
        <f t="shared" si="1"/>
        <v>1</v>
      </c>
      <c r="N52" s="11">
        <f t="shared" si="2"/>
        <v>0</v>
      </c>
    </row>
    <row r="53" spans="1:14" x14ac:dyDescent="0.25">
      <c r="A53" s="12" t="s">
        <v>61</v>
      </c>
      <c r="B53" s="12">
        <f t="shared" si="0"/>
        <v>45231</v>
      </c>
      <c r="C53" s="12" t="str">
        <f>TEXT('Cleaned Datasets'!$B53,"MMMM")</f>
        <v>November</v>
      </c>
      <c r="D53" s="13" t="s">
        <v>41</v>
      </c>
      <c r="E53" s="13" t="s">
        <v>44</v>
      </c>
      <c r="F53" s="13" t="s">
        <v>13</v>
      </c>
      <c r="G53" s="13" t="s">
        <v>27</v>
      </c>
      <c r="H53" s="13" t="s">
        <v>15</v>
      </c>
      <c r="I53" s="13">
        <v>7</v>
      </c>
      <c r="J53" s="13">
        <v>5</v>
      </c>
      <c r="K53" s="13">
        <v>0</v>
      </c>
      <c r="L53" s="13">
        <v>3.8</v>
      </c>
      <c r="M53" s="14">
        <f t="shared" si="1"/>
        <v>0.7142857142857143</v>
      </c>
      <c r="N53" s="14">
        <f t="shared" si="2"/>
        <v>0</v>
      </c>
    </row>
    <row r="54" spans="1:14" x14ac:dyDescent="0.25">
      <c r="A54" s="9" t="s">
        <v>43</v>
      </c>
      <c r="B54" s="9">
        <f t="shared" si="0"/>
        <v>44958</v>
      </c>
      <c r="C54" s="9" t="str">
        <f>TEXT('Cleaned Datasets'!$B54,"MMMM")</f>
        <v>February</v>
      </c>
      <c r="D54" s="10" t="s">
        <v>37</v>
      </c>
      <c r="E54" s="10" t="s">
        <v>39</v>
      </c>
      <c r="F54" s="10" t="s">
        <v>26</v>
      </c>
      <c r="G54" s="10" t="s">
        <v>14</v>
      </c>
      <c r="H54" s="10" t="s">
        <v>15</v>
      </c>
      <c r="I54" s="10">
        <v>7</v>
      </c>
      <c r="J54" s="10">
        <v>6</v>
      </c>
      <c r="K54" s="10">
        <v>0</v>
      </c>
      <c r="L54" s="10">
        <v>4.2</v>
      </c>
      <c r="M54" s="11">
        <f t="shared" si="1"/>
        <v>0.8571428571428571</v>
      </c>
      <c r="N54" s="11">
        <f t="shared" si="2"/>
        <v>0</v>
      </c>
    </row>
    <row r="55" spans="1:14" x14ac:dyDescent="0.25">
      <c r="A55" s="12" t="s">
        <v>45</v>
      </c>
      <c r="B55" s="12">
        <f t="shared" si="0"/>
        <v>45047</v>
      </c>
      <c r="C55" s="12" t="str">
        <f>TEXT('Cleaned Datasets'!$B55,"MMMM")</f>
        <v>May</v>
      </c>
      <c r="D55" s="13" t="s">
        <v>46</v>
      </c>
      <c r="E55" s="13" t="s">
        <v>54</v>
      </c>
      <c r="F55" s="13" t="s">
        <v>21</v>
      </c>
      <c r="G55" s="13" t="s">
        <v>27</v>
      </c>
      <c r="H55" s="13" t="s">
        <v>15</v>
      </c>
      <c r="I55" s="13">
        <v>5</v>
      </c>
      <c r="J55" s="13">
        <v>4</v>
      </c>
      <c r="K55" s="13">
        <v>0</v>
      </c>
      <c r="L55" s="13">
        <v>4.8</v>
      </c>
      <c r="M55" s="14">
        <f t="shared" si="1"/>
        <v>0.8</v>
      </c>
      <c r="N55" s="14">
        <f t="shared" si="2"/>
        <v>0</v>
      </c>
    </row>
    <row r="56" spans="1:14" x14ac:dyDescent="0.25">
      <c r="A56" s="9" t="s">
        <v>43</v>
      </c>
      <c r="B56" s="9">
        <f t="shared" si="0"/>
        <v>44958</v>
      </c>
      <c r="C56" s="9" t="str">
        <f>TEXT('Cleaned Datasets'!$B56,"MMMM")</f>
        <v>February</v>
      </c>
      <c r="D56" s="10" t="s">
        <v>46</v>
      </c>
      <c r="E56" s="10" t="s">
        <v>47</v>
      </c>
      <c r="F56" s="10" t="s">
        <v>13</v>
      </c>
      <c r="G56" s="10" t="s">
        <v>27</v>
      </c>
      <c r="H56" s="10" t="s">
        <v>19</v>
      </c>
      <c r="I56" s="10">
        <v>4</v>
      </c>
      <c r="J56" s="10">
        <v>2</v>
      </c>
      <c r="K56" s="10">
        <v>2</v>
      </c>
      <c r="L56" s="10">
        <v>3.3</v>
      </c>
      <c r="M56" s="11">
        <f t="shared" si="1"/>
        <v>0.5</v>
      </c>
      <c r="N56" s="11">
        <f t="shared" si="2"/>
        <v>0.5</v>
      </c>
    </row>
    <row r="57" spans="1:14" x14ac:dyDescent="0.25">
      <c r="A57" s="12" t="s">
        <v>55</v>
      </c>
      <c r="B57" s="12">
        <f t="shared" si="0"/>
        <v>45261</v>
      </c>
      <c r="C57" s="12" t="str">
        <f>TEXT('Cleaned Datasets'!$B57,"MMMM")</f>
        <v>December</v>
      </c>
      <c r="D57" s="13" t="s">
        <v>28</v>
      </c>
      <c r="E57" s="13" t="s">
        <v>29</v>
      </c>
      <c r="F57" s="13" t="s">
        <v>26</v>
      </c>
      <c r="G57" s="13" t="s">
        <v>14</v>
      </c>
      <c r="H57" s="13" t="s">
        <v>15</v>
      </c>
      <c r="I57" s="13">
        <v>9</v>
      </c>
      <c r="J57" s="13">
        <v>7</v>
      </c>
      <c r="K57" s="13">
        <v>1</v>
      </c>
      <c r="L57" s="13">
        <v>4.9000000000000004</v>
      </c>
      <c r="M57" s="14">
        <f t="shared" si="1"/>
        <v>0.77777777777777779</v>
      </c>
      <c r="N57" s="14">
        <f t="shared" si="2"/>
        <v>0.1111111111111111</v>
      </c>
    </row>
    <row r="58" spans="1:14" x14ac:dyDescent="0.25">
      <c r="A58" s="9" t="s">
        <v>45</v>
      </c>
      <c r="B58" s="9">
        <f t="shared" si="0"/>
        <v>45047</v>
      </c>
      <c r="C58" s="9" t="str">
        <f>TEXT('Cleaned Datasets'!$B58,"MMMM")</f>
        <v>May</v>
      </c>
      <c r="D58" s="10" t="s">
        <v>24</v>
      </c>
      <c r="E58" s="10" t="s">
        <v>25</v>
      </c>
      <c r="F58" s="10" t="s">
        <v>21</v>
      </c>
      <c r="G58" s="10" t="s">
        <v>30</v>
      </c>
      <c r="H58" s="10" t="s">
        <v>19</v>
      </c>
      <c r="I58" s="10">
        <v>1</v>
      </c>
      <c r="J58" s="10">
        <v>1</v>
      </c>
      <c r="K58" s="10">
        <v>0</v>
      </c>
      <c r="L58" s="10">
        <v>1.3</v>
      </c>
      <c r="M58" s="11">
        <f t="shared" si="1"/>
        <v>1</v>
      </c>
      <c r="N58" s="11">
        <f t="shared" si="2"/>
        <v>0</v>
      </c>
    </row>
    <row r="59" spans="1:14" x14ac:dyDescent="0.25">
      <c r="A59" s="12" t="s">
        <v>20</v>
      </c>
      <c r="B59" s="12">
        <f t="shared" si="0"/>
        <v>45078</v>
      </c>
      <c r="C59" s="12" t="str">
        <f>TEXT('Cleaned Datasets'!$B59,"MMMM")</f>
        <v>June</v>
      </c>
      <c r="D59" s="13" t="s">
        <v>34</v>
      </c>
      <c r="E59" s="13" t="s">
        <v>35</v>
      </c>
      <c r="F59" s="13" t="s">
        <v>26</v>
      </c>
      <c r="G59" s="13" t="s">
        <v>53</v>
      </c>
      <c r="H59" s="13" t="s">
        <v>15</v>
      </c>
      <c r="I59" s="13">
        <v>6</v>
      </c>
      <c r="J59" s="13">
        <v>5</v>
      </c>
      <c r="K59" s="13">
        <v>1</v>
      </c>
      <c r="L59" s="13">
        <v>4.4000000000000004</v>
      </c>
      <c r="M59" s="14">
        <f t="shared" si="1"/>
        <v>0.83333333333333337</v>
      </c>
      <c r="N59" s="14">
        <f t="shared" si="2"/>
        <v>0.16666666666666666</v>
      </c>
    </row>
    <row r="60" spans="1:14" x14ac:dyDescent="0.25">
      <c r="A60" s="9" t="s">
        <v>50</v>
      </c>
      <c r="B60" s="9">
        <f t="shared" si="0"/>
        <v>45108</v>
      </c>
      <c r="C60" s="9" t="str">
        <f>TEXT('Cleaned Datasets'!$B60,"MMMM")</f>
        <v>July</v>
      </c>
      <c r="D60" s="10" t="s">
        <v>16</v>
      </c>
      <c r="E60" s="10" t="s">
        <v>60</v>
      </c>
      <c r="F60" s="10" t="s">
        <v>21</v>
      </c>
      <c r="G60" s="10" t="s">
        <v>18</v>
      </c>
      <c r="H60" s="10" t="s">
        <v>19</v>
      </c>
      <c r="I60" s="10">
        <v>8</v>
      </c>
      <c r="J60" s="10">
        <v>6</v>
      </c>
      <c r="K60" s="10">
        <v>0</v>
      </c>
      <c r="L60" s="10">
        <v>3.7</v>
      </c>
      <c r="M60" s="11">
        <f t="shared" si="1"/>
        <v>0.75</v>
      </c>
      <c r="N60" s="11">
        <f t="shared" si="2"/>
        <v>0</v>
      </c>
    </row>
    <row r="61" spans="1:14" x14ac:dyDescent="0.25">
      <c r="A61" s="12" t="s">
        <v>55</v>
      </c>
      <c r="B61" s="12">
        <f t="shared" si="0"/>
        <v>45261</v>
      </c>
      <c r="C61" s="12" t="str">
        <f>TEXT('Cleaned Datasets'!$B61,"MMMM")</f>
        <v>December</v>
      </c>
      <c r="D61" s="13" t="s">
        <v>37</v>
      </c>
      <c r="E61" s="13" t="s">
        <v>38</v>
      </c>
      <c r="F61" s="13" t="s">
        <v>32</v>
      </c>
      <c r="G61" s="13" t="s">
        <v>30</v>
      </c>
      <c r="H61" s="13" t="s">
        <v>19</v>
      </c>
      <c r="I61" s="13">
        <v>6</v>
      </c>
      <c r="J61" s="13">
        <v>5</v>
      </c>
      <c r="K61" s="13">
        <v>0</v>
      </c>
      <c r="L61" s="13">
        <v>1.9</v>
      </c>
      <c r="M61" s="14">
        <f t="shared" si="1"/>
        <v>0.83333333333333337</v>
      </c>
      <c r="N61" s="14">
        <f t="shared" si="2"/>
        <v>0</v>
      </c>
    </row>
    <row r="62" spans="1:14" x14ac:dyDescent="0.25">
      <c r="A62" s="9" t="s">
        <v>31</v>
      </c>
      <c r="B62" s="9">
        <f t="shared" si="0"/>
        <v>45139</v>
      </c>
      <c r="C62" s="9" t="str">
        <f>TEXT('Cleaned Datasets'!$B62,"MMMM")</f>
        <v>August</v>
      </c>
      <c r="D62" s="10" t="s">
        <v>56</v>
      </c>
      <c r="E62" s="10" t="s">
        <v>57</v>
      </c>
      <c r="F62" s="10" t="s">
        <v>22</v>
      </c>
      <c r="G62" s="10" t="s">
        <v>53</v>
      </c>
      <c r="H62" s="10" t="s">
        <v>15</v>
      </c>
      <c r="I62" s="10">
        <v>4</v>
      </c>
      <c r="J62" s="10">
        <v>3</v>
      </c>
      <c r="K62" s="10">
        <v>0</v>
      </c>
      <c r="L62" s="10">
        <v>2</v>
      </c>
      <c r="M62" s="11">
        <f t="shared" si="1"/>
        <v>0.75</v>
      </c>
      <c r="N62" s="11">
        <f t="shared" si="2"/>
        <v>0</v>
      </c>
    </row>
    <row r="63" spans="1:14" x14ac:dyDescent="0.25">
      <c r="A63" s="12" t="s">
        <v>36</v>
      </c>
      <c r="B63" s="12">
        <f t="shared" si="0"/>
        <v>44986</v>
      </c>
      <c r="C63" s="12" t="str">
        <f>TEXT('Cleaned Datasets'!$B63,"MMMM")</f>
        <v>March</v>
      </c>
      <c r="D63" s="13" t="s">
        <v>41</v>
      </c>
      <c r="E63" s="13" t="s">
        <v>42</v>
      </c>
      <c r="F63" s="13" t="s">
        <v>32</v>
      </c>
      <c r="G63" s="13" t="s">
        <v>30</v>
      </c>
      <c r="H63" s="13" t="s">
        <v>15</v>
      </c>
      <c r="I63" s="13">
        <v>1</v>
      </c>
      <c r="J63" s="13">
        <v>1</v>
      </c>
      <c r="K63" s="13">
        <v>0</v>
      </c>
      <c r="L63" s="13">
        <v>3.7</v>
      </c>
      <c r="M63" s="14">
        <f t="shared" si="1"/>
        <v>1</v>
      </c>
      <c r="N63" s="14">
        <f t="shared" si="2"/>
        <v>0</v>
      </c>
    </row>
    <row r="64" spans="1:14" x14ac:dyDescent="0.25">
      <c r="A64" s="9" t="s">
        <v>45</v>
      </c>
      <c r="B64" s="9">
        <f t="shared" si="0"/>
        <v>45047</v>
      </c>
      <c r="C64" s="9" t="str">
        <f>TEXT('Cleaned Datasets'!$B64,"MMMM")</f>
        <v>May</v>
      </c>
      <c r="D64" s="10" t="s">
        <v>37</v>
      </c>
      <c r="E64" s="10" t="s">
        <v>38</v>
      </c>
      <c r="F64" s="10" t="s">
        <v>13</v>
      </c>
      <c r="G64" s="10" t="s">
        <v>22</v>
      </c>
      <c r="H64" s="10" t="s">
        <v>19</v>
      </c>
      <c r="I64" s="10">
        <v>7</v>
      </c>
      <c r="J64" s="10">
        <v>5</v>
      </c>
      <c r="K64" s="10">
        <v>1</v>
      </c>
      <c r="L64" s="10">
        <v>1.3</v>
      </c>
      <c r="M64" s="11">
        <f t="shared" si="1"/>
        <v>0.7142857142857143</v>
      </c>
      <c r="N64" s="11">
        <f t="shared" si="2"/>
        <v>0.14285714285714285</v>
      </c>
    </row>
    <row r="65" spans="1:14" x14ac:dyDescent="0.25">
      <c r="A65" s="12" t="s">
        <v>59</v>
      </c>
      <c r="B65" s="12">
        <f t="shared" si="0"/>
        <v>45170</v>
      </c>
      <c r="C65" s="12" t="str">
        <f>TEXT('Cleaned Datasets'!$B65,"MMMM")</f>
        <v>September</v>
      </c>
      <c r="D65" s="13" t="s">
        <v>41</v>
      </c>
      <c r="E65" s="13" t="s">
        <v>44</v>
      </c>
      <c r="F65" s="13" t="s">
        <v>22</v>
      </c>
      <c r="G65" s="13" t="s">
        <v>14</v>
      </c>
      <c r="H65" s="13" t="s">
        <v>15</v>
      </c>
      <c r="I65" s="13">
        <v>6</v>
      </c>
      <c r="J65" s="13">
        <v>6</v>
      </c>
      <c r="K65" s="13">
        <v>0</v>
      </c>
      <c r="L65" s="13">
        <v>2.9</v>
      </c>
      <c r="M65" s="14">
        <f t="shared" si="1"/>
        <v>1</v>
      </c>
      <c r="N65" s="14">
        <f t="shared" si="2"/>
        <v>0</v>
      </c>
    </row>
    <row r="66" spans="1:14" x14ac:dyDescent="0.25">
      <c r="A66" s="9" t="s">
        <v>45</v>
      </c>
      <c r="B66" s="9">
        <f t="shared" si="0"/>
        <v>45047</v>
      </c>
      <c r="C66" s="9" t="str">
        <f>TEXT('Cleaned Datasets'!$B66,"MMMM")</f>
        <v>May</v>
      </c>
      <c r="D66" s="10" t="s">
        <v>28</v>
      </c>
      <c r="E66" s="10" t="s">
        <v>29</v>
      </c>
      <c r="F66" s="10" t="s">
        <v>40</v>
      </c>
      <c r="G66" s="10" t="s">
        <v>27</v>
      </c>
      <c r="H66" s="10" t="s">
        <v>19</v>
      </c>
      <c r="I66" s="10">
        <v>3</v>
      </c>
      <c r="J66" s="10">
        <v>3</v>
      </c>
      <c r="K66" s="10">
        <v>1</v>
      </c>
      <c r="L66" s="10">
        <v>5.0999999999999996</v>
      </c>
      <c r="M66" s="11">
        <f t="shared" si="1"/>
        <v>1</v>
      </c>
      <c r="N66" s="11">
        <f t="shared" si="2"/>
        <v>0.33333333333333331</v>
      </c>
    </row>
    <row r="67" spans="1:14" x14ac:dyDescent="0.25">
      <c r="A67" s="12" t="s">
        <v>43</v>
      </c>
      <c r="B67" s="12">
        <f t="shared" ref="B67:B130" si="3">DATE(LEFT(A67,4), RIGHT(A67,2), 1)</f>
        <v>44958</v>
      </c>
      <c r="C67" s="12" t="str">
        <f>TEXT('Cleaned Datasets'!$B67,"MMMM")</f>
        <v>February</v>
      </c>
      <c r="D67" s="13" t="s">
        <v>34</v>
      </c>
      <c r="E67" s="13" t="s">
        <v>51</v>
      </c>
      <c r="F67" s="13" t="s">
        <v>13</v>
      </c>
      <c r="G67" s="13" t="s">
        <v>27</v>
      </c>
      <c r="H67" s="13" t="s">
        <v>15</v>
      </c>
      <c r="I67" s="13">
        <v>2</v>
      </c>
      <c r="J67" s="13">
        <v>2</v>
      </c>
      <c r="K67" s="13">
        <v>0</v>
      </c>
      <c r="L67" s="13">
        <v>2.7</v>
      </c>
      <c r="M67" s="14">
        <f t="shared" ref="M67:M130" si="4">IFERROR(J67/I67,0)</f>
        <v>1</v>
      </c>
      <c r="N67" s="14">
        <f t="shared" ref="N67:N130" si="5">IFERROR(K67/I67,0)</f>
        <v>0</v>
      </c>
    </row>
    <row r="68" spans="1:14" x14ac:dyDescent="0.25">
      <c r="A68" s="9" t="s">
        <v>23</v>
      </c>
      <c r="B68" s="9">
        <f t="shared" si="3"/>
        <v>45200</v>
      </c>
      <c r="C68" s="9" t="str">
        <f>TEXT('Cleaned Datasets'!$B68,"MMMM")</f>
        <v>October</v>
      </c>
      <c r="D68" s="10" t="s">
        <v>46</v>
      </c>
      <c r="E68" s="10" t="s">
        <v>54</v>
      </c>
      <c r="F68" s="10" t="s">
        <v>40</v>
      </c>
      <c r="G68" s="10" t="s">
        <v>27</v>
      </c>
      <c r="H68" s="10" t="s">
        <v>15</v>
      </c>
      <c r="I68" s="10">
        <v>2</v>
      </c>
      <c r="J68" s="10">
        <v>2</v>
      </c>
      <c r="K68" s="10">
        <v>0</v>
      </c>
      <c r="L68" s="10">
        <v>3.1</v>
      </c>
      <c r="M68" s="11">
        <f t="shared" si="4"/>
        <v>1</v>
      </c>
      <c r="N68" s="11">
        <f t="shared" si="5"/>
        <v>0</v>
      </c>
    </row>
    <row r="69" spans="1:14" x14ac:dyDescent="0.25">
      <c r="A69" s="12" t="s">
        <v>20</v>
      </c>
      <c r="B69" s="12">
        <f t="shared" si="3"/>
        <v>45078</v>
      </c>
      <c r="C69" s="12" t="str">
        <f>TEXT('Cleaned Datasets'!$B69,"MMMM")</f>
        <v>June</v>
      </c>
      <c r="D69" s="13" t="s">
        <v>34</v>
      </c>
      <c r="E69" s="13" t="s">
        <v>51</v>
      </c>
      <c r="F69" s="13" t="s">
        <v>40</v>
      </c>
      <c r="G69" s="13" t="s">
        <v>18</v>
      </c>
      <c r="H69" s="13" t="s">
        <v>19</v>
      </c>
      <c r="I69" s="13">
        <v>4</v>
      </c>
      <c r="J69" s="13">
        <v>3</v>
      </c>
      <c r="K69" s="13">
        <v>1</v>
      </c>
      <c r="L69" s="13">
        <v>0.7</v>
      </c>
      <c r="M69" s="14">
        <f t="shared" si="4"/>
        <v>0.75</v>
      </c>
      <c r="N69" s="14">
        <f t="shared" si="5"/>
        <v>0.25</v>
      </c>
    </row>
    <row r="70" spans="1:14" x14ac:dyDescent="0.25">
      <c r="A70" s="9" t="s">
        <v>61</v>
      </c>
      <c r="B70" s="9">
        <f t="shared" si="3"/>
        <v>45231</v>
      </c>
      <c r="C70" s="9" t="str">
        <f>TEXT('Cleaned Datasets'!$B70,"MMMM")</f>
        <v>November</v>
      </c>
      <c r="D70" s="10" t="s">
        <v>46</v>
      </c>
      <c r="E70" s="10" t="s">
        <v>54</v>
      </c>
      <c r="F70" s="10" t="s">
        <v>13</v>
      </c>
      <c r="G70" s="10" t="s">
        <v>18</v>
      </c>
      <c r="H70" s="10" t="s">
        <v>15</v>
      </c>
      <c r="I70" s="10">
        <v>4</v>
      </c>
      <c r="J70" s="10">
        <v>4</v>
      </c>
      <c r="K70" s="10">
        <v>0</v>
      </c>
      <c r="L70" s="10">
        <v>5.4</v>
      </c>
      <c r="M70" s="11">
        <f t="shared" si="4"/>
        <v>1</v>
      </c>
      <c r="N70" s="11">
        <f t="shared" si="5"/>
        <v>0</v>
      </c>
    </row>
    <row r="71" spans="1:14" x14ac:dyDescent="0.25">
      <c r="A71" s="12" t="s">
        <v>10</v>
      </c>
      <c r="B71" s="12">
        <f t="shared" si="3"/>
        <v>45017</v>
      </c>
      <c r="C71" s="12" t="str">
        <f>TEXT('Cleaned Datasets'!$B71,"MMMM")</f>
        <v>April</v>
      </c>
      <c r="D71" s="13" t="s">
        <v>16</v>
      </c>
      <c r="E71" s="13" t="s">
        <v>17</v>
      </c>
      <c r="F71" s="13" t="s">
        <v>26</v>
      </c>
      <c r="G71" s="13" t="s">
        <v>27</v>
      </c>
      <c r="H71" s="13" t="s">
        <v>15</v>
      </c>
      <c r="I71" s="13">
        <v>3</v>
      </c>
      <c r="J71" s="13">
        <v>3</v>
      </c>
      <c r="K71" s="13">
        <v>0</v>
      </c>
      <c r="L71" s="13">
        <v>2.7</v>
      </c>
      <c r="M71" s="14">
        <f t="shared" si="4"/>
        <v>1</v>
      </c>
      <c r="N71" s="14">
        <f t="shared" si="5"/>
        <v>0</v>
      </c>
    </row>
    <row r="72" spans="1:14" x14ac:dyDescent="0.25">
      <c r="A72" s="9" t="s">
        <v>59</v>
      </c>
      <c r="B72" s="9">
        <f t="shared" si="3"/>
        <v>45170</v>
      </c>
      <c r="C72" s="9" t="str">
        <f>TEXT('Cleaned Datasets'!$B72,"MMMM")</f>
        <v>September</v>
      </c>
      <c r="D72" s="10" t="s">
        <v>28</v>
      </c>
      <c r="E72" s="10" t="s">
        <v>29</v>
      </c>
      <c r="F72" s="10" t="s">
        <v>22</v>
      </c>
      <c r="G72" s="10" t="s">
        <v>18</v>
      </c>
      <c r="H72" s="10" t="s">
        <v>19</v>
      </c>
      <c r="I72" s="10">
        <v>5</v>
      </c>
      <c r="J72" s="10">
        <v>5</v>
      </c>
      <c r="K72" s="10">
        <v>0</v>
      </c>
      <c r="L72" s="10">
        <v>2.8</v>
      </c>
      <c r="M72" s="11">
        <f t="shared" si="4"/>
        <v>1</v>
      </c>
      <c r="N72" s="11">
        <f t="shared" si="5"/>
        <v>0</v>
      </c>
    </row>
    <row r="73" spans="1:14" x14ac:dyDescent="0.25">
      <c r="A73" s="12" t="s">
        <v>33</v>
      </c>
      <c r="B73" s="12">
        <f t="shared" si="3"/>
        <v>44927</v>
      </c>
      <c r="C73" s="12" t="str">
        <f>TEXT('Cleaned Datasets'!$B73,"MMMM")</f>
        <v>January</v>
      </c>
      <c r="D73" s="13" t="s">
        <v>46</v>
      </c>
      <c r="E73" s="13" t="s">
        <v>54</v>
      </c>
      <c r="F73" s="13" t="s">
        <v>32</v>
      </c>
      <c r="G73" s="13" t="s">
        <v>22</v>
      </c>
      <c r="H73" s="13" t="s">
        <v>19</v>
      </c>
      <c r="I73" s="13">
        <v>3</v>
      </c>
      <c r="J73" s="13">
        <v>2</v>
      </c>
      <c r="K73" s="13">
        <v>0</v>
      </c>
      <c r="L73" s="13">
        <v>3</v>
      </c>
      <c r="M73" s="14">
        <f t="shared" si="4"/>
        <v>0.66666666666666663</v>
      </c>
      <c r="N73" s="14">
        <f t="shared" si="5"/>
        <v>0</v>
      </c>
    </row>
    <row r="74" spans="1:14" x14ac:dyDescent="0.25">
      <c r="A74" s="9" t="s">
        <v>33</v>
      </c>
      <c r="B74" s="9">
        <f t="shared" si="3"/>
        <v>44927</v>
      </c>
      <c r="C74" s="9" t="str">
        <f>TEXT('Cleaned Datasets'!$B74,"MMMM")</f>
        <v>January</v>
      </c>
      <c r="D74" s="10" t="s">
        <v>24</v>
      </c>
      <c r="E74" s="10" t="s">
        <v>25</v>
      </c>
      <c r="F74" s="10" t="s">
        <v>21</v>
      </c>
      <c r="G74" s="10" t="s">
        <v>30</v>
      </c>
      <c r="H74" s="10" t="s">
        <v>15</v>
      </c>
      <c r="I74" s="10">
        <v>6</v>
      </c>
      <c r="J74" s="10">
        <v>6</v>
      </c>
      <c r="K74" s="10">
        <v>0</v>
      </c>
      <c r="L74" s="10">
        <v>2.1</v>
      </c>
      <c r="M74" s="11">
        <f t="shared" si="4"/>
        <v>1</v>
      </c>
      <c r="N74" s="11">
        <f t="shared" si="5"/>
        <v>0</v>
      </c>
    </row>
    <row r="75" spans="1:14" x14ac:dyDescent="0.25">
      <c r="A75" s="12" t="s">
        <v>10</v>
      </c>
      <c r="B75" s="12">
        <f t="shared" si="3"/>
        <v>45017</v>
      </c>
      <c r="C75" s="12" t="str">
        <f>TEXT('Cleaned Datasets'!$B75,"MMMM")</f>
        <v>April</v>
      </c>
      <c r="D75" s="13" t="s">
        <v>28</v>
      </c>
      <c r="E75" s="13" t="s">
        <v>58</v>
      </c>
      <c r="F75" s="13" t="s">
        <v>40</v>
      </c>
      <c r="G75" s="13" t="s">
        <v>27</v>
      </c>
      <c r="H75" s="13" t="s">
        <v>15</v>
      </c>
      <c r="I75" s="13">
        <v>6</v>
      </c>
      <c r="J75" s="13">
        <v>6</v>
      </c>
      <c r="K75" s="13">
        <v>0</v>
      </c>
      <c r="L75" s="13">
        <v>1.6</v>
      </c>
      <c r="M75" s="14">
        <f t="shared" si="4"/>
        <v>1</v>
      </c>
      <c r="N75" s="14">
        <f t="shared" si="5"/>
        <v>0</v>
      </c>
    </row>
    <row r="76" spans="1:14" x14ac:dyDescent="0.25">
      <c r="A76" s="9" t="s">
        <v>61</v>
      </c>
      <c r="B76" s="9">
        <f t="shared" si="3"/>
        <v>45231</v>
      </c>
      <c r="C76" s="9" t="str">
        <f>TEXT('Cleaned Datasets'!$B76,"MMMM")</f>
        <v>November</v>
      </c>
      <c r="D76" s="10" t="s">
        <v>16</v>
      </c>
      <c r="E76" s="10" t="s">
        <v>17</v>
      </c>
      <c r="F76" s="10" t="s">
        <v>22</v>
      </c>
      <c r="G76" s="10" t="s">
        <v>30</v>
      </c>
      <c r="H76" s="10" t="s">
        <v>15</v>
      </c>
      <c r="I76" s="10">
        <v>3</v>
      </c>
      <c r="J76" s="10">
        <v>2</v>
      </c>
      <c r="K76" s="10">
        <v>0</v>
      </c>
      <c r="L76" s="10">
        <v>0.5</v>
      </c>
      <c r="M76" s="11">
        <f t="shared" si="4"/>
        <v>0.66666666666666663</v>
      </c>
      <c r="N76" s="11">
        <f t="shared" si="5"/>
        <v>0</v>
      </c>
    </row>
    <row r="77" spans="1:14" x14ac:dyDescent="0.25">
      <c r="A77" s="12" t="s">
        <v>45</v>
      </c>
      <c r="B77" s="12">
        <f t="shared" si="3"/>
        <v>45047</v>
      </c>
      <c r="C77" s="12" t="str">
        <f>TEXT('Cleaned Datasets'!$B77,"MMMM")</f>
        <v>May</v>
      </c>
      <c r="D77" s="13" t="s">
        <v>48</v>
      </c>
      <c r="E77" s="13" t="s">
        <v>49</v>
      </c>
      <c r="F77" s="13" t="s">
        <v>26</v>
      </c>
      <c r="G77" s="13" t="s">
        <v>18</v>
      </c>
      <c r="H77" s="13" t="s">
        <v>15</v>
      </c>
      <c r="I77" s="13">
        <v>7</v>
      </c>
      <c r="J77" s="13">
        <v>6</v>
      </c>
      <c r="K77" s="13">
        <v>1</v>
      </c>
      <c r="L77" s="13">
        <v>3.7</v>
      </c>
      <c r="M77" s="14">
        <f t="shared" si="4"/>
        <v>0.8571428571428571</v>
      </c>
      <c r="N77" s="14">
        <f t="shared" si="5"/>
        <v>0.14285714285714285</v>
      </c>
    </row>
    <row r="78" spans="1:14" x14ac:dyDescent="0.25">
      <c r="A78" s="9" t="s">
        <v>23</v>
      </c>
      <c r="B78" s="9">
        <f t="shared" si="3"/>
        <v>45200</v>
      </c>
      <c r="C78" s="9" t="str">
        <f>TEXT('Cleaned Datasets'!$B78,"MMMM")</f>
        <v>October</v>
      </c>
      <c r="D78" s="10" t="s">
        <v>28</v>
      </c>
      <c r="E78" s="10" t="s">
        <v>29</v>
      </c>
      <c r="F78" s="10" t="s">
        <v>32</v>
      </c>
      <c r="G78" s="10" t="s">
        <v>22</v>
      </c>
      <c r="H78" s="10" t="s">
        <v>19</v>
      </c>
      <c r="I78" s="10">
        <v>5</v>
      </c>
      <c r="J78" s="10">
        <v>5</v>
      </c>
      <c r="K78" s="10">
        <v>0</v>
      </c>
      <c r="L78" s="10">
        <v>2.5</v>
      </c>
      <c r="M78" s="11">
        <f t="shared" si="4"/>
        <v>1</v>
      </c>
      <c r="N78" s="11">
        <f t="shared" si="5"/>
        <v>0</v>
      </c>
    </row>
    <row r="79" spans="1:14" x14ac:dyDescent="0.25">
      <c r="A79" s="12" t="s">
        <v>45</v>
      </c>
      <c r="B79" s="12">
        <f t="shared" si="3"/>
        <v>45047</v>
      </c>
      <c r="C79" s="12" t="str">
        <f>TEXT('Cleaned Datasets'!$B79,"MMMM")</f>
        <v>May</v>
      </c>
      <c r="D79" s="13" t="s">
        <v>28</v>
      </c>
      <c r="E79" s="13" t="s">
        <v>58</v>
      </c>
      <c r="F79" s="13" t="s">
        <v>40</v>
      </c>
      <c r="G79" s="13" t="s">
        <v>22</v>
      </c>
      <c r="H79" s="13" t="s">
        <v>19</v>
      </c>
      <c r="I79" s="13">
        <v>5</v>
      </c>
      <c r="J79" s="13">
        <v>5</v>
      </c>
      <c r="K79" s="13">
        <v>0</v>
      </c>
      <c r="L79" s="13">
        <v>2.7</v>
      </c>
      <c r="M79" s="14">
        <f t="shared" si="4"/>
        <v>1</v>
      </c>
      <c r="N79" s="14">
        <f t="shared" si="5"/>
        <v>0</v>
      </c>
    </row>
    <row r="80" spans="1:14" x14ac:dyDescent="0.25">
      <c r="A80" s="9" t="s">
        <v>45</v>
      </c>
      <c r="B80" s="9">
        <f t="shared" si="3"/>
        <v>45047</v>
      </c>
      <c r="C80" s="9" t="str">
        <f>TEXT('Cleaned Datasets'!$B80,"MMMM")</f>
        <v>May</v>
      </c>
      <c r="D80" s="10" t="s">
        <v>56</v>
      </c>
      <c r="E80" s="10" t="s">
        <v>62</v>
      </c>
      <c r="F80" s="10" t="s">
        <v>13</v>
      </c>
      <c r="G80" s="10" t="s">
        <v>14</v>
      </c>
      <c r="H80" s="10" t="s">
        <v>15</v>
      </c>
      <c r="I80" s="10">
        <v>3</v>
      </c>
      <c r="J80" s="10">
        <v>2</v>
      </c>
      <c r="K80" s="10">
        <v>0</v>
      </c>
      <c r="L80" s="10">
        <v>4.0999999999999996</v>
      </c>
      <c r="M80" s="11">
        <f t="shared" si="4"/>
        <v>0.66666666666666663</v>
      </c>
      <c r="N80" s="11">
        <f t="shared" si="5"/>
        <v>0</v>
      </c>
    </row>
    <row r="81" spans="1:14" x14ac:dyDescent="0.25">
      <c r="A81" s="12" t="s">
        <v>20</v>
      </c>
      <c r="B81" s="12">
        <f t="shared" si="3"/>
        <v>45078</v>
      </c>
      <c r="C81" s="12" t="str">
        <f>TEXT('Cleaned Datasets'!$B81,"MMMM")</f>
        <v>June</v>
      </c>
      <c r="D81" s="13" t="s">
        <v>56</v>
      </c>
      <c r="E81" s="13" t="s">
        <v>57</v>
      </c>
      <c r="F81" s="13" t="s">
        <v>32</v>
      </c>
      <c r="G81" s="13" t="s">
        <v>22</v>
      </c>
      <c r="H81" s="13" t="s">
        <v>15</v>
      </c>
      <c r="I81" s="13">
        <v>7</v>
      </c>
      <c r="J81" s="13">
        <v>6</v>
      </c>
      <c r="K81" s="13">
        <v>1</v>
      </c>
      <c r="L81" s="13">
        <v>3.8</v>
      </c>
      <c r="M81" s="14">
        <f t="shared" si="4"/>
        <v>0.8571428571428571</v>
      </c>
      <c r="N81" s="14">
        <f t="shared" si="5"/>
        <v>0.14285714285714285</v>
      </c>
    </row>
    <row r="82" spans="1:14" x14ac:dyDescent="0.25">
      <c r="A82" s="9" t="s">
        <v>59</v>
      </c>
      <c r="B82" s="9">
        <f t="shared" si="3"/>
        <v>45170</v>
      </c>
      <c r="C82" s="9" t="str">
        <f>TEXT('Cleaned Datasets'!$B82,"MMMM")</f>
        <v>September</v>
      </c>
      <c r="D82" s="10" t="s">
        <v>48</v>
      </c>
      <c r="E82" s="10" t="s">
        <v>63</v>
      </c>
      <c r="F82" s="10" t="s">
        <v>40</v>
      </c>
      <c r="G82" s="10" t="s">
        <v>27</v>
      </c>
      <c r="H82" s="10" t="s">
        <v>19</v>
      </c>
      <c r="I82" s="10">
        <v>3</v>
      </c>
      <c r="J82" s="10">
        <v>2</v>
      </c>
      <c r="K82" s="10">
        <v>0</v>
      </c>
      <c r="L82" s="10">
        <v>2.4</v>
      </c>
      <c r="M82" s="11">
        <f t="shared" si="4"/>
        <v>0.66666666666666663</v>
      </c>
      <c r="N82" s="11">
        <f t="shared" si="5"/>
        <v>0</v>
      </c>
    </row>
    <row r="83" spans="1:14" x14ac:dyDescent="0.25">
      <c r="A83" s="12" t="s">
        <v>20</v>
      </c>
      <c r="B83" s="12">
        <f t="shared" si="3"/>
        <v>45078</v>
      </c>
      <c r="C83" s="12" t="str">
        <f>TEXT('Cleaned Datasets'!$B83,"MMMM")</f>
        <v>June</v>
      </c>
      <c r="D83" s="13" t="s">
        <v>56</v>
      </c>
      <c r="E83" s="13" t="s">
        <v>57</v>
      </c>
      <c r="F83" s="13" t="s">
        <v>32</v>
      </c>
      <c r="G83" s="13" t="s">
        <v>22</v>
      </c>
      <c r="H83" s="13" t="s">
        <v>19</v>
      </c>
      <c r="I83" s="13">
        <v>5</v>
      </c>
      <c r="J83" s="13">
        <v>4</v>
      </c>
      <c r="K83" s="13">
        <v>0</v>
      </c>
      <c r="L83" s="13">
        <v>3.6</v>
      </c>
      <c r="M83" s="14">
        <f t="shared" si="4"/>
        <v>0.8</v>
      </c>
      <c r="N83" s="14">
        <f t="shared" si="5"/>
        <v>0</v>
      </c>
    </row>
    <row r="84" spans="1:14" x14ac:dyDescent="0.25">
      <c r="A84" s="9" t="s">
        <v>10</v>
      </c>
      <c r="B84" s="9">
        <f t="shared" si="3"/>
        <v>45017</v>
      </c>
      <c r="C84" s="9" t="str">
        <f>TEXT('Cleaned Datasets'!$B84,"MMMM")</f>
        <v>April</v>
      </c>
      <c r="D84" s="10" t="s">
        <v>56</v>
      </c>
      <c r="E84" s="10" t="s">
        <v>62</v>
      </c>
      <c r="F84" s="10" t="s">
        <v>22</v>
      </c>
      <c r="G84" s="10" t="s">
        <v>14</v>
      </c>
      <c r="H84" s="10" t="s">
        <v>19</v>
      </c>
      <c r="I84" s="10">
        <v>7</v>
      </c>
      <c r="J84" s="10">
        <v>5</v>
      </c>
      <c r="K84" s="10">
        <v>0</v>
      </c>
      <c r="L84" s="10">
        <v>3.9</v>
      </c>
      <c r="M84" s="11">
        <f t="shared" si="4"/>
        <v>0.7142857142857143</v>
      </c>
      <c r="N84" s="11">
        <f t="shared" si="5"/>
        <v>0</v>
      </c>
    </row>
    <row r="85" spans="1:14" x14ac:dyDescent="0.25">
      <c r="A85" s="12" t="s">
        <v>55</v>
      </c>
      <c r="B85" s="12">
        <f t="shared" si="3"/>
        <v>45261</v>
      </c>
      <c r="C85" s="12" t="str">
        <f>TEXT('Cleaned Datasets'!$B85,"MMMM")</f>
        <v>December</v>
      </c>
      <c r="D85" s="13" t="s">
        <v>37</v>
      </c>
      <c r="E85" s="13" t="s">
        <v>39</v>
      </c>
      <c r="F85" s="13" t="s">
        <v>40</v>
      </c>
      <c r="G85" s="13" t="s">
        <v>18</v>
      </c>
      <c r="H85" s="13" t="s">
        <v>15</v>
      </c>
      <c r="I85" s="13">
        <v>5</v>
      </c>
      <c r="J85" s="13">
        <v>4</v>
      </c>
      <c r="K85" s="13">
        <v>0</v>
      </c>
      <c r="L85" s="13">
        <v>3.1</v>
      </c>
      <c r="M85" s="14">
        <f t="shared" si="4"/>
        <v>0.8</v>
      </c>
      <c r="N85" s="14">
        <f t="shared" si="5"/>
        <v>0</v>
      </c>
    </row>
    <row r="86" spans="1:14" x14ac:dyDescent="0.25">
      <c r="A86" s="9" t="s">
        <v>45</v>
      </c>
      <c r="B86" s="9">
        <f t="shared" si="3"/>
        <v>45047</v>
      </c>
      <c r="C86" s="9" t="str">
        <f>TEXT('Cleaned Datasets'!$B86,"MMMM")</f>
        <v>May</v>
      </c>
      <c r="D86" s="10" t="s">
        <v>41</v>
      </c>
      <c r="E86" s="10" t="s">
        <v>44</v>
      </c>
      <c r="F86" s="10" t="s">
        <v>40</v>
      </c>
      <c r="G86" s="10" t="s">
        <v>53</v>
      </c>
      <c r="H86" s="10" t="s">
        <v>15</v>
      </c>
      <c r="I86" s="10">
        <v>5</v>
      </c>
      <c r="J86" s="10">
        <v>4</v>
      </c>
      <c r="K86" s="10">
        <v>0</v>
      </c>
      <c r="L86" s="10">
        <v>4.5</v>
      </c>
      <c r="M86" s="11">
        <f t="shared" si="4"/>
        <v>0.8</v>
      </c>
      <c r="N86" s="11">
        <f t="shared" si="5"/>
        <v>0</v>
      </c>
    </row>
    <row r="87" spans="1:14" x14ac:dyDescent="0.25">
      <c r="A87" s="12" t="s">
        <v>45</v>
      </c>
      <c r="B87" s="12">
        <f t="shared" si="3"/>
        <v>45047</v>
      </c>
      <c r="C87" s="12" t="str">
        <f>TEXT('Cleaned Datasets'!$B87,"MMMM")</f>
        <v>May</v>
      </c>
      <c r="D87" s="13" t="s">
        <v>28</v>
      </c>
      <c r="E87" s="13" t="s">
        <v>29</v>
      </c>
      <c r="F87" s="13" t="s">
        <v>13</v>
      </c>
      <c r="G87" s="13" t="s">
        <v>18</v>
      </c>
      <c r="H87" s="13" t="s">
        <v>19</v>
      </c>
      <c r="I87" s="13">
        <v>5</v>
      </c>
      <c r="J87" s="13">
        <v>5</v>
      </c>
      <c r="K87" s="13">
        <v>1</v>
      </c>
      <c r="L87" s="13">
        <v>3.4</v>
      </c>
      <c r="M87" s="14">
        <f t="shared" si="4"/>
        <v>1</v>
      </c>
      <c r="N87" s="14">
        <f t="shared" si="5"/>
        <v>0.2</v>
      </c>
    </row>
    <row r="88" spans="1:14" x14ac:dyDescent="0.25">
      <c r="A88" s="9" t="s">
        <v>23</v>
      </c>
      <c r="B88" s="9">
        <f t="shared" si="3"/>
        <v>45200</v>
      </c>
      <c r="C88" s="9" t="str">
        <f>TEXT('Cleaned Datasets'!$B88,"MMMM")</f>
        <v>October</v>
      </c>
      <c r="D88" s="10" t="s">
        <v>37</v>
      </c>
      <c r="E88" s="10" t="s">
        <v>39</v>
      </c>
      <c r="F88" s="10" t="s">
        <v>32</v>
      </c>
      <c r="G88" s="10" t="s">
        <v>22</v>
      </c>
      <c r="H88" s="10" t="s">
        <v>19</v>
      </c>
      <c r="I88" s="10">
        <v>6</v>
      </c>
      <c r="J88" s="10">
        <v>6</v>
      </c>
      <c r="K88" s="10">
        <v>0</v>
      </c>
      <c r="L88" s="10">
        <v>1.2</v>
      </c>
      <c r="M88" s="11">
        <f t="shared" si="4"/>
        <v>1</v>
      </c>
      <c r="N88" s="11">
        <f t="shared" si="5"/>
        <v>0</v>
      </c>
    </row>
    <row r="89" spans="1:14" x14ac:dyDescent="0.25">
      <c r="A89" s="12" t="s">
        <v>45</v>
      </c>
      <c r="B89" s="12">
        <f t="shared" si="3"/>
        <v>45047</v>
      </c>
      <c r="C89" s="12" t="str">
        <f>TEXT('Cleaned Datasets'!$B89,"MMMM")</f>
        <v>May</v>
      </c>
      <c r="D89" s="13" t="s">
        <v>16</v>
      </c>
      <c r="E89" s="13" t="s">
        <v>17</v>
      </c>
      <c r="F89" s="13" t="s">
        <v>32</v>
      </c>
      <c r="G89" s="13" t="s">
        <v>22</v>
      </c>
      <c r="H89" s="13" t="s">
        <v>19</v>
      </c>
      <c r="I89" s="13">
        <v>6</v>
      </c>
      <c r="J89" s="13">
        <v>5</v>
      </c>
      <c r="K89" s="13">
        <v>1</v>
      </c>
      <c r="L89" s="13">
        <v>4.5</v>
      </c>
      <c r="M89" s="14">
        <f t="shared" si="4"/>
        <v>0.83333333333333337</v>
      </c>
      <c r="N89" s="14">
        <f t="shared" si="5"/>
        <v>0.16666666666666666</v>
      </c>
    </row>
    <row r="90" spans="1:14" x14ac:dyDescent="0.25">
      <c r="A90" s="9" t="s">
        <v>59</v>
      </c>
      <c r="B90" s="9">
        <f t="shared" si="3"/>
        <v>45170</v>
      </c>
      <c r="C90" s="9" t="str">
        <f>TEXT('Cleaned Datasets'!$B90,"MMMM")</f>
        <v>September</v>
      </c>
      <c r="D90" s="10" t="s">
        <v>28</v>
      </c>
      <c r="E90" s="10" t="s">
        <v>29</v>
      </c>
      <c r="F90" s="10" t="s">
        <v>13</v>
      </c>
      <c r="G90" s="10" t="s">
        <v>30</v>
      </c>
      <c r="H90" s="10" t="s">
        <v>15</v>
      </c>
      <c r="I90" s="10">
        <v>7</v>
      </c>
      <c r="J90" s="10">
        <v>6</v>
      </c>
      <c r="K90" s="10">
        <v>1</v>
      </c>
      <c r="L90" s="10">
        <v>2.9</v>
      </c>
      <c r="M90" s="11">
        <f t="shared" si="4"/>
        <v>0.8571428571428571</v>
      </c>
      <c r="N90" s="11">
        <f t="shared" si="5"/>
        <v>0.14285714285714285</v>
      </c>
    </row>
    <row r="91" spans="1:14" x14ac:dyDescent="0.25">
      <c r="A91" s="12" t="s">
        <v>10</v>
      </c>
      <c r="B91" s="12">
        <f t="shared" si="3"/>
        <v>45017</v>
      </c>
      <c r="C91" s="12" t="str">
        <f>TEXT('Cleaned Datasets'!$B91,"MMMM")</f>
        <v>April</v>
      </c>
      <c r="D91" s="13" t="s">
        <v>41</v>
      </c>
      <c r="E91" s="13" t="s">
        <v>44</v>
      </c>
      <c r="F91" s="13" t="s">
        <v>22</v>
      </c>
      <c r="G91" s="13" t="s">
        <v>18</v>
      </c>
      <c r="H91" s="13" t="s">
        <v>19</v>
      </c>
      <c r="I91" s="13">
        <v>6</v>
      </c>
      <c r="J91" s="13">
        <v>5</v>
      </c>
      <c r="K91" s="13">
        <v>0</v>
      </c>
      <c r="L91" s="13">
        <v>3.8</v>
      </c>
      <c r="M91" s="14">
        <f t="shared" si="4"/>
        <v>0.83333333333333337</v>
      </c>
      <c r="N91" s="14">
        <f t="shared" si="5"/>
        <v>0</v>
      </c>
    </row>
    <row r="92" spans="1:14" x14ac:dyDescent="0.25">
      <c r="A92" s="9" t="s">
        <v>23</v>
      </c>
      <c r="B92" s="9">
        <f t="shared" si="3"/>
        <v>45200</v>
      </c>
      <c r="C92" s="9" t="str">
        <f>TEXT('Cleaned Datasets'!$B92,"MMMM")</f>
        <v>October</v>
      </c>
      <c r="D92" s="10" t="s">
        <v>34</v>
      </c>
      <c r="E92" s="10" t="s">
        <v>51</v>
      </c>
      <c r="F92" s="10" t="s">
        <v>21</v>
      </c>
      <c r="G92" s="10" t="s">
        <v>27</v>
      </c>
      <c r="H92" s="10" t="s">
        <v>15</v>
      </c>
      <c r="I92" s="10">
        <v>3</v>
      </c>
      <c r="J92" s="10">
        <v>3</v>
      </c>
      <c r="K92" s="10">
        <v>0</v>
      </c>
      <c r="L92" s="10">
        <v>3.8</v>
      </c>
      <c r="M92" s="11">
        <f t="shared" si="4"/>
        <v>1</v>
      </c>
      <c r="N92" s="11">
        <f t="shared" si="5"/>
        <v>0</v>
      </c>
    </row>
    <row r="93" spans="1:14" x14ac:dyDescent="0.25">
      <c r="A93" s="12" t="s">
        <v>33</v>
      </c>
      <c r="B93" s="12">
        <f t="shared" si="3"/>
        <v>44927</v>
      </c>
      <c r="C93" s="12" t="str">
        <f>TEXT('Cleaned Datasets'!$B93,"MMMM")</f>
        <v>January</v>
      </c>
      <c r="D93" s="13" t="s">
        <v>11</v>
      </c>
      <c r="E93" s="13" t="s">
        <v>12</v>
      </c>
      <c r="F93" s="13" t="s">
        <v>22</v>
      </c>
      <c r="G93" s="13" t="s">
        <v>18</v>
      </c>
      <c r="H93" s="13" t="s">
        <v>15</v>
      </c>
      <c r="I93" s="13">
        <v>5</v>
      </c>
      <c r="J93" s="13">
        <v>5</v>
      </c>
      <c r="K93" s="13">
        <v>0</v>
      </c>
      <c r="L93" s="13">
        <v>3.1</v>
      </c>
      <c r="M93" s="14">
        <f t="shared" si="4"/>
        <v>1</v>
      </c>
      <c r="N93" s="14">
        <f t="shared" si="5"/>
        <v>0</v>
      </c>
    </row>
    <row r="94" spans="1:14" x14ac:dyDescent="0.25">
      <c r="A94" s="9" t="s">
        <v>23</v>
      </c>
      <c r="B94" s="9">
        <f t="shared" si="3"/>
        <v>45200</v>
      </c>
      <c r="C94" s="9" t="str">
        <f>TEXT('Cleaned Datasets'!$B94,"MMMM")</f>
        <v>October</v>
      </c>
      <c r="D94" s="10" t="s">
        <v>11</v>
      </c>
      <c r="E94" s="10" t="s">
        <v>52</v>
      </c>
      <c r="F94" s="10" t="s">
        <v>13</v>
      </c>
      <c r="G94" s="10" t="s">
        <v>53</v>
      </c>
      <c r="H94" s="10" t="s">
        <v>15</v>
      </c>
      <c r="I94" s="10">
        <v>6</v>
      </c>
      <c r="J94" s="10">
        <v>5</v>
      </c>
      <c r="K94" s="10">
        <v>0</v>
      </c>
      <c r="L94" s="10">
        <v>2.2000000000000002</v>
      </c>
      <c r="M94" s="11">
        <f t="shared" si="4"/>
        <v>0.83333333333333337</v>
      </c>
      <c r="N94" s="11">
        <f t="shared" si="5"/>
        <v>0</v>
      </c>
    </row>
    <row r="95" spans="1:14" x14ac:dyDescent="0.25">
      <c r="A95" s="12" t="s">
        <v>55</v>
      </c>
      <c r="B95" s="12">
        <f t="shared" si="3"/>
        <v>45261</v>
      </c>
      <c r="C95" s="12" t="str">
        <f>TEXT('Cleaned Datasets'!$B95,"MMMM")</f>
        <v>December</v>
      </c>
      <c r="D95" s="13" t="s">
        <v>16</v>
      </c>
      <c r="E95" s="13" t="s">
        <v>60</v>
      </c>
      <c r="F95" s="13" t="s">
        <v>22</v>
      </c>
      <c r="G95" s="13" t="s">
        <v>14</v>
      </c>
      <c r="H95" s="13" t="s">
        <v>15</v>
      </c>
      <c r="I95" s="13">
        <v>5</v>
      </c>
      <c r="J95" s="13">
        <v>4</v>
      </c>
      <c r="K95" s="13">
        <v>0</v>
      </c>
      <c r="L95" s="13">
        <v>2.8</v>
      </c>
      <c r="M95" s="14">
        <f t="shared" si="4"/>
        <v>0.8</v>
      </c>
      <c r="N95" s="14">
        <f t="shared" si="5"/>
        <v>0</v>
      </c>
    </row>
    <row r="96" spans="1:14" x14ac:dyDescent="0.25">
      <c r="A96" s="9" t="s">
        <v>31</v>
      </c>
      <c r="B96" s="9">
        <f t="shared" si="3"/>
        <v>45139</v>
      </c>
      <c r="C96" s="9" t="str">
        <f>TEXT('Cleaned Datasets'!$B96,"MMMM")</f>
        <v>August</v>
      </c>
      <c r="D96" s="10" t="s">
        <v>11</v>
      </c>
      <c r="E96" s="10" t="s">
        <v>52</v>
      </c>
      <c r="F96" s="10" t="s">
        <v>13</v>
      </c>
      <c r="G96" s="10" t="s">
        <v>14</v>
      </c>
      <c r="H96" s="10" t="s">
        <v>19</v>
      </c>
      <c r="I96" s="10">
        <v>2</v>
      </c>
      <c r="J96" s="10">
        <v>2</v>
      </c>
      <c r="K96" s="10">
        <v>0</v>
      </c>
      <c r="L96" s="10">
        <v>2.7</v>
      </c>
      <c r="M96" s="11">
        <f t="shared" si="4"/>
        <v>1</v>
      </c>
      <c r="N96" s="11">
        <f t="shared" si="5"/>
        <v>0</v>
      </c>
    </row>
    <row r="97" spans="1:14" x14ac:dyDescent="0.25">
      <c r="A97" s="12" t="s">
        <v>36</v>
      </c>
      <c r="B97" s="12">
        <f t="shared" si="3"/>
        <v>44986</v>
      </c>
      <c r="C97" s="12" t="str">
        <f>TEXT('Cleaned Datasets'!$B97,"MMMM")</f>
        <v>March</v>
      </c>
      <c r="D97" s="13" t="s">
        <v>34</v>
      </c>
      <c r="E97" s="13" t="s">
        <v>51</v>
      </c>
      <c r="F97" s="13" t="s">
        <v>13</v>
      </c>
      <c r="G97" s="13" t="s">
        <v>30</v>
      </c>
      <c r="H97" s="13" t="s">
        <v>15</v>
      </c>
      <c r="I97" s="13">
        <v>5</v>
      </c>
      <c r="J97" s="13">
        <v>4</v>
      </c>
      <c r="K97" s="13">
        <v>1</v>
      </c>
      <c r="L97" s="13">
        <v>4.5</v>
      </c>
      <c r="M97" s="14">
        <f t="shared" si="4"/>
        <v>0.8</v>
      </c>
      <c r="N97" s="14">
        <f t="shared" si="5"/>
        <v>0.2</v>
      </c>
    </row>
    <row r="98" spans="1:14" x14ac:dyDescent="0.25">
      <c r="A98" s="9" t="s">
        <v>59</v>
      </c>
      <c r="B98" s="9">
        <f t="shared" si="3"/>
        <v>45170</v>
      </c>
      <c r="C98" s="9" t="str">
        <f>TEXT('Cleaned Datasets'!$B98,"MMMM")</f>
        <v>September</v>
      </c>
      <c r="D98" s="10" t="s">
        <v>48</v>
      </c>
      <c r="E98" s="10" t="s">
        <v>49</v>
      </c>
      <c r="F98" s="10" t="s">
        <v>13</v>
      </c>
      <c r="G98" s="10" t="s">
        <v>18</v>
      </c>
      <c r="H98" s="10" t="s">
        <v>19</v>
      </c>
      <c r="I98" s="10">
        <v>4</v>
      </c>
      <c r="J98" s="10">
        <v>4</v>
      </c>
      <c r="K98" s="10">
        <v>0</v>
      </c>
      <c r="L98" s="10">
        <v>2.9</v>
      </c>
      <c r="M98" s="11">
        <f t="shared" si="4"/>
        <v>1</v>
      </c>
      <c r="N98" s="11">
        <f t="shared" si="5"/>
        <v>0</v>
      </c>
    </row>
    <row r="99" spans="1:14" x14ac:dyDescent="0.25">
      <c r="A99" s="12" t="s">
        <v>61</v>
      </c>
      <c r="B99" s="12">
        <f t="shared" si="3"/>
        <v>45231</v>
      </c>
      <c r="C99" s="12" t="str">
        <f>TEXT('Cleaned Datasets'!$B99,"MMMM")</f>
        <v>November</v>
      </c>
      <c r="D99" s="13" t="s">
        <v>41</v>
      </c>
      <c r="E99" s="13" t="s">
        <v>42</v>
      </c>
      <c r="F99" s="13" t="s">
        <v>13</v>
      </c>
      <c r="G99" s="13" t="s">
        <v>53</v>
      </c>
      <c r="H99" s="13" t="s">
        <v>15</v>
      </c>
      <c r="I99" s="13">
        <v>3</v>
      </c>
      <c r="J99" s="13">
        <v>3</v>
      </c>
      <c r="K99" s="13">
        <v>0</v>
      </c>
      <c r="L99" s="13">
        <v>3</v>
      </c>
      <c r="M99" s="14">
        <f t="shared" si="4"/>
        <v>1</v>
      </c>
      <c r="N99" s="14">
        <f t="shared" si="5"/>
        <v>0</v>
      </c>
    </row>
    <row r="100" spans="1:14" x14ac:dyDescent="0.25">
      <c r="A100" s="9" t="s">
        <v>55</v>
      </c>
      <c r="B100" s="9">
        <f t="shared" si="3"/>
        <v>45261</v>
      </c>
      <c r="C100" s="9" t="str">
        <f>TEXT('Cleaned Datasets'!$B100,"MMMM")</f>
        <v>December</v>
      </c>
      <c r="D100" s="10" t="s">
        <v>37</v>
      </c>
      <c r="E100" s="10" t="s">
        <v>39</v>
      </c>
      <c r="F100" s="10" t="s">
        <v>13</v>
      </c>
      <c r="G100" s="10" t="s">
        <v>30</v>
      </c>
      <c r="H100" s="10" t="s">
        <v>15</v>
      </c>
      <c r="I100" s="10">
        <v>3</v>
      </c>
      <c r="J100" s="10">
        <v>3</v>
      </c>
      <c r="K100" s="10">
        <v>0</v>
      </c>
      <c r="L100" s="10">
        <v>3.2</v>
      </c>
      <c r="M100" s="11">
        <f t="shared" si="4"/>
        <v>1</v>
      </c>
      <c r="N100" s="11">
        <f t="shared" si="5"/>
        <v>0</v>
      </c>
    </row>
    <row r="101" spans="1:14" x14ac:dyDescent="0.25">
      <c r="A101" s="12" t="s">
        <v>31</v>
      </c>
      <c r="B101" s="12">
        <f t="shared" si="3"/>
        <v>45139</v>
      </c>
      <c r="C101" s="12" t="str">
        <f>TEXT('Cleaned Datasets'!$B101,"MMMM")</f>
        <v>August</v>
      </c>
      <c r="D101" s="13" t="s">
        <v>16</v>
      </c>
      <c r="E101" s="13" t="s">
        <v>17</v>
      </c>
      <c r="F101" s="13" t="s">
        <v>21</v>
      </c>
      <c r="G101" s="13" t="s">
        <v>18</v>
      </c>
      <c r="H101" s="13" t="s">
        <v>19</v>
      </c>
      <c r="I101" s="13">
        <v>5</v>
      </c>
      <c r="J101" s="13">
        <v>5</v>
      </c>
      <c r="K101" s="13">
        <v>0</v>
      </c>
      <c r="L101" s="13">
        <v>3.3</v>
      </c>
      <c r="M101" s="14">
        <f t="shared" si="4"/>
        <v>1</v>
      </c>
      <c r="N101" s="14">
        <f t="shared" si="5"/>
        <v>0</v>
      </c>
    </row>
    <row r="102" spans="1:14" x14ac:dyDescent="0.25">
      <c r="A102" s="9" t="s">
        <v>50</v>
      </c>
      <c r="B102" s="9">
        <f t="shared" si="3"/>
        <v>45108</v>
      </c>
      <c r="C102" s="9" t="str">
        <f>TEXT('Cleaned Datasets'!$B102,"MMMM")</f>
        <v>July</v>
      </c>
      <c r="D102" s="10" t="s">
        <v>34</v>
      </c>
      <c r="E102" s="10" t="s">
        <v>51</v>
      </c>
      <c r="F102" s="10" t="s">
        <v>22</v>
      </c>
      <c r="G102" s="10" t="s">
        <v>53</v>
      </c>
      <c r="H102" s="10" t="s">
        <v>15</v>
      </c>
      <c r="I102" s="10">
        <v>1</v>
      </c>
      <c r="J102" s="10">
        <v>1</v>
      </c>
      <c r="K102" s="10">
        <v>0</v>
      </c>
      <c r="L102" s="10">
        <v>1.8</v>
      </c>
      <c r="M102" s="11">
        <f t="shared" si="4"/>
        <v>1</v>
      </c>
      <c r="N102" s="11">
        <f t="shared" si="5"/>
        <v>0</v>
      </c>
    </row>
    <row r="103" spans="1:14" x14ac:dyDescent="0.25">
      <c r="A103" s="12" t="s">
        <v>59</v>
      </c>
      <c r="B103" s="12">
        <f t="shared" si="3"/>
        <v>45170</v>
      </c>
      <c r="C103" s="12" t="str">
        <f>TEXT('Cleaned Datasets'!$B103,"MMMM")</f>
        <v>September</v>
      </c>
      <c r="D103" s="13" t="s">
        <v>46</v>
      </c>
      <c r="E103" s="13" t="s">
        <v>54</v>
      </c>
      <c r="F103" s="13" t="s">
        <v>21</v>
      </c>
      <c r="G103" s="13" t="s">
        <v>14</v>
      </c>
      <c r="H103" s="13" t="s">
        <v>19</v>
      </c>
      <c r="I103" s="13">
        <v>6</v>
      </c>
      <c r="J103" s="13">
        <v>6</v>
      </c>
      <c r="K103" s="13">
        <v>1</v>
      </c>
      <c r="L103" s="13">
        <v>2.2000000000000002</v>
      </c>
      <c r="M103" s="14">
        <f t="shared" si="4"/>
        <v>1</v>
      </c>
      <c r="N103" s="14">
        <f t="shared" si="5"/>
        <v>0.16666666666666666</v>
      </c>
    </row>
    <row r="104" spans="1:14" x14ac:dyDescent="0.25">
      <c r="A104" s="9" t="s">
        <v>43</v>
      </c>
      <c r="B104" s="9">
        <f t="shared" si="3"/>
        <v>44958</v>
      </c>
      <c r="C104" s="9" t="str">
        <f>TEXT('Cleaned Datasets'!$B104,"MMMM")</f>
        <v>February</v>
      </c>
      <c r="D104" s="10" t="s">
        <v>37</v>
      </c>
      <c r="E104" s="10" t="s">
        <v>38</v>
      </c>
      <c r="F104" s="10" t="s">
        <v>32</v>
      </c>
      <c r="G104" s="10" t="s">
        <v>18</v>
      </c>
      <c r="H104" s="10" t="s">
        <v>19</v>
      </c>
      <c r="I104" s="10">
        <v>7</v>
      </c>
      <c r="J104" s="10">
        <v>7</v>
      </c>
      <c r="K104" s="10">
        <v>0</v>
      </c>
      <c r="L104" s="10">
        <v>1.7</v>
      </c>
      <c r="M104" s="11">
        <f t="shared" si="4"/>
        <v>1</v>
      </c>
      <c r="N104" s="11">
        <f t="shared" si="5"/>
        <v>0</v>
      </c>
    </row>
    <row r="105" spans="1:14" x14ac:dyDescent="0.25">
      <c r="A105" s="12" t="s">
        <v>61</v>
      </c>
      <c r="B105" s="12">
        <f t="shared" si="3"/>
        <v>45231</v>
      </c>
      <c r="C105" s="12" t="str">
        <f>TEXT('Cleaned Datasets'!$B105,"MMMM")</f>
        <v>November</v>
      </c>
      <c r="D105" s="13" t="s">
        <v>56</v>
      </c>
      <c r="E105" s="13" t="s">
        <v>57</v>
      </c>
      <c r="F105" s="13" t="s">
        <v>21</v>
      </c>
      <c r="G105" s="13" t="s">
        <v>27</v>
      </c>
      <c r="H105" s="13" t="s">
        <v>19</v>
      </c>
      <c r="I105" s="13">
        <v>5</v>
      </c>
      <c r="J105" s="13">
        <v>5</v>
      </c>
      <c r="K105" s="13">
        <v>1</v>
      </c>
      <c r="L105" s="13">
        <v>3.7</v>
      </c>
      <c r="M105" s="14">
        <f t="shared" si="4"/>
        <v>1</v>
      </c>
      <c r="N105" s="14">
        <f t="shared" si="5"/>
        <v>0.2</v>
      </c>
    </row>
    <row r="106" spans="1:14" x14ac:dyDescent="0.25">
      <c r="A106" s="9" t="s">
        <v>23</v>
      </c>
      <c r="B106" s="9">
        <f t="shared" si="3"/>
        <v>45200</v>
      </c>
      <c r="C106" s="9" t="str">
        <f>TEXT('Cleaned Datasets'!$B106,"MMMM")</f>
        <v>October</v>
      </c>
      <c r="D106" s="10" t="s">
        <v>24</v>
      </c>
      <c r="E106" s="10" t="s">
        <v>25</v>
      </c>
      <c r="F106" s="10" t="s">
        <v>26</v>
      </c>
      <c r="G106" s="10" t="s">
        <v>18</v>
      </c>
      <c r="H106" s="10" t="s">
        <v>15</v>
      </c>
      <c r="I106" s="10">
        <v>4</v>
      </c>
      <c r="J106" s="10">
        <v>3</v>
      </c>
      <c r="K106" s="10">
        <v>0</v>
      </c>
      <c r="L106" s="10">
        <v>4.5999999999999996</v>
      </c>
      <c r="M106" s="11">
        <f t="shared" si="4"/>
        <v>0.75</v>
      </c>
      <c r="N106" s="11">
        <f t="shared" si="5"/>
        <v>0</v>
      </c>
    </row>
    <row r="107" spans="1:14" x14ac:dyDescent="0.25">
      <c r="A107" s="12" t="s">
        <v>36</v>
      </c>
      <c r="B107" s="12">
        <f t="shared" si="3"/>
        <v>44986</v>
      </c>
      <c r="C107" s="12" t="str">
        <f>TEXT('Cleaned Datasets'!$B107,"MMMM")</f>
        <v>March</v>
      </c>
      <c r="D107" s="13" t="s">
        <v>37</v>
      </c>
      <c r="E107" s="13" t="s">
        <v>39</v>
      </c>
      <c r="F107" s="13" t="s">
        <v>32</v>
      </c>
      <c r="G107" s="13" t="s">
        <v>53</v>
      </c>
      <c r="H107" s="13" t="s">
        <v>19</v>
      </c>
      <c r="I107" s="13">
        <v>6</v>
      </c>
      <c r="J107" s="13">
        <v>6</v>
      </c>
      <c r="K107" s="13">
        <v>1</v>
      </c>
      <c r="L107" s="13">
        <v>4.5999999999999996</v>
      </c>
      <c r="M107" s="14">
        <f t="shared" si="4"/>
        <v>1</v>
      </c>
      <c r="N107" s="14">
        <f t="shared" si="5"/>
        <v>0.16666666666666666</v>
      </c>
    </row>
    <row r="108" spans="1:14" x14ac:dyDescent="0.25">
      <c r="A108" s="9" t="s">
        <v>20</v>
      </c>
      <c r="B108" s="9">
        <f t="shared" si="3"/>
        <v>45078</v>
      </c>
      <c r="C108" s="9" t="str">
        <f>TEXT('Cleaned Datasets'!$B108,"MMMM")</f>
        <v>June</v>
      </c>
      <c r="D108" s="10" t="s">
        <v>37</v>
      </c>
      <c r="E108" s="10" t="s">
        <v>38</v>
      </c>
      <c r="F108" s="10" t="s">
        <v>26</v>
      </c>
      <c r="G108" s="10" t="s">
        <v>14</v>
      </c>
      <c r="H108" s="10" t="s">
        <v>19</v>
      </c>
      <c r="I108" s="10">
        <v>3</v>
      </c>
      <c r="J108" s="10">
        <v>3</v>
      </c>
      <c r="K108" s="10">
        <v>0</v>
      </c>
      <c r="L108" s="10">
        <v>2</v>
      </c>
      <c r="M108" s="11">
        <f t="shared" si="4"/>
        <v>1</v>
      </c>
      <c r="N108" s="11">
        <f t="shared" si="5"/>
        <v>0</v>
      </c>
    </row>
    <row r="109" spans="1:14" x14ac:dyDescent="0.25">
      <c r="A109" s="12" t="s">
        <v>23</v>
      </c>
      <c r="B109" s="12">
        <f t="shared" si="3"/>
        <v>45200</v>
      </c>
      <c r="C109" s="12" t="str">
        <f>TEXT('Cleaned Datasets'!$B109,"MMMM")</f>
        <v>October</v>
      </c>
      <c r="D109" s="13" t="s">
        <v>56</v>
      </c>
      <c r="E109" s="13" t="s">
        <v>62</v>
      </c>
      <c r="F109" s="13" t="s">
        <v>21</v>
      </c>
      <c r="G109" s="13" t="s">
        <v>27</v>
      </c>
      <c r="H109" s="13" t="s">
        <v>15</v>
      </c>
      <c r="I109" s="13">
        <v>6</v>
      </c>
      <c r="J109" s="13">
        <v>6</v>
      </c>
      <c r="K109" s="13">
        <v>0</v>
      </c>
      <c r="L109" s="13">
        <v>4.0999999999999996</v>
      </c>
      <c r="M109" s="14">
        <f t="shared" si="4"/>
        <v>1</v>
      </c>
      <c r="N109" s="14">
        <f t="shared" si="5"/>
        <v>0</v>
      </c>
    </row>
    <row r="110" spans="1:14" x14ac:dyDescent="0.25">
      <c r="A110" s="9" t="s">
        <v>61</v>
      </c>
      <c r="B110" s="9">
        <f t="shared" si="3"/>
        <v>45231</v>
      </c>
      <c r="C110" s="9" t="str">
        <f>TEXT('Cleaned Datasets'!$B110,"MMMM")</f>
        <v>November</v>
      </c>
      <c r="D110" s="10" t="s">
        <v>56</v>
      </c>
      <c r="E110" s="10" t="s">
        <v>57</v>
      </c>
      <c r="F110" s="10" t="s">
        <v>13</v>
      </c>
      <c r="G110" s="10" t="s">
        <v>27</v>
      </c>
      <c r="H110" s="10" t="s">
        <v>15</v>
      </c>
      <c r="I110" s="10">
        <v>3</v>
      </c>
      <c r="J110" s="10">
        <v>2</v>
      </c>
      <c r="K110" s="10">
        <v>0</v>
      </c>
      <c r="L110" s="10">
        <v>3.2</v>
      </c>
      <c r="M110" s="11">
        <f t="shared" si="4"/>
        <v>0.66666666666666663</v>
      </c>
      <c r="N110" s="11">
        <f t="shared" si="5"/>
        <v>0</v>
      </c>
    </row>
    <row r="111" spans="1:14" x14ac:dyDescent="0.25">
      <c r="A111" s="12" t="s">
        <v>10</v>
      </c>
      <c r="B111" s="12">
        <f t="shared" si="3"/>
        <v>45017</v>
      </c>
      <c r="C111" s="12" t="str">
        <f>TEXT('Cleaned Datasets'!$B111,"MMMM")</f>
        <v>April</v>
      </c>
      <c r="D111" s="13" t="s">
        <v>28</v>
      </c>
      <c r="E111" s="13" t="s">
        <v>58</v>
      </c>
      <c r="F111" s="13" t="s">
        <v>13</v>
      </c>
      <c r="G111" s="13" t="s">
        <v>22</v>
      </c>
      <c r="H111" s="13" t="s">
        <v>19</v>
      </c>
      <c r="I111" s="13">
        <v>7</v>
      </c>
      <c r="J111" s="13">
        <v>6</v>
      </c>
      <c r="K111" s="13">
        <v>0</v>
      </c>
      <c r="L111" s="13">
        <v>2.7</v>
      </c>
      <c r="M111" s="14">
        <f t="shared" si="4"/>
        <v>0.8571428571428571</v>
      </c>
      <c r="N111" s="14">
        <f t="shared" si="5"/>
        <v>0</v>
      </c>
    </row>
    <row r="112" spans="1:14" x14ac:dyDescent="0.25">
      <c r="A112" s="9" t="s">
        <v>61</v>
      </c>
      <c r="B112" s="9">
        <f t="shared" si="3"/>
        <v>45231</v>
      </c>
      <c r="C112" s="9" t="str">
        <f>TEXT('Cleaned Datasets'!$B112,"MMMM")</f>
        <v>November</v>
      </c>
      <c r="D112" s="10" t="s">
        <v>28</v>
      </c>
      <c r="E112" s="10" t="s">
        <v>29</v>
      </c>
      <c r="F112" s="10" t="s">
        <v>13</v>
      </c>
      <c r="G112" s="10" t="s">
        <v>14</v>
      </c>
      <c r="H112" s="10" t="s">
        <v>15</v>
      </c>
      <c r="I112" s="10">
        <v>4</v>
      </c>
      <c r="J112" s="10">
        <v>4</v>
      </c>
      <c r="K112" s="10">
        <v>0</v>
      </c>
      <c r="L112" s="10">
        <v>3.4</v>
      </c>
      <c r="M112" s="11">
        <f t="shared" si="4"/>
        <v>1</v>
      </c>
      <c r="N112" s="11">
        <f t="shared" si="5"/>
        <v>0</v>
      </c>
    </row>
    <row r="113" spans="1:14" x14ac:dyDescent="0.25">
      <c r="A113" s="12" t="s">
        <v>55</v>
      </c>
      <c r="B113" s="12">
        <f t="shared" si="3"/>
        <v>45261</v>
      </c>
      <c r="C113" s="12" t="str">
        <f>TEXT('Cleaned Datasets'!$B113,"MMMM")</f>
        <v>December</v>
      </c>
      <c r="D113" s="13" t="s">
        <v>37</v>
      </c>
      <c r="E113" s="13" t="s">
        <v>39</v>
      </c>
      <c r="F113" s="13" t="s">
        <v>22</v>
      </c>
      <c r="G113" s="13" t="s">
        <v>14</v>
      </c>
      <c r="H113" s="13" t="s">
        <v>15</v>
      </c>
      <c r="I113" s="13">
        <v>9</v>
      </c>
      <c r="J113" s="13">
        <v>8</v>
      </c>
      <c r="K113" s="13">
        <v>1</v>
      </c>
      <c r="L113" s="13">
        <v>3.6</v>
      </c>
      <c r="M113" s="14">
        <f t="shared" si="4"/>
        <v>0.88888888888888884</v>
      </c>
      <c r="N113" s="14">
        <f t="shared" si="5"/>
        <v>0.1111111111111111</v>
      </c>
    </row>
    <row r="114" spans="1:14" x14ac:dyDescent="0.25">
      <c r="A114" s="9" t="s">
        <v>43</v>
      </c>
      <c r="B114" s="9">
        <f t="shared" si="3"/>
        <v>44958</v>
      </c>
      <c r="C114" s="9" t="str">
        <f>TEXT('Cleaned Datasets'!$B114,"MMMM")</f>
        <v>February</v>
      </c>
      <c r="D114" s="10" t="s">
        <v>37</v>
      </c>
      <c r="E114" s="10" t="s">
        <v>38</v>
      </c>
      <c r="F114" s="10" t="s">
        <v>22</v>
      </c>
      <c r="G114" s="10" t="s">
        <v>18</v>
      </c>
      <c r="H114" s="10" t="s">
        <v>15</v>
      </c>
      <c r="I114" s="10">
        <v>3</v>
      </c>
      <c r="J114" s="10">
        <v>3</v>
      </c>
      <c r="K114" s="10">
        <v>0</v>
      </c>
      <c r="L114" s="10">
        <v>3</v>
      </c>
      <c r="M114" s="11">
        <f t="shared" si="4"/>
        <v>1</v>
      </c>
      <c r="N114" s="11">
        <f t="shared" si="5"/>
        <v>0</v>
      </c>
    </row>
    <row r="115" spans="1:14" x14ac:dyDescent="0.25">
      <c r="A115" s="12" t="s">
        <v>50</v>
      </c>
      <c r="B115" s="12">
        <f t="shared" si="3"/>
        <v>45108</v>
      </c>
      <c r="C115" s="12" t="str">
        <f>TEXT('Cleaned Datasets'!$B115,"MMMM")</f>
        <v>July</v>
      </c>
      <c r="D115" s="13" t="s">
        <v>37</v>
      </c>
      <c r="E115" s="13" t="s">
        <v>38</v>
      </c>
      <c r="F115" s="13" t="s">
        <v>26</v>
      </c>
      <c r="G115" s="13" t="s">
        <v>22</v>
      </c>
      <c r="H115" s="13" t="s">
        <v>15</v>
      </c>
      <c r="I115" s="13">
        <v>5</v>
      </c>
      <c r="J115" s="13">
        <v>5</v>
      </c>
      <c r="K115" s="13">
        <v>0</v>
      </c>
      <c r="L115" s="13">
        <v>3.7</v>
      </c>
      <c r="M115" s="14">
        <f t="shared" si="4"/>
        <v>1</v>
      </c>
      <c r="N115" s="14">
        <f t="shared" si="5"/>
        <v>0</v>
      </c>
    </row>
    <row r="116" spans="1:14" x14ac:dyDescent="0.25">
      <c r="A116" s="9" t="s">
        <v>36</v>
      </c>
      <c r="B116" s="9">
        <f t="shared" si="3"/>
        <v>44986</v>
      </c>
      <c r="C116" s="9" t="str">
        <f>TEXT('Cleaned Datasets'!$B116,"MMMM")</f>
        <v>March</v>
      </c>
      <c r="D116" s="10" t="s">
        <v>56</v>
      </c>
      <c r="E116" s="10" t="s">
        <v>57</v>
      </c>
      <c r="F116" s="10" t="s">
        <v>26</v>
      </c>
      <c r="G116" s="10" t="s">
        <v>14</v>
      </c>
      <c r="H116" s="10" t="s">
        <v>15</v>
      </c>
      <c r="I116" s="10">
        <v>4</v>
      </c>
      <c r="J116" s="10">
        <v>4</v>
      </c>
      <c r="K116" s="10">
        <v>0</v>
      </c>
      <c r="L116" s="10">
        <v>2.2999999999999998</v>
      </c>
      <c r="M116" s="11">
        <f t="shared" si="4"/>
        <v>1</v>
      </c>
      <c r="N116" s="11">
        <f t="shared" si="5"/>
        <v>0</v>
      </c>
    </row>
    <row r="117" spans="1:14" x14ac:dyDescent="0.25">
      <c r="A117" s="12" t="s">
        <v>10</v>
      </c>
      <c r="B117" s="12">
        <f t="shared" si="3"/>
        <v>45017</v>
      </c>
      <c r="C117" s="12" t="str">
        <f>TEXT('Cleaned Datasets'!$B117,"MMMM")</f>
        <v>April</v>
      </c>
      <c r="D117" s="13" t="s">
        <v>56</v>
      </c>
      <c r="E117" s="13" t="s">
        <v>62</v>
      </c>
      <c r="F117" s="13" t="s">
        <v>22</v>
      </c>
      <c r="G117" s="13" t="s">
        <v>53</v>
      </c>
      <c r="H117" s="13" t="s">
        <v>19</v>
      </c>
      <c r="I117" s="13">
        <v>4</v>
      </c>
      <c r="J117" s="13">
        <v>3</v>
      </c>
      <c r="K117" s="13">
        <v>0</v>
      </c>
      <c r="L117" s="13">
        <v>4</v>
      </c>
      <c r="M117" s="14">
        <f t="shared" si="4"/>
        <v>0.75</v>
      </c>
      <c r="N117" s="14">
        <f t="shared" si="5"/>
        <v>0</v>
      </c>
    </row>
    <row r="118" spans="1:14" x14ac:dyDescent="0.25">
      <c r="A118" s="9" t="s">
        <v>55</v>
      </c>
      <c r="B118" s="9">
        <f t="shared" si="3"/>
        <v>45261</v>
      </c>
      <c r="C118" s="9" t="str">
        <f>TEXT('Cleaned Datasets'!$B118,"MMMM")</f>
        <v>December</v>
      </c>
      <c r="D118" s="10" t="s">
        <v>11</v>
      </c>
      <c r="E118" s="10" t="s">
        <v>52</v>
      </c>
      <c r="F118" s="10" t="s">
        <v>40</v>
      </c>
      <c r="G118" s="10" t="s">
        <v>14</v>
      </c>
      <c r="H118" s="10" t="s">
        <v>15</v>
      </c>
      <c r="I118" s="10">
        <v>13</v>
      </c>
      <c r="J118" s="10">
        <v>12</v>
      </c>
      <c r="K118" s="10">
        <v>1</v>
      </c>
      <c r="L118" s="10">
        <v>2.6</v>
      </c>
      <c r="M118" s="11">
        <f t="shared" si="4"/>
        <v>0.92307692307692313</v>
      </c>
      <c r="N118" s="11">
        <f t="shared" si="5"/>
        <v>7.6923076923076927E-2</v>
      </c>
    </row>
    <row r="119" spans="1:14" x14ac:dyDescent="0.25">
      <c r="A119" s="12" t="s">
        <v>50</v>
      </c>
      <c r="B119" s="12">
        <f t="shared" si="3"/>
        <v>45108</v>
      </c>
      <c r="C119" s="12" t="str">
        <f>TEXT('Cleaned Datasets'!$B119,"MMMM")</f>
        <v>July</v>
      </c>
      <c r="D119" s="13" t="s">
        <v>56</v>
      </c>
      <c r="E119" s="13" t="s">
        <v>57</v>
      </c>
      <c r="F119" s="13" t="s">
        <v>40</v>
      </c>
      <c r="G119" s="13" t="s">
        <v>22</v>
      </c>
      <c r="H119" s="13" t="s">
        <v>19</v>
      </c>
      <c r="I119" s="13">
        <v>4</v>
      </c>
      <c r="J119" s="13">
        <v>4</v>
      </c>
      <c r="K119" s="13">
        <v>2</v>
      </c>
      <c r="L119" s="13">
        <v>2.7</v>
      </c>
      <c r="M119" s="14">
        <f t="shared" si="4"/>
        <v>1</v>
      </c>
      <c r="N119" s="14">
        <f t="shared" si="5"/>
        <v>0.5</v>
      </c>
    </row>
    <row r="120" spans="1:14" x14ac:dyDescent="0.25">
      <c r="A120" s="9" t="s">
        <v>20</v>
      </c>
      <c r="B120" s="9">
        <f t="shared" si="3"/>
        <v>45078</v>
      </c>
      <c r="C120" s="9" t="str">
        <f>TEXT('Cleaned Datasets'!$B120,"MMMM")</f>
        <v>June</v>
      </c>
      <c r="D120" s="10" t="s">
        <v>48</v>
      </c>
      <c r="E120" s="10" t="s">
        <v>49</v>
      </c>
      <c r="F120" s="10" t="s">
        <v>32</v>
      </c>
      <c r="G120" s="10" t="s">
        <v>14</v>
      </c>
      <c r="H120" s="10" t="s">
        <v>15</v>
      </c>
      <c r="I120" s="10">
        <v>6</v>
      </c>
      <c r="J120" s="10">
        <v>6</v>
      </c>
      <c r="K120" s="10">
        <v>1</v>
      </c>
      <c r="L120" s="10">
        <v>3</v>
      </c>
      <c r="M120" s="11">
        <f t="shared" si="4"/>
        <v>1</v>
      </c>
      <c r="N120" s="11">
        <f t="shared" si="5"/>
        <v>0.16666666666666666</v>
      </c>
    </row>
    <row r="121" spans="1:14" x14ac:dyDescent="0.25">
      <c r="A121" s="12" t="s">
        <v>23</v>
      </c>
      <c r="B121" s="12">
        <f t="shared" si="3"/>
        <v>45200</v>
      </c>
      <c r="C121" s="12" t="str">
        <f>TEXT('Cleaned Datasets'!$B121,"MMMM")</f>
        <v>October</v>
      </c>
      <c r="D121" s="13" t="s">
        <v>11</v>
      </c>
      <c r="E121" s="13" t="s">
        <v>12</v>
      </c>
      <c r="F121" s="13" t="s">
        <v>32</v>
      </c>
      <c r="G121" s="13" t="s">
        <v>53</v>
      </c>
      <c r="H121" s="13" t="s">
        <v>19</v>
      </c>
      <c r="I121" s="13">
        <v>7</v>
      </c>
      <c r="J121" s="13">
        <v>7</v>
      </c>
      <c r="K121" s="13">
        <v>0</v>
      </c>
      <c r="L121" s="13">
        <v>3.7</v>
      </c>
      <c r="M121" s="14">
        <f t="shared" si="4"/>
        <v>1</v>
      </c>
      <c r="N121" s="14">
        <f t="shared" si="5"/>
        <v>0</v>
      </c>
    </row>
    <row r="122" spans="1:14" x14ac:dyDescent="0.25">
      <c r="A122" s="9" t="s">
        <v>10</v>
      </c>
      <c r="B122" s="9">
        <f t="shared" si="3"/>
        <v>45017</v>
      </c>
      <c r="C122" s="9" t="str">
        <f>TEXT('Cleaned Datasets'!$B122,"MMMM")</f>
        <v>April</v>
      </c>
      <c r="D122" s="10" t="s">
        <v>37</v>
      </c>
      <c r="E122" s="10" t="s">
        <v>38</v>
      </c>
      <c r="F122" s="10" t="s">
        <v>26</v>
      </c>
      <c r="G122" s="10" t="s">
        <v>18</v>
      </c>
      <c r="H122" s="10" t="s">
        <v>15</v>
      </c>
      <c r="I122" s="10">
        <v>4</v>
      </c>
      <c r="J122" s="10">
        <v>2</v>
      </c>
      <c r="K122" s="10">
        <v>1</v>
      </c>
      <c r="L122" s="10">
        <v>2.6</v>
      </c>
      <c r="M122" s="11">
        <f t="shared" si="4"/>
        <v>0.5</v>
      </c>
      <c r="N122" s="11">
        <f t="shared" si="5"/>
        <v>0.25</v>
      </c>
    </row>
    <row r="123" spans="1:14" x14ac:dyDescent="0.25">
      <c r="A123" s="12" t="s">
        <v>55</v>
      </c>
      <c r="B123" s="12">
        <f t="shared" si="3"/>
        <v>45261</v>
      </c>
      <c r="C123" s="12" t="str">
        <f>TEXT('Cleaned Datasets'!$B123,"MMMM")</f>
        <v>December</v>
      </c>
      <c r="D123" s="13" t="s">
        <v>48</v>
      </c>
      <c r="E123" s="13" t="s">
        <v>49</v>
      </c>
      <c r="F123" s="13" t="s">
        <v>40</v>
      </c>
      <c r="G123" s="13" t="s">
        <v>30</v>
      </c>
      <c r="H123" s="13" t="s">
        <v>15</v>
      </c>
      <c r="I123" s="13">
        <v>5</v>
      </c>
      <c r="J123" s="13">
        <v>5</v>
      </c>
      <c r="K123" s="13">
        <v>0</v>
      </c>
      <c r="L123" s="13">
        <v>1.8</v>
      </c>
      <c r="M123" s="14">
        <f t="shared" si="4"/>
        <v>1</v>
      </c>
      <c r="N123" s="14">
        <f t="shared" si="5"/>
        <v>0</v>
      </c>
    </row>
    <row r="124" spans="1:14" x14ac:dyDescent="0.25">
      <c r="A124" s="9" t="s">
        <v>50</v>
      </c>
      <c r="B124" s="9">
        <f t="shared" si="3"/>
        <v>45108</v>
      </c>
      <c r="C124" s="9" t="str">
        <f>TEXT('Cleaned Datasets'!$B124,"MMMM")</f>
        <v>July</v>
      </c>
      <c r="D124" s="10" t="s">
        <v>48</v>
      </c>
      <c r="E124" s="10" t="s">
        <v>49</v>
      </c>
      <c r="F124" s="10" t="s">
        <v>26</v>
      </c>
      <c r="G124" s="10" t="s">
        <v>27</v>
      </c>
      <c r="H124" s="10" t="s">
        <v>19</v>
      </c>
      <c r="I124" s="10">
        <v>4</v>
      </c>
      <c r="J124" s="10">
        <v>3</v>
      </c>
      <c r="K124" s="10">
        <v>1</v>
      </c>
      <c r="L124" s="10">
        <v>3.3</v>
      </c>
      <c r="M124" s="11">
        <f t="shared" si="4"/>
        <v>0.75</v>
      </c>
      <c r="N124" s="11">
        <f t="shared" si="5"/>
        <v>0.25</v>
      </c>
    </row>
    <row r="125" spans="1:14" x14ac:dyDescent="0.25">
      <c r="A125" s="12" t="s">
        <v>61</v>
      </c>
      <c r="B125" s="12">
        <f t="shared" si="3"/>
        <v>45231</v>
      </c>
      <c r="C125" s="12" t="str">
        <f>TEXT('Cleaned Datasets'!$B125,"MMMM")</f>
        <v>November</v>
      </c>
      <c r="D125" s="13" t="s">
        <v>41</v>
      </c>
      <c r="E125" s="13" t="s">
        <v>44</v>
      </c>
      <c r="F125" s="13" t="s">
        <v>21</v>
      </c>
      <c r="G125" s="13" t="s">
        <v>30</v>
      </c>
      <c r="H125" s="13" t="s">
        <v>19</v>
      </c>
      <c r="I125" s="13">
        <v>4</v>
      </c>
      <c r="J125" s="13">
        <v>4</v>
      </c>
      <c r="K125" s="13">
        <v>0</v>
      </c>
      <c r="L125" s="13">
        <v>3.3</v>
      </c>
      <c r="M125" s="14">
        <f t="shared" si="4"/>
        <v>1</v>
      </c>
      <c r="N125" s="14">
        <f t="shared" si="5"/>
        <v>0</v>
      </c>
    </row>
    <row r="126" spans="1:14" x14ac:dyDescent="0.25">
      <c r="A126" s="9" t="s">
        <v>45</v>
      </c>
      <c r="B126" s="9">
        <f t="shared" si="3"/>
        <v>45047</v>
      </c>
      <c r="C126" s="9" t="str">
        <f>TEXT('Cleaned Datasets'!$B126,"MMMM")</f>
        <v>May</v>
      </c>
      <c r="D126" s="10" t="s">
        <v>41</v>
      </c>
      <c r="E126" s="10" t="s">
        <v>42</v>
      </c>
      <c r="F126" s="10" t="s">
        <v>32</v>
      </c>
      <c r="G126" s="10" t="s">
        <v>22</v>
      </c>
      <c r="H126" s="10" t="s">
        <v>15</v>
      </c>
      <c r="I126" s="10">
        <v>3</v>
      </c>
      <c r="J126" s="10">
        <v>3</v>
      </c>
      <c r="K126" s="10">
        <v>0</v>
      </c>
      <c r="L126" s="10">
        <v>-0.5</v>
      </c>
      <c r="M126" s="11">
        <f t="shared" si="4"/>
        <v>1</v>
      </c>
      <c r="N126" s="11">
        <f t="shared" si="5"/>
        <v>0</v>
      </c>
    </row>
    <row r="127" spans="1:14" x14ac:dyDescent="0.25">
      <c r="A127" s="12" t="s">
        <v>55</v>
      </c>
      <c r="B127" s="12">
        <f t="shared" si="3"/>
        <v>45261</v>
      </c>
      <c r="C127" s="12" t="str">
        <f>TEXT('Cleaned Datasets'!$B127,"MMMM")</f>
        <v>December</v>
      </c>
      <c r="D127" s="13" t="s">
        <v>28</v>
      </c>
      <c r="E127" s="13" t="s">
        <v>58</v>
      </c>
      <c r="F127" s="13" t="s">
        <v>13</v>
      </c>
      <c r="G127" s="13" t="s">
        <v>22</v>
      </c>
      <c r="H127" s="13" t="s">
        <v>19</v>
      </c>
      <c r="I127" s="13">
        <v>10</v>
      </c>
      <c r="J127" s="13">
        <v>9</v>
      </c>
      <c r="K127" s="13">
        <v>1</v>
      </c>
      <c r="L127" s="13">
        <v>2.1</v>
      </c>
      <c r="M127" s="14">
        <f t="shared" si="4"/>
        <v>0.9</v>
      </c>
      <c r="N127" s="14">
        <f t="shared" si="5"/>
        <v>0.1</v>
      </c>
    </row>
    <row r="128" spans="1:14" x14ac:dyDescent="0.25">
      <c r="A128" s="9" t="s">
        <v>61</v>
      </c>
      <c r="B128" s="9">
        <f t="shared" si="3"/>
        <v>45231</v>
      </c>
      <c r="C128" s="9" t="str">
        <f>TEXT('Cleaned Datasets'!$B128,"MMMM")</f>
        <v>November</v>
      </c>
      <c r="D128" s="10" t="s">
        <v>34</v>
      </c>
      <c r="E128" s="10" t="s">
        <v>35</v>
      </c>
      <c r="F128" s="10" t="s">
        <v>40</v>
      </c>
      <c r="G128" s="10" t="s">
        <v>18</v>
      </c>
      <c r="H128" s="10" t="s">
        <v>15</v>
      </c>
      <c r="I128" s="10">
        <v>7</v>
      </c>
      <c r="J128" s="10">
        <v>6</v>
      </c>
      <c r="K128" s="10">
        <v>0</v>
      </c>
      <c r="L128" s="10">
        <v>4.2</v>
      </c>
      <c r="M128" s="11">
        <f t="shared" si="4"/>
        <v>0.8571428571428571</v>
      </c>
      <c r="N128" s="11">
        <f t="shared" si="5"/>
        <v>0</v>
      </c>
    </row>
    <row r="129" spans="1:14" x14ac:dyDescent="0.25">
      <c r="A129" s="12" t="s">
        <v>36</v>
      </c>
      <c r="B129" s="12">
        <f t="shared" si="3"/>
        <v>44986</v>
      </c>
      <c r="C129" s="12" t="str">
        <f>TEXT('Cleaned Datasets'!$B129,"MMMM")</f>
        <v>March</v>
      </c>
      <c r="D129" s="13" t="s">
        <v>46</v>
      </c>
      <c r="E129" s="13" t="s">
        <v>47</v>
      </c>
      <c r="F129" s="13" t="s">
        <v>22</v>
      </c>
      <c r="G129" s="13" t="s">
        <v>14</v>
      </c>
      <c r="H129" s="13" t="s">
        <v>19</v>
      </c>
      <c r="I129" s="13">
        <v>4</v>
      </c>
      <c r="J129" s="13">
        <v>4</v>
      </c>
      <c r="K129" s="13">
        <v>0</v>
      </c>
      <c r="L129" s="13">
        <v>2.2000000000000002</v>
      </c>
      <c r="M129" s="14">
        <f t="shared" si="4"/>
        <v>1</v>
      </c>
      <c r="N129" s="14">
        <f t="shared" si="5"/>
        <v>0</v>
      </c>
    </row>
    <row r="130" spans="1:14" x14ac:dyDescent="0.25">
      <c r="A130" s="9" t="s">
        <v>33</v>
      </c>
      <c r="B130" s="9">
        <f t="shared" si="3"/>
        <v>44927</v>
      </c>
      <c r="C130" s="9" t="str">
        <f>TEXT('Cleaned Datasets'!$B130,"MMMM")</f>
        <v>January</v>
      </c>
      <c r="D130" s="10" t="s">
        <v>46</v>
      </c>
      <c r="E130" s="10" t="s">
        <v>47</v>
      </c>
      <c r="F130" s="10" t="s">
        <v>26</v>
      </c>
      <c r="G130" s="10" t="s">
        <v>53</v>
      </c>
      <c r="H130" s="10" t="s">
        <v>15</v>
      </c>
      <c r="I130" s="10">
        <v>6</v>
      </c>
      <c r="J130" s="10">
        <v>5</v>
      </c>
      <c r="K130" s="10">
        <v>0</v>
      </c>
      <c r="L130" s="10">
        <v>2.9</v>
      </c>
      <c r="M130" s="11">
        <f t="shared" si="4"/>
        <v>0.83333333333333337</v>
      </c>
      <c r="N130" s="11">
        <f t="shared" si="5"/>
        <v>0</v>
      </c>
    </row>
    <row r="131" spans="1:14" x14ac:dyDescent="0.25">
      <c r="A131" s="12" t="s">
        <v>23</v>
      </c>
      <c r="B131" s="12">
        <f t="shared" ref="B131:B194" si="6">DATE(LEFT(A131,4), RIGHT(A131,2), 1)</f>
        <v>45200</v>
      </c>
      <c r="C131" s="12" t="str">
        <f>TEXT('Cleaned Datasets'!$B131,"MMMM")</f>
        <v>October</v>
      </c>
      <c r="D131" s="13" t="s">
        <v>16</v>
      </c>
      <c r="E131" s="13" t="s">
        <v>60</v>
      </c>
      <c r="F131" s="13" t="s">
        <v>40</v>
      </c>
      <c r="G131" s="13" t="s">
        <v>53</v>
      </c>
      <c r="H131" s="13" t="s">
        <v>19</v>
      </c>
      <c r="I131" s="13">
        <v>5</v>
      </c>
      <c r="J131" s="13">
        <v>5</v>
      </c>
      <c r="K131" s="13">
        <v>0</v>
      </c>
      <c r="L131" s="13">
        <v>3.3</v>
      </c>
      <c r="M131" s="14">
        <f t="shared" ref="M131:M194" si="7">IFERROR(J131/I131,0)</f>
        <v>1</v>
      </c>
      <c r="N131" s="14">
        <f t="shared" ref="N131:N194" si="8">IFERROR(K131/I131,0)</f>
        <v>0</v>
      </c>
    </row>
    <row r="132" spans="1:14" x14ac:dyDescent="0.25">
      <c r="A132" s="9" t="s">
        <v>43</v>
      </c>
      <c r="B132" s="9">
        <f t="shared" si="6"/>
        <v>44958</v>
      </c>
      <c r="C132" s="9" t="str">
        <f>TEXT('Cleaned Datasets'!$B132,"MMMM")</f>
        <v>February</v>
      </c>
      <c r="D132" s="10" t="s">
        <v>28</v>
      </c>
      <c r="E132" s="10" t="s">
        <v>29</v>
      </c>
      <c r="F132" s="10" t="s">
        <v>40</v>
      </c>
      <c r="G132" s="10" t="s">
        <v>22</v>
      </c>
      <c r="H132" s="10" t="s">
        <v>15</v>
      </c>
      <c r="I132" s="10">
        <v>4</v>
      </c>
      <c r="J132" s="10">
        <v>3</v>
      </c>
      <c r="K132" s="10">
        <v>1</v>
      </c>
      <c r="L132" s="10">
        <v>3.4</v>
      </c>
      <c r="M132" s="11">
        <f t="shared" si="7"/>
        <v>0.75</v>
      </c>
      <c r="N132" s="11">
        <f t="shared" si="8"/>
        <v>0.25</v>
      </c>
    </row>
    <row r="133" spans="1:14" x14ac:dyDescent="0.25">
      <c r="A133" s="12" t="s">
        <v>10</v>
      </c>
      <c r="B133" s="12">
        <f t="shared" si="6"/>
        <v>45017</v>
      </c>
      <c r="C133" s="12" t="str">
        <f>TEXT('Cleaned Datasets'!$B133,"MMMM")</f>
        <v>April</v>
      </c>
      <c r="D133" s="13" t="s">
        <v>11</v>
      </c>
      <c r="E133" s="13" t="s">
        <v>12</v>
      </c>
      <c r="F133" s="13" t="s">
        <v>26</v>
      </c>
      <c r="G133" s="13" t="s">
        <v>30</v>
      </c>
      <c r="H133" s="13" t="s">
        <v>19</v>
      </c>
      <c r="I133" s="13">
        <v>1</v>
      </c>
      <c r="J133" s="13">
        <v>1</v>
      </c>
      <c r="K133" s="13">
        <v>0</v>
      </c>
      <c r="L133" s="13">
        <v>2.5</v>
      </c>
      <c r="M133" s="14">
        <f t="shared" si="7"/>
        <v>1</v>
      </c>
      <c r="N133" s="14">
        <f t="shared" si="8"/>
        <v>0</v>
      </c>
    </row>
    <row r="134" spans="1:14" x14ac:dyDescent="0.25">
      <c r="A134" s="9" t="s">
        <v>45</v>
      </c>
      <c r="B134" s="9">
        <f t="shared" si="6"/>
        <v>45047</v>
      </c>
      <c r="C134" s="9" t="str">
        <f>TEXT('Cleaned Datasets'!$B134,"MMMM")</f>
        <v>May</v>
      </c>
      <c r="D134" s="10" t="s">
        <v>28</v>
      </c>
      <c r="E134" s="10" t="s">
        <v>58</v>
      </c>
      <c r="F134" s="10" t="s">
        <v>21</v>
      </c>
      <c r="G134" s="10" t="s">
        <v>14</v>
      </c>
      <c r="H134" s="10" t="s">
        <v>15</v>
      </c>
      <c r="I134" s="10">
        <v>7</v>
      </c>
      <c r="J134" s="10">
        <v>6</v>
      </c>
      <c r="K134" s="10">
        <v>0</v>
      </c>
      <c r="L134" s="10">
        <v>4.0999999999999996</v>
      </c>
      <c r="M134" s="11">
        <f t="shared" si="7"/>
        <v>0.8571428571428571</v>
      </c>
      <c r="N134" s="11">
        <f t="shared" si="8"/>
        <v>0</v>
      </c>
    </row>
    <row r="135" spans="1:14" x14ac:dyDescent="0.25">
      <c r="A135" s="12" t="s">
        <v>23</v>
      </c>
      <c r="B135" s="12">
        <f t="shared" si="6"/>
        <v>45200</v>
      </c>
      <c r="C135" s="12" t="str">
        <f>TEXT('Cleaned Datasets'!$B135,"MMMM")</f>
        <v>October</v>
      </c>
      <c r="D135" s="13" t="s">
        <v>37</v>
      </c>
      <c r="E135" s="13" t="s">
        <v>38</v>
      </c>
      <c r="F135" s="13" t="s">
        <v>13</v>
      </c>
      <c r="G135" s="13" t="s">
        <v>30</v>
      </c>
      <c r="H135" s="13" t="s">
        <v>19</v>
      </c>
      <c r="I135" s="13">
        <v>5</v>
      </c>
      <c r="J135" s="13">
        <v>4</v>
      </c>
      <c r="K135" s="13">
        <v>0</v>
      </c>
      <c r="L135" s="13">
        <v>4.3</v>
      </c>
      <c r="M135" s="14">
        <f t="shared" si="7"/>
        <v>0.8</v>
      </c>
      <c r="N135" s="14">
        <f t="shared" si="8"/>
        <v>0</v>
      </c>
    </row>
    <row r="136" spans="1:14" x14ac:dyDescent="0.25">
      <c r="A136" s="9" t="s">
        <v>61</v>
      </c>
      <c r="B136" s="9">
        <f t="shared" si="6"/>
        <v>45231</v>
      </c>
      <c r="C136" s="9" t="str">
        <f>TEXT('Cleaned Datasets'!$B136,"MMMM")</f>
        <v>November</v>
      </c>
      <c r="D136" s="10" t="s">
        <v>34</v>
      </c>
      <c r="E136" s="10" t="s">
        <v>51</v>
      </c>
      <c r="F136" s="10" t="s">
        <v>13</v>
      </c>
      <c r="G136" s="10" t="s">
        <v>27</v>
      </c>
      <c r="H136" s="10" t="s">
        <v>19</v>
      </c>
      <c r="I136" s="10">
        <v>5</v>
      </c>
      <c r="J136" s="10">
        <v>5</v>
      </c>
      <c r="K136" s="10">
        <v>0</v>
      </c>
      <c r="L136" s="10">
        <v>4</v>
      </c>
      <c r="M136" s="11">
        <f t="shared" si="7"/>
        <v>1</v>
      </c>
      <c r="N136" s="11">
        <f t="shared" si="8"/>
        <v>0</v>
      </c>
    </row>
    <row r="137" spans="1:14" x14ac:dyDescent="0.25">
      <c r="A137" s="12" t="s">
        <v>59</v>
      </c>
      <c r="B137" s="12">
        <f t="shared" si="6"/>
        <v>45170</v>
      </c>
      <c r="C137" s="12" t="str">
        <f>TEXT('Cleaned Datasets'!$B137,"MMMM")</f>
        <v>September</v>
      </c>
      <c r="D137" s="13" t="s">
        <v>34</v>
      </c>
      <c r="E137" s="13" t="s">
        <v>35</v>
      </c>
      <c r="F137" s="13" t="s">
        <v>32</v>
      </c>
      <c r="G137" s="13" t="s">
        <v>27</v>
      </c>
      <c r="H137" s="13" t="s">
        <v>19</v>
      </c>
      <c r="I137" s="13">
        <v>9</v>
      </c>
      <c r="J137" s="13">
        <v>9</v>
      </c>
      <c r="K137" s="13">
        <v>1</v>
      </c>
      <c r="L137" s="13">
        <v>2.7</v>
      </c>
      <c r="M137" s="14">
        <f t="shared" si="7"/>
        <v>1</v>
      </c>
      <c r="N137" s="14">
        <f t="shared" si="8"/>
        <v>0.1111111111111111</v>
      </c>
    </row>
    <row r="138" spans="1:14" x14ac:dyDescent="0.25">
      <c r="A138" s="9" t="s">
        <v>55</v>
      </c>
      <c r="B138" s="9">
        <f t="shared" si="6"/>
        <v>45261</v>
      </c>
      <c r="C138" s="9" t="str">
        <f>TEXT('Cleaned Datasets'!$B138,"MMMM")</f>
        <v>December</v>
      </c>
      <c r="D138" s="10" t="s">
        <v>37</v>
      </c>
      <c r="E138" s="10" t="s">
        <v>38</v>
      </c>
      <c r="F138" s="10" t="s">
        <v>26</v>
      </c>
      <c r="G138" s="10" t="s">
        <v>18</v>
      </c>
      <c r="H138" s="10" t="s">
        <v>19</v>
      </c>
      <c r="I138" s="10">
        <v>4</v>
      </c>
      <c r="J138" s="10">
        <v>3</v>
      </c>
      <c r="K138" s="10">
        <v>0</v>
      </c>
      <c r="L138" s="10">
        <v>3</v>
      </c>
      <c r="M138" s="11">
        <f t="shared" si="7"/>
        <v>0.75</v>
      </c>
      <c r="N138" s="11">
        <f t="shared" si="8"/>
        <v>0</v>
      </c>
    </row>
    <row r="139" spans="1:14" x14ac:dyDescent="0.25">
      <c r="A139" s="12" t="s">
        <v>55</v>
      </c>
      <c r="B139" s="12">
        <f t="shared" si="6"/>
        <v>45261</v>
      </c>
      <c r="C139" s="12" t="str">
        <f>TEXT('Cleaned Datasets'!$B139,"MMMM")</f>
        <v>December</v>
      </c>
      <c r="D139" s="13" t="s">
        <v>24</v>
      </c>
      <c r="E139" s="13" t="s">
        <v>25</v>
      </c>
      <c r="F139" s="13" t="s">
        <v>26</v>
      </c>
      <c r="G139" s="13" t="s">
        <v>53</v>
      </c>
      <c r="H139" s="13" t="s">
        <v>19</v>
      </c>
      <c r="I139" s="13">
        <v>4</v>
      </c>
      <c r="J139" s="13">
        <v>4</v>
      </c>
      <c r="K139" s="13">
        <v>0</v>
      </c>
      <c r="L139" s="13">
        <v>1.6</v>
      </c>
      <c r="M139" s="14">
        <f t="shared" si="7"/>
        <v>1</v>
      </c>
      <c r="N139" s="14">
        <f t="shared" si="8"/>
        <v>0</v>
      </c>
    </row>
    <row r="140" spans="1:14" x14ac:dyDescent="0.25">
      <c r="A140" s="9" t="s">
        <v>23</v>
      </c>
      <c r="B140" s="9">
        <f t="shared" si="6"/>
        <v>45200</v>
      </c>
      <c r="C140" s="9" t="str">
        <f>TEXT('Cleaned Datasets'!$B140,"MMMM")</f>
        <v>October</v>
      </c>
      <c r="D140" s="10" t="s">
        <v>28</v>
      </c>
      <c r="E140" s="10" t="s">
        <v>29</v>
      </c>
      <c r="F140" s="10" t="s">
        <v>22</v>
      </c>
      <c r="G140" s="10" t="s">
        <v>53</v>
      </c>
      <c r="H140" s="10" t="s">
        <v>15</v>
      </c>
      <c r="I140" s="10">
        <v>4</v>
      </c>
      <c r="J140" s="10">
        <v>3</v>
      </c>
      <c r="K140" s="10">
        <v>1</v>
      </c>
      <c r="L140" s="10">
        <v>2</v>
      </c>
      <c r="M140" s="11">
        <f t="shared" si="7"/>
        <v>0.75</v>
      </c>
      <c r="N140" s="11">
        <f t="shared" si="8"/>
        <v>0.25</v>
      </c>
    </row>
    <row r="141" spans="1:14" x14ac:dyDescent="0.25">
      <c r="A141" s="12" t="s">
        <v>33</v>
      </c>
      <c r="B141" s="12">
        <f t="shared" si="6"/>
        <v>44927</v>
      </c>
      <c r="C141" s="12" t="str">
        <f>TEXT('Cleaned Datasets'!$B141,"MMMM")</f>
        <v>January</v>
      </c>
      <c r="D141" s="13" t="s">
        <v>28</v>
      </c>
      <c r="E141" s="13" t="s">
        <v>58</v>
      </c>
      <c r="F141" s="13" t="s">
        <v>40</v>
      </c>
      <c r="G141" s="13" t="s">
        <v>27</v>
      </c>
      <c r="H141" s="13" t="s">
        <v>19</v>
      </c>
      <c r="I141" s="13">
        <v>6</v>
      </c>
      <c r="J141" s="13">
        <v>6</v>
      </c>
      <c r="K141" s="13">
        <v>0</v>
      </c>
      <c r="L141" s="13">
        <v>3</v>
      </c>
      <c r="M141" s="14">
        <f t="shared" si="7"/>
        <v>1</v>
      </c>
      <c r="N141" s="14">
        <f t="shared" si="8"/>
        <v>0</v>
      </c>
    </row>
    <row r="142" spans="1:14" x14ac:dyDescent="0.25">
      <c r="A142" s="9" t="s">
        <v>45</v>
      </c>
      <c r="B142" s="9">
        <f t="shared" si="6"/>
        <v>45047</v>
      </c>
      <c r="C142" s="9" t="str">
        <f>TEXT('Cleaned Datasets'!$B142,"MMMM")</f>
        <v>May</v>
      </c>
      <c r="D142" s="10" t="s">
        <v>28</v>
      </c>
      <c r="E142" s="10" t="s">
        <v>58</v>
      </c>
      <c r="F142" s="10" t="s">
        <v>26</v>
      </c>
      <c r="G142" s="10" t="s">
        <v>14</v>
      </c>
      <c r="H142" s="10" t="s">
        <v>19</v>
      </c>
      <c r="I142" s="10">
        <v>3</v>
      </c>
      <c r="J142" s="10">
        <v>3</v>
      </c>
      <c r="K142" s="10">
        <v>0</v>
      </c>
      <c r="L142" s="10">
        <v>3.2</v>
      </c>
      <c r="M142" s="11">
        <f t="shared" si="7"/>
        <v>1</v>
      </c>
      <c r="N142" s="11">
        <f t="shared" si="8"/>
        <v>0</v>
      </c>
    </row>
    <row r="143" spans="1:14" x14ac:dyDescent="0.25">
      <c r="A143" s="12" t="s">
        <v>55</v>
      </c>
      <c r="B143" s="12">
        <f t="shared" si="6"/>
        <v>45261</v>
      </c>
      <c r="C143" s="12" t="str">
        <f>TEXT('Cleaned Datasets'!$B143,"MMMM")</f>
        <v>December</v>
      </c>
      <c r="D143" s="13" t="s">
        <v>28</v>
      </c>
      <c r="E143" s="13" t="s">
        <v>58</v>
      </c>
      <c r="F143" s="13" t="s">
        <v>21</v>
      </c>
      <c r="G143" s="13" t="s">
        <v>18</v>
      </c>
      <c r="H143" s="13" t="s">
        <v>15</v>
      </c>
      <c r="I143" s="13">
        <v>4</v>
      </c>
      <c r="J143" s="13">
        <v>4</v>
      </c>
      <c r="K143" s="13">
        <v>0</v>
      </c>
      <c r="L143" s="13">
        <v>1.9</v>
      </c>
      <c r="M143" s="14">
        <f t="shared" si="7"/>
        <v>1</v>
      </c>
      <c r="N143" s="14">
        <f t="shared" si="8"/>
        <v>0</v>
      </c>
    </row>
    <row r="144" spans="1:14" x14ac:dyDescent="0.25">
      <c r="A144" s="9" t="s">
        <v>61</v>
      </c>
      <c r="B144" s="9">
        <f t="shared" si="6"/>
        <v>45231</v>
      </c>
      <c r="C144" s="9" t="str">
        <f>TEXT('Cleaned Datasets'!$B144,"MMMM")</f>
        <v>November</v>
      </c>
      <c r="D144" s="10" t="s">
        <v>37</v>
      </c>
      <c r="E144" s="10" t="s">
        <v>39</v>
      </c>
      <c r="F144" s="10" t="s">
        <v>13</v>
      </c>
      <c r="G144" s="10" t="s">
        <v>14</v>
      </c>
      <c r="H144" s="10" t="s">
        <v>15</v>
      </c>
      <c r="I144" s="10">
        <v>2</v>
      </c>
      <c r="J144" s="10">
        <v>2</v>
      </c>
      <c r="K144" s="10">
        <v>0</v>
      </c>
      <c r="L144" s="10">
        <v>3.4</v>
      </c>
      <c r="M144" s="11">
        <f t="shared" si="7"/>
        <v>1</v>
      </c>
      <c r="N144" s="11">
        <f t="shared" si="8"/>
        <v>0</v>
      </c>
    </row>
    <row r="145" spans="1:14" x14ac:dyDescent="0.25">
      <c r="A145" s="12" t="s">
        <v>50</v>
      </c>
      <c r="B145" s="12">
        <f t="shared" si="6"/>
        <v>45108</v>
      </c>
      <c r="C145" s="12" t="str">
        <f>TEXT('Cleaned Datasets'!$B145,"MMMM")</f>
        <v>July</v>
      </c>
      <c r="D145" s="13" t="s">
        <v>48</v>
      </c>
      <c r="E145" s="13" t="s">
        <v>63</v>
      </c>
      <c r="F145" s="13" t="s">
        <v>22</v>
      </c>
      <c r="G145" s="13" t="s">
        <v>53</v>
      </c>
      <c r="H145" s="13" t="s">
        <v>19</v>
      </c>
      <c r="I145" s="13">
        <v>7</v>
      </c>
      <c r="J145" s="13">
        <v>6</v>
      </c>
      <c r="K145" s="13">
        <v>0</v>
      </c>
      <c r="L145" s="13">
        <v>3.7</v>
      </c>
      <c r="M145" s="14">
        <f t="shared" si="7"/>
        <v>0.8571428571428571</v>
      </c>
      <c r="N145" s="14">
        <f t="shared" si="8"/>
        <v>0</v>
      </c>
    </row>
    <row r="146" spans="1:14" x14ac:dyDescent="0.25">
      <c r="A146" s="9" t="s">
        <v>36</v>
      </c>
      <c r="B146" s="9">
        <f t="shared" si="6"/>
        <v>44986</v>
      </c>
      <c r="C146" s="9" t="str">
        <f>TEXT('Cleaned Datasets'!$B146,"MMMM")</f>
        <v>March</v>
      </c>
      <c r="D146" s="10" t="s">
        <v>24</v>
      </c>
      <c r="E146" s="10" t="s">
        <v>64</v>
      </c>
      <c r="F146" s="10" t="s">
        <v>21</v>
      </c>
      <c r="G146" s="10" t="s">
        <v>18</v>
      </c>
      <c r="H146" s="10" t="s">
        <v>19</v>
      </c>
      <c r="I146" s="10">
        <v>2</v>
      </c>
      <c r="J146" s="10">
        <v>2</v>
      </c>
      <c r="K146" s="10">
        <v>0</v>
      </c>
      <c r="L146" s="10">
        <v>2.7</v>
      </c>
      <c r="M146" s="11">
        <f t="shared" si="7"/>
        <v>1</v>
      </c>
      <c r="N146" s="11">
        <f t="shared" si="8"/>
        <v>0</v>
      </c>
    </row>
    <row r="147" spans="1:14" x14ac:dyDescent="0.25">
      <c r="A147" s="12" t="s">
        <v>23</v>
      </c>
      <c r="B147" s="12">
        <f t="shared" si="6"/>
        <v>45200</v>
      </c>
      <c r="C147" s="12" t="str">
        <f>TEXT('Cleaned Datasets'!$B147,"MMMM")</f>
        <v>October</v>
      </c>
      <c r="D147" s="13" t="s">
        <v>46</v>
      </c>
      <c r="E147" s="13" t="s">
        <v>47</v>
      </c>
      <c r="F147" s="13" t="s">
        <v>21</v>
      </c>
      <c r="G147" s="13" t="s">
        <v>30</v>
      </c>
      <c r="H147" s="13" t="s">
        <v>19</v>
      </c>
      <c r="I147" s="13">
        <v>7</v>
      </c>
      <c r="J147" s="13">
        <v>7</v>
      </c>
      <c r="K147" s="13">
        <v>3</v>
      </c>
      <c r="L147" s="13">
        <v>3.4</v>
      </c>
      <c r="M147" s="14">
        <f t="shared" si="7"/>
        <v>1</v>
      </c>
      <c r="N147" s="14">
        <f t="shared" si="8"/>
        <v>0.42857142857142855</v>
      </c>
    </row>
    <row r="148" spans="1:14" x14ac:dyDescent="0.25">
      <c r="A148" s="9" t="s">
        <v>31</v>
      </c>
      <c r="B148" s="9">
        <f t="shared" si="6"/>
        <v>45139</v>
      </c>
      <c r="C148" s="9" t="str">
        <f>TEXT('Cleaned Datasets'!$B148,"MMMM")</f>
        <v>August</v>
      </c>
      <c r="D148" s="10" t="s">
        <v>24</v>
      </c>
      <c r="E148" s="10" t="s">
        <v>25</v>
      </c>
      <c r="F148" s="10" t="s">
        <v>40</v>
      </c>
      <c r="G148" s="10" t="s">
        <v>14</v>
      </c>
      <c r="H148" s="10" t="s">
        <v>15</v>
      </c>
      <c r="I148" s="10">
        <v>4</v>
      </c>
      <c r="J148" s="10">
        <v>4</v>
      </c>
      <c r="K148" s="10">
        <v>0</v>
      </c>
      <c r="L148" s="10">
        <v>4.0999999999999996</v>
      </c>
      <c r="M148" s="11">
        <f t="shared" si="7"/>
        <v>1</v>
      </c>
      <c r="N148" s="11">
        <f t="shared" si="8"/>
        <v>0</v>
      </c>
    </row>
    <row r="149" spans="1:14" x14ac:dyDescent="0.25">
      <c r="A149" s="12" t="s">
        <v>33</v>
      </c>
      <c r="B149" s="12">
        <f t="shared" si="6"/>
        <v>44927</v>
      </c>
      <c r="C149" s="12" t="str">
        <f>TEXT('Cleaned Datasets'!$B149,"MMMM")</f>
        <v>January</v>
      </c>
      <c r="D149" s="13" t="s">
        <v>37</v>
      </c>
      <c r="E149" s="13" t="s">
        <v>38</v>
      </c>
      <c r="F149" s="13" t="s">
        <v>40</v>
      </c>
      <c r="G149" s="13" t="s">
        <v>22</v>
      </c>
      <c r="H149" s="13" t="s">
        <v>15</v>
      </c>
      <c r="I149" s="13">
        <v>6</v>
      </c>
      <c r="J149" s="13">
        <v>5</v>
      </c>
      <c r="K149" s="13">
        <v>0</v>
      </c>
      <c r="L149" s="13">
        <v>2.9</v>
      </c>
      <c r="M149" s="14">
        <f t="shared" si="7"/>
        <v>0.83333333333333337</v>
      </c>
      <c r="N149" s="14">
        <f t="shared" si="8"/>
        <v>0</v>
      </c>
    </row>
    <row r="150" spans="1:14" x14ac:dyDescent="0.25">
      <c r="A150" s="9" t="s">
        <v>45</v>
      </c>
      <c r="B150" s="9">
        <f t="shared" si="6"/>
        <v>45047</v>
      </c>
      <c r="C150" s="9" t="str">
        <f>TEXT('Cleaned Datasets'!$B150,"MMMM")</f>
        <v>May</v>
      </c>
      <c r="D150" s="10" t="s">
        <v>41</v>
      </c>
      <c r="E150" s="10" t="s">
        <v>42</v>
      </c>
      <c r="F150" s="10" t="s">
        <v>13</v>
      </c>
      <c r="G150" s="10" t="s">
        <v>30</v>
      </c>
      <c r="H150" s="10" t="s">
        <v>15</v>
      </c>
      <c r="I150" s="10">
        <v>9</v>
      </c>
      <c r="J150" s="10">
        <v>8</v>
      </c>
      <c r="K150" s="10">
        <v>1</v>
      </c>
      <c r="L150" s="10">
        <v>2.4</v>
      </c>
      <c r="M150" s="11">
        <f t="shared" si="7"/>
        <v>0.88888888888888884</v>
      </c>
      <c r="N150" s="11">
        <f t="shared" si="8"/>
        <v>0.1111111111111111</v>
      </c>
    </row>
    <row r="151" spans="1:14" x14ac:dyDescent="0.25">
      <c r="A151" s="12" t="s">
        <v>61</v>
      </c>
      <c r="B151" s="12">
        <f t="shared" si="6"/>
        <v>45231</v>
      </c>
      <c r="C151" s="12" t="str">
        <f>TEXT('Cleaned Datasets'!$B151,"MMMM")</f>
        <v>November</v>
      </c>
      <c r="D151" s="13" t="s">
        <v>56</v>
      </c>
      <c r="E151" s="13" t="s">
        <v>57</v>
      </c>
      <c r="F151" s="13" t="s">
        <v>13</v>
      </c>
      <c r="G151" s="13" t="s">
        <v>14</v>
      </c>
      <c r="H151" s="13" t="s">
        <v>15</v>
      </c>
      <c r="I151" s="13">
        <v>5</v>
      </c>
      <c r="J151" s="13">
        <v>4</v>
      </c>
      <c r="K151" s="13">
        <v>0</v>
      </c>
      <c r="L151" s="13">
        <v>3.4</v>
      </c>
      <c r="M151" s="14">
        <f t="shared" si="7"/>
        <v>0.8</v>
      </c>
      <c r="N151" s="14">
        <f t="shared" si="8"/>
        <v>0</v>
      </c>
    </row>
    <row r="152" spans="1:14" x14ac:dyDescent="0.25">
      <c r="A152" s="9" t="s">
        <v>23</v>
      </c>
      <c r="B152" s="9">
        <f t="shared" si="6"/>
        <v>45200</v>
      </c>
      <c r="C152" s="9" t="str">
        <f>TEXT('Cleaned Datasets'!$B152,"MMMM")</f>
        <v>October</v>
      </c>
      <c r="D152" s="10" t="s">
        <v>37</v>
      </c>
      <c r="E152" s="10" t="s">
        <v>39</v>
      </c>
      <c r="F152" s="10" t="s">
        <v>13</v>
      </c>
      <c r="G152" s="10" t="s">
        <v>18</v>
      </c>
      <c r="H152" s="10" t="s">
        <v>19</v>
      </c>
      <c r="I152" s="10">
        <v>6</v>
      </c>
      <c r="J152" s="10">
        <v>6</v>
      </c>
      <c r="K152" s="10">
        <v>2</v>
      </c>
      <c r="L152" s="10">
        <v>3.8</v>
      </c>
      <c r="M152" s="11">
        <f t="shared" si="7"/>
        <v>1</v>
      </c>
      <c r="N152" s="11">
        <f t="shared" si="8"/>
        <v>0.33333333333333331</v>
      </c>
    </row>
    <row r="153" spans="1:14" x14ac:dyDescent="0.25">
      <c r="A153" s="12" t="s">
        <v>61</v>
      </c>
      <c r="B153" s="12">
        <f t="shared" si="6"/>
        <v>45231</v>
      </c>
      <c r="C153" s="12" t="str">
        <f>TEXT('Cleaned Datasets'!$B153,"MMMM")</f>
        <v>November</v>
      </c>
      <c r="D153" s="13" t="s">
        <v>56</v>
      </c>
      <c r="E153" s="13" t="s">
        <v>57</v>
      </c>
      <c r="F153" s="13" t="s">
        <v>13</v>
      </c>
      <c r="G153" s="13" t="s">
        <v>53</v>
      </c>
      <c r="H153" s="13" t="s">
        <v>19</v>
      </c>
      <c r="I153" s="13">
        <v>5</v>
      </c>
      <c r="J153" s="13">
        <v>5</v>
      </c>
      <c r="K153" s="13">
        <v>0</v>
      </c>
      <c r="L153" s="13">
        <v>1.8</v>
      </c>
      <c r="M153" s="14">
        <f t="shared" si="7"/>
        <v>1</v>
      </c>
      <c r="N153" s="14">
        <f t="shared" si="8"/>
        <v>0</v>
      </c>
    </row>
    <row r="154" spans="1:14" x14ac:dyDescent="0.25">
      <c r="A154" s="9" t="s">
        <v>33</v>
      </c>
      <c r="B154" s="9">
        <f t="shared" si="6"/>
        <v>44927</v>
      </c>
      <c r="C154" s="9" t="str">
        <f>TEXT('Cleaned Datasets'!$B154,"MMMM")</f>
        <v>January</v>
      </c>
      <c r="D154" s="10" t="s">
        <v>16</v>
      </c>
      <c r="E154" s="10" t="s">
        <v>60</v>
      </c>
      <c r="F154" s="10" t="s">
        <v>32</v>
      </c>
      <c r="G154" s="10" t="s">
        <v>14</v>
      </c>
      <c r="H154" s="10" t="s">
        <v>19</v>
      </c>
      <c r="I154" s="10">
        <v>7</v>
      </c>
      <c r="J154" s="10">
        <v>7</v>
      </c>
      <c r="K154" s="10">
        <v>0</v>
      </c>
      <c r="L154" s="10">
        <v>3.8</v>
      </c>
      <c r="M154" s="11">
        <f t="shared" si="7"/>
        <v>1</v>
      </c>
      <c r="N154" s="11">
        <f t="shared" si="8"/>
        <v>0</v>
      </c>
    </row>
    <row r="155" spans="1:14" x14ac:dyDescent="0.25">
      <c r="A155" s="12" t="s">
        <v>45</v>
      </c>
      <c r="B155" s="12">
        <f t="shared" si="6"/>
        <v>45047</v>
      </c>
      <c r="C155" s="12" t="str">
        <f>TEXT('Cleaned Datasets'!$B155,"MMMM")</f>
        <v>May</v>
      </c>
      <c r="D155" s="13" t="s">
        <v>48</v>
      </c>
      <c r="E155" s="13" t="s">
        <v>63</v>
      </c>
      <c r="F155" s="13" t="s">
        <v>32</v>
      </c>
      <c r="G155" s="13" t="s">
        <v>30</v>
      </c>
      <c r="H155" s="13" t="s">
        <v>19</v>
      </c>
      <c r="I155" s="13">
        <v>6</v>
      </c>
      <c r="J155" s="13">
        <v>6</v>
      </c>
      <c r="K155" s="13">
        <v>0</v>
      </c>
      <c r="L155" s="13">
        <v>4.2</v>
      </c>
      <c r="M155" s="14">
        <f t="shared" si="7"/>
        <v>1</v>
      </c>
      <c r="N155" s="14">
        <f t="shared" si="8"/>
        <v>0</v>
      </c>
    </row>
    <row r="156" spans="1:14" x14ac:dyDescent="0.25">
      <c r="A156" s="9" t="s">
        <v>31</v>
      </c>
      <c r="B156" s="9">
        <f t="shared" si="6"/>
        <v>45139</v>
      </c>
      <c r="C156" s="9" t="str">
        <f>TEXT('Cleaned Datasets'!$B156,"MMMM")</f>
        <v>August</v>
      </c>
      <c r="D156" s="10" t="s">
        <v>11</v>
      </c>
      <c r="E156" s="10" t="s">
        <v>12</v>
      </c>
      <c r="F156" s="10" t="s">
        <v>40</v>
      </c>
      <c r="G156" s="10" t="s">
        <v>18</v>
      </c>
      <c r="H156" s="10" t="s">
        <v>15</v>
      </c>
      <c r="I156" s="10">
        <v>3</v>
      </c>
      <c r="J156" s="10">
        <v>3</v>
      </c>
      <c r="K156" s="10">
        <v>1</v>
      </c>
      <c r="L156" s="10">
        <v>3.1</v>
      </c>
      <c r="M156" s="11">
        <f t="shared" si="7"/>
        <v>1</v>
      </c>
      <c r="N156" s="11">
        <f t="shared" si="8"/>
        <v>0.33333333333333331</v>
      </c>
    </row>
    <row r="157" spans="1:14" x14ac:dyDescent="0.25">
      <c r="A157" s="12" t="s">
        <v>36</v>
      </c>
      <c r="B157" s="12">
        <f t="shared" si="6"/>
        <v>44986</v>
      </c>
      <c r="C157" s="12" t="str">
        <f>TEXT('Cleaned Datasets'!$B157,"MMMM")</f>
        <v>March</v>
      </c>
      <c r="D157" s="13" t="s">
        <v>46</v>
      </c>
      <c r="E157" s="13" t="s">
        <v>54</v>
      </c>
      <c r="F157" s="13" t="s">
        <v>22</v>
      </c>
      <c r="G157" s="13" t="s">
        <v>27</v>
      </c>
      <c r="H157" s="13" t="s">
        <v>19</v>
      </c>
      <c r="I157" s="13">
        <v>1</v>
      </c>
      <c r="J157" s="13">
        <v>0</v>
      </c>
      <c r="K157" s="13">
        <v>1</v>
      </c>
      <c r="L157" s="13">
        <v>1</v>
      </c>
      <c r="M157" s="14">
        <f t="shared" si="7"/>
        <v>0</v>
      </c>
      <c r="N157" s="14">
        <f t="shared" si="8"/>
        <v>1</v>
      </c>
    </row>
    <row r="158" spans="1:14" x14ac:dyDescent="0.25">
      <c r="A158" s="9" t="s">
        <v>45</v>
      </c>
      <c r="B158" s="9">
        <f t="shared" si="6"/>
        <v>45047</v>
      </c>
      <c r="C158" s="9" t="str">
        <f>TEXT('Cleaned Datasets'!$B158,"MMMM")</f>
        <v>May</v>
      </c>
      <c r="D158" s="10" t="s">
        <v>28</v>
      </c>
      <c r="E158" s="10" t="s">
        <v>58</v>
      </c>
      <c r="F158" s="10" t="s">
        <v>32</v>
      </c>
      <c r="G158" s="10" t="s">
        <v>53</v>
      </c>
      <c r="H158" s="10" t="s">
        <v>19</v>
      </c>
      <c r="I158" s="10">
        <v>0</v>
      </c>
      <c r="J158" s="10">
        <v>0</v>
      </c>
      <c r="K158" s="10">
        <v>0</v>
      </c>
      <c r="L158" s="10">
        <v>2.9</v>
      </c>
      <c r="M158" s="11">
        <f t="shared" si="7"/>
        <v>0</v>
      </c>
      <c r="N158" s="11">
        <f t="shared" si="8"/>
        <v>0</v>
      </c>
    </row>
    <row r="159" spans="1:14" x14ac:dyDescent="0.25">
      <c r="A159" s="12" t="s">
        <v>33</v>
      </c>
      <c r="B159" s="12">
        <f t="shared" si="6"/>
        <v>44927</v>
      </c>
      <c r="C159" s="12" t="str">
        <f>TEXT('Cleaned Datasets'!$B159,"MMMM")</f>
        <v>January</v>
      </c>
      <c r="D159" s="13" t="s">
        <v>11</v>
      </c>
      <c r="E159" s="13" t="s">
        <v>52</v>
      </c>
      <c r="F159" s="13" t="s">
        <v>40</v>
      </c>
      <c r="G159" s="13" t="s">
        <v>22</v>
      </c>
      <c r="H159" s="13" t="s">
        <v>19</v>
      </c>
      <c r="I159" s="13">
        <v>4</v>
      </c>
      <c r="J159" s="13">
        <v>4</v>
      </c>
      <c r="K159" s="13">
        <v>0</v>
      </c>
      <c r="L159" s="13">
        <v>4.0999999999999996</v>
      </c>
      <c r="M159" s="14">
        <f t="shared" si="7"/>
        <v>1</v>
      </c>
      <c r="N159" s="14">
        <f t="shared" si="8"/>
        <v>0</v>
      </c>
    </row>
    <row r="160" spans="1:14" x14ac:dyDescent="0.25">
      <c r="A160" s="9" t="s">
        <v>10</v>
      </c>
      <c r="B160" s="9">
        <f t="shared" si="6"/>
        <v>45017</v>
      </c>
      <c r="C160" s="9" t="str">
        <f>TEXT('Cleaned Datasets'!$B160,"MMMM")</f>
        <v>April</v>
      </c>
      <c r="D160" s="10" t="s">
        <v>46</v>
      </c>
      <c r="E160" s="10" t="s">
        <v>47</v>
      </c>
      <c r="F160" s="10" t="s">
        <v>22</v>
      </c>
      <c r="G160" s="10" t="s">
        <v>30</v>
      </c>
      <c r="H160" s="10" t="s">
        <v>19</v>
      </c>
      <c r="I160" s="10">
        <v>5</v>
      </c>
      <c r="J160" s="10">
        <v>4</v>
      </c>
      <c r="K160" s="10">
        <v>0</v>
      </c>
      <c r="L160" s="10">
        <v>3.9</v>
      </c>
      <c r="M160" s="11">
        <f t="shared" si="7"/>
        <v>0.8</v>
      </c>
      <c r="N160" s="11">
        <f t="shared" si="8"/>
        <v>0</v>
      </c>
    </row>
    <row r="161" spans="1:14" x14ac:dyDescent="0.25">
      <c r="A161" s="12" t="s">
        <v>31</v>
      </c>
      <c r="B161" s="12">
        <f t="shared" si="6"/>
        <v>45139</v>
      </c>
      <c r="C161" s="12" t="str">
        <f>TEXT('Cleaned Datasets'!$B161,"MMMM")</f>
        <v>August</v>
      </c>
      <c r="D161" s="13" t="s">
        <v>28</v>
      </c>
      <c r="E161" s="13" t="s">
        <v>29</v>
      </c>
      <c r="F161" s="13" t="s">
        <v>22</v>
      </c>
      <c r="G161" s="13" t="s">
        <v>27</v>
      </c>
      <c r="H161" s="13" t="s">
        <v>19</v>
      </c>
      <c r="I161" s="13">
        <v>6</v>
      </c>
      <c r="J161" s="13">
        <v>4</v>
      </c>
      <c r="K161" s="13">
        <v>0</v>
      </c>
      <c r="L161" s="13">
        <v>3.5</v>
      </c>
      <c r="M161" s="14">
        <f t="shared" si="7"/>
        <v>0.66666666666666663</v>
      </c>
      <c r="N161" s="14">
        <f t="shared" si="8"/>
        <v>0</v>
      </c>
    </row>
    <row r="162" spans="1:14" x14ac:dyDescent="0.25">
      <c r="A162" s="9" t="s">
        <v>23</v>
      </c>
      <c r="B162" s="9">
        <f t="shared" si="6"/>
        <v>45200</v>
      </c>
      <c r="C162" s="9" t="str">
        <f>TEXT('Cleaned Datasets'!$B162,"MMMM")</f>
        <v>October</v>
      </c>
      <c r="D162" s="10" t="s">
        <v>41</v>
      </c>
      <c r="E162" s="10" t="s">
        <v>44</v>
      </c>
      <c r="F162" s="10" t="s">
        <v>21</v>
      </c>
      <c r="G162" s="10" t="s">
        <v>18</v>
      </c>
      <c r="H162" s="10" t="s">
        <v>19</v>
      </c>
      <c r="I162" s="10">
        <v>5</v>
      </c>
      <c r="J162" s="10">
        <v>4</v>
      </c>
      <c r="K162" s="10">
        <v>3</v>
      </c>
      <c r="L162" s="10">
        <v>4</v>
      </c>
      <c r="M162" s="11">
        <f t="shared" si="7"/>
        <v>0.8</v>
      </c>
      <c r="N162" s="11">
        <f t="shared" si="8"/>
        <v>0.6</v>
      </c>
    </row>
    <row r="163" spans="1:14" x14ac:dyDescent="0.25">
      <c r="A163" s="12" t="s">
        <v>59</v>
      </c>
      <c r="B163" s="12">
        <f t="shared" si="6"/>
        <v>45170</v>
      </c>
      <c r="C163" s="12" t="str">
        <f>TEXT('Cleaned Datasets'!$B163,"MMMM")</f>
        <v>September</v>
      </c>
      <c r="D163" s="13" t="s">
        <v>46</v>
      </c>
      <c r="E163" s="13" t="s">
        <v>47</v>
      </c>
      <c r="F163" s="13" t="s">
        <v>22</v>
      </c>
      <c r="G163" s="13" t="s">
        <v>27</v>
      </c>
      <c r="H163" s="13" t="s">
        <v>15</v>
      </c>
      <c r="I163" s="13">
        <v>10</v>
      </c>
      <c r="J163" s="13">
        <v>8</v>
      </c>
      <c r="K163" s="13">
        <v>0</v>
      </c>
      <c r="L163" s="13">
        <v>2.7</v>
      </c>
      <c r="M163" s="14">
        <f t="shared" si="7"/>
        <v>0.8</v>
      </c>
      <c r="N163" s="14">
        <f t="shared" si="8"/>
        <v>0</v>
      </c>
    </row>
    <row r="164" spans="1:14" x14ac:dyDescent="0.25">
      <c r="A164" s="9" t="s">
        <v>23</v>
      </c>
      <c r="B164" s="9">
        <f t="shared" si="6"/>
        <v>45200</v>
      </c>
      <c r="C164" s="9" t="str">
        <f>TEXT('Cleaned Datasets'!$B164,"MMMM")</f>
        <v>October</v>
      </c>
      <c r="D164" s="10" t="s">
        <v>34</v>
      </c>
      <c r="E164" s="10" t="s">
        <v>35</v>
      </c>
      <c r="F164" s="10" t="s">
        <v>22</v>
      </c>
      <c r="G164" s="10" t="s">
        <v>27</v>
      </c>
      <c r="H164" s="10" t="s">
        <v>19</v>
      </c>
      <c r="I164" s="10">
        <v>1</v>
      </c>
      <c r="J164" s="10">
        <v>1</v>
      </c>
      <c r="K164" s="10">
        <v>0</v>
      </c>
      <c r="L164" s="10">
        <v>4.5999999999999996</v>
      </c>
      <c r="M164" s="11">
        <f t="shared" si="7"/>
        <v>1</v>
      </c>
      <c r="N164" s="11">
        <f t="shared" si="8"/>
        <v>0</v>
      </c>
    </row>
    <row r="165" spans="1:14" x14ac:dyDescent="0.25">
      <c r="A165" s="12" t="s">
        <v>20</v>
      </c>
      <c r="B165" s="12">
        <f t="shared" si="6"/>
        <v>45078</v>
      </c>
      <c r="C165" s="12" t="str">
        <f>TEXT('Cleaned Datasets'!$B165,"MMMM")</f>
        <v>June</v>
      </c>
      <c r="D165" s="13" t="s">
        <v>16</v>
      </c>
      <c r="E165" s="13" t="s">
        <v>17</v>
      </c>
      <c r="F165" s="13" t="s">
        <v>32</v>
      </c>
      <c r="G165" s="13" t="s">
        <v>22</v>
      </c>
      <c r="H165" s="13" t="s">
        <v>19</v>
      </c>
      <c r="I165" s="13">
        <v>4</v>
      </c>
      <c r="J165" s="13">
        <v>4</v>
      </c>
      <c r="K165" s="13">
        <v>0</v>
      </c>
      <c r="L165" s="13">
        <v>2.2000000000000002</v>
      </c>
      <c r="M165" s="14">
        <f t="shared" si="7"/>
        <v>1</v>
      </c>
      <c r="N165" s="14">
        <f t="shared" si="8"/>
        <v>0</v>
      </c>
    </row>
    <row r="166" spans="1:14" x14ac:dyDescent="0.25">
      <c r="A166" s="9" t="s">
        <v>31</v>
      </c>
      <c r="B166" s="9">
        <f t="shared" si="6"/>
        <v>45139</v>
      </c>
      <c r="C166" s="9" t="str">
        <f>TEXT('Cleaned Datasets'!$B166,"MMMM")</f>
        <v>August</v>
      </c>
      <c r="D166" s="10" t="s">
        <v>56</v>
      </c>
      <c r="E166" s="10" t="s">
        <v>57</v>
      </c>
      <c r="F166" s="10" t="s">
        <v>26</v>
      </c>
      <c r="G166" s="10" t="s">
        <v>14</v>
      </c>
      <c r="H166" s="10" t="s">
        <v>19</v>
      </c>
      <c r="I166" s="10">
        <v>7</v>
      </c>
      <c r="J166" s="10">
        <v>7</v>
      </c>
      <c r="K166" s="10">
        <v>0</v>
      </c>
      <c r="L166" s="10">
        <v>4.4000000000000004</v>
      </c>
      <c r="M166" s="11">
        <f t="shared" si="7"/>
        <v>1</v>
      </c>
      <c r="N166" s="11">
        <f t="shared" si="8"/>
        <v>0</v>
      </c>
    </row>
    <row r="167" spans="1:14" x14ac:dyDescent="0.25">
      <c r="A167" s="12" t="s">
        <v>50</v>
      </c>
      <c r="B167" s="12">
        <f t="shared" si="6"/>
        <v>45108</v>
      </c>
      <c r="C167" s="12" t="str">
        <f>TEXT('Cleaned Datasets'!$B167,"MMMM")</f>
        <v>July</v>
      </c>
      <c r="D167" s="13" t="s">
        <v>28</v>
      </c>
      <c r="E167" s="13" t="s">
        <v>29</v>
      </c>
      <c r="F167" s="13" t="s">
        <v>26</v>
      </c>
      <c r="G167" s="13" t="s">
        <v>30</v>
      </c>
      <c r="H167" s="13" t="s">
        <v>19</v>
      </c>
      <c r="I167" s="13">
        <v>6</v>
      </c>
      <c r="J167" s="13">
        <v>6</v>
      </c>
      <c r="K167" s="13">
        <v>0</v>
      </c>
      <c r="L167" s="13">
        <v>1.2</v>
      </c>
      <c r="M167" s="14">
        <f t="shared" si="7"/>
        <v>1</v>
      </c>
      <c r="N167" s="14">
        <f t="shared" si="8"/>
        <v>0</v>
      </c>
    </row>
    <row r="168" spans="1:14" x14ac:dyDescent="0.25">
      <c r="A168" s="9" t="s">
        <v>43</v>
      </c>
      <c r="B168" s="9">
        <f t="shared" si="6"/>
        <v>44958</v>
      </c>
      <c r="C168" s="9" t="str">
        <f>TEXT('Cleaned Datasets'!$B168,"MMMM")</f>
        <v>February</v>
      </c>
      <c r="D168" s="10" t="s">
        <v>37</v>
      </c>
      <c r="E168" s="10" t="s">
        <v>38</v>
      </c>
      <c r="F168" s="10" t="s">
        <v>26</v>
      </c>
      <c r="G168" s="10" t="s">
        <v>14</v>
      </c>
      <c r="H168" s="10" t="s">
        <v>19</v>
      </c>
      <c r="I168" s="10">
        <v>6</v>
      </c>
      <c r="J168" s="10">
        <v>6</v>
      </c>
      <c r="K168" s="10">
        <v>0</v>
      </c>
      <c r="L168" s="10">
        <v>2.1</v>
      </c>
      <c r="M168" s="11">
        <f t="shared" si="7"/>
        <v>1</v>
      </c>
      <c r="N168" s="11">
        <f t="shared" si="8"/>
        <v>0</v>
      </c>
    </row>
    <row r="169" spans="1:14" x14ac:dyDescent="0.25">
      <c r="A169" s="12" t="s">
        <v>55</v>
      </c>
      <c r="B169" s="12">
        <f t="shared" si="6"/>
        <v>45261</v>
      </c>
      <c r="C169" s="12" t="str">
        <f>TEXT('Cleaned Datasets'!$B169,"MMMM")</f>
        <v>December</v>
      </c>
      <c r="D169" s="13" t="s">
        <v>41</v>
      </c>
      <c r="E169" s="13" t="s">
        <v>42</v>
      </c>
      <c r="F169" s="13" t="s">
        <v>22</v>
      </c>
      <c r="G169" s="13" t="s">
        <v>14</v>
      </c>
      <c r="H169" s="13" t="s">
        <v>19</v>
      </c>
      <c r="I169" s="13">
        <v>6</v>
      </c>
      <c r="J169" s="13">
        <v>6</v>
      </c>
      <c r="K169" s="13">
        <v>0</v>
      </c>
      <c r="L169" s="13">
        <v>2</v>
      </c>
      <c r="M169" s="14">
        <f t="shared" si="7"/>
        <v>1</v>
      </c>
      <c r="N169" s="14">
        <f t="shared" si="8"/>
        <v>0</v>
      </c>
    </row>
    <row r="170" spans="1:14" x14ac:dyDescent="0.25">
      <c r="A170" s="9" t="s">
        <v>50</v>
      </c>
      <c r="B170" s="9">
        <f t="shared" si="6"/>
        <v>45108</v>
      </c>
      <c r="C170" s="9" t="str">
        <f>TEXT('Cleaned Datasets'!$B170,"MMMM")</f>
        <v>July</v>
      </c>
      <c r="D170" s="10" t="s">
        <v>28</v>
      </c>
      <c r="E170" s="10" t="s">
        <v>29</v>
      </c>
      <c r="F170" s="10" t="s">
        <v>40</v>
      </c>
      <c r="G170" s="10" t="s">
        <v>18</v>
      </c>
      <c r="H170" s="10" t="s">
        <v>15</v>
      </c>
      <c r="I170" s="10">
        <v>5</v>
      </c>
      <c r="J170" s="10">
        <v>5</v>
      </c>
      <c r="K170" s="10">
        <v>0</v>
      </c>
      <c r="L170" s="10">
        <v>3</v>
      </c>
      <c r="M170" s="11">
        <f t="shared" si="7"/>
        <v>1</v>
      </c>
      <c r="N170" s="11">
        <f t="shared" si="8"/>
        <v>0</v>
      </c>
    </row>
    <row r="171" spans="1:14" x14ac:dyDescent="0.25">
      <c r="A171" s="12" t="s">
        <v>36</v>
      </c>
      <c r="B171" s="12">
        <f t="shared" si="6"/>
        <v>44986</v>
      </c>
      <c r="C171" s="12" t="str">
        <f>TEXT('Cleaned Datasets'!$B171,"MMMM")</f>
        <v>March</v>
      </c>
      <c r="D171" s="13" t="s">
        <v>28</v>
      </c>
      <c r="E171" s="13" t="s">
        <v>58</v>
      </c>
      <c r="F171" s="13" t="s">
        <v>40</v>
      </c>
      <c r="G171" s="13" t="s">
        <v>53</v>
      </c>
      <c r="H171" s="13" t="s">
        <v>15</v>
      </c>
      <c r="I171" s="13">
        <v>6</v>
      </c>
      <c r="J171" s="13">
        <v>5</v>
      </c>
      <c r="K171" s="13">
        <v>0</v>
      </c>
      <c r="L171" s="13">
        <v>3.6</v>
      </c>
      <c r="M171" s="14">
        <f t="shared" si="7"/>
        <v>0.83333333333333337</v>
      </c>
      <c r="N171" s="14">
        <f t="shared" si="8"/>
        <v>0</v>
      </c>
    </row>
    <row r="172" spans="1:14" x14ac:dyDescent="0.25">
      <c r="A172" s="9" t="s">
        <v>33</v>
      </c>
      <c r="B172" s="9">
        <f t="shared" si="6"/>
        <v>44927</v>
      </c>
      <c r="C172" s="9" t="str">
        <f>TEXT('Cleaned Datasets'!$B172,"MMMM")</f>
        <v>January</v>
      </c>
      <c r="D172" s="10" t="s">
        <v>41</v>
      </c>
      <c r="E172" s="10" t="s">
        <v>42</v>
      </c>
      <c r="F172" s="10" t="s">
        <v>40</v>
      </c>
      <c r="G172" s="10" t="s">
        <v>22</v>
      </c>
      <c r="H172" s="10" t="s">
        <v>15</v>
      </c>
      <c r="I172" s="10">
        <v>6</v>
      </c>
      <c r="J172" s="10">
        <v>5</v>
      </c>
      <c r="K172" s="10">
        <v>0</v>
      </c>
      <c r="L172" s="10">
        <v>2.7</v>
      </c>
      <c r="M172" s="11">
        <f t="shared" si="7"/>
        <v>0.83333333333333337</v>
      </c>
      <c r="N172" s="11">
        <f t="shared" si="8"/>
        <v>0</v>
      </c>
    </row>
    <row r="173" spans="1:14" x14ac:dyDescent="0.25">
      <c r="A173" s="12" t="s">
        <v>10</v>
      </c>
      <c r="B173" s="12">
        <f t="shared" si="6"/>
        <v>45017</v>
      </c>
      <c r="C173" s="12" t="str">
        <f>TEXT('Cleaned Datasets'!$B173,"MMMM")</f>
        <v>April</v>
      </c>
      <c r="D173" s="13" t="s">
        <v>48</v>
      </c>
      <c r="E173" s="13" t="s">
        <v>63</v>
      </c>
      <c r="F173" s="13" t="s">
        <v>13</v>
      </c>
      <c r="G173" s="13" t="s">
        <v>22</v>
      </c>
      <c r="H173" s="13" t="s">
        <v>19</v>
      </c>
      <c r="I173" s="13">
        <v>5</v>
      </c>
      <c r="J173" s="13">
        <v>4</v>
      </c>
      <c r="K173" s="13">
        <v>1</v>
      </c>
      <c r="L173" s="13">
        <v>4.2</v>
      </c>
      <c r="M173" s="14">
        <f t="shared" si="7"/>
        <v>0.8</v>
      </c>
      <c r="N173" s="14">
        <f t="shared" si="8"/>
        <v>0.2</v>
      </c>
    </row>
    <row r="174" spans="1:14" x14ac:dyDescent="0.25">
      <c r="A174" s="9" t="s">
        <v>10</v>
      </c>
      <c r="B174" s="9">
        <f t="shared" si="6"/>
        <v>45017</v>
      </c>
      <c r="C174" s="9" t="str">
        <f>TEXT('Cleaned Datasets'!$B174,"MMMM")</f>
        <v>April</v>
      </c>
      <c r="D174" s="10" t="s">
        <v>37</v>
      </c>
      <c r="E174" s="10" t="s">
        <v>39</v>
      </c>
      <c r="F174" s="10" t="s">
        <v>26</v>
      </c>
      <c r="G174" s="10" t="s">
        <v>14</v>
      </c>
      <c r="H174" s="10" t="s">
        <v>15</v>
      </c>
      <c r="I174" s="10">
        <v>2</v>
      </c>
      <c r="J174" s="10">
        <v>2</v>
      </c>
      <c r="K174" s="10">
        <v>0</v>
      </c>
      <c r="L174" s="10">
        <v>1.5</v>
      </c>
      <c r="M174" s="11">
        <f t="shared" si="7"/>
        <v>1</v>
      </c>
      <c r="N174" s="11">
        <f t="shared" si="8"/>
        <v>0</v>
      </c>
    </row>
    <row r="175" spans="1:14" x14ac:dyDescent="0.25">
      <c r="A175" s="12" t="s">
        <v>10</v>
      </c>
      <c r="B175" s="12">
        <f t="shared" si="6"/>
        <v>45017</v>
      </c>
      <c r="C175" s="12" t="str">
        <f>TEXT('Cleaned Datasets'!$B175,"MMMM")</f>
        <v>April</v>
      </c>
      <c r="D175" s="13" t="s">
        <v>34</v>
      </c>
      <c r="E175" s="13" t="s">
        <v>51</v>
      </c>
      <c r="F175" s="13" t="s">
        <v>21</v>
      </c>
      <c r="G175" s="13" t="s">
        <v>14</v>
      </c>
      <c r="H175" s="13" t="s">
        <v>15</v>
      </c>
      <c r="I175" s="13">
        <v>6</v>
      </c>
      <c r="J175" s="13">
        <v>6</v>
      </c>
      <c r="K175" s="13">
        <v>0</v>
      </c>
      <c r="L175" s="13">
        <v>3.3</v>
      </c>
      <c r="M175" s="14">
        <f t="shared" si="7"/>
        <v>1</v>
      </c>
      <c r="N175" s="14">
        <f t="shared" si="8"/>
        <v>0</v>
      </c>
    </row>
    <row r="176" spans="1:14" x14ac:dyDescent="0.25">
      <c r="A176" s="9" t="s">
        <v>33</v>
      </c>
      <c r="B176" s="9">
        <f t="shared" si="6"/>
        <v>44927</v>
      </c>
      <c r="C176" s="9" t="str">
        <f>TEXT('Cleaned Datasets'!$B176,"MMMM")</f>
        <v>January</v>
      </c>
      <c r="D176" s="10" t="s">
        <v>34</v>
      </c>
      <c r="E176" s="10" t="s">
        <v>51</v>
      </c>
      <c r="F176" s="10" t="s">
        <v>22</v>
      </c>
      <c r="G176" s="10" t="s">
        <v>18</v>
      </c>
      <c r="H176" s="10" t="s">
        <v>15</v>
      </c>
      <c r="I176" s="10">
        <v>4</v>
      </c>
      <c r="J176" s="10">
        <v>4</v>
      </c>
      <c r="K176" s="10">
        <v>0</v>
      </c>
      <c r="L176" s="10">
        <v>1.9</v>
      </c>
      <c r="M176" s="11">
        <f t="shared" si="7"/>
        <v>1</v>
      </c>
      <c r="N176" s="11">
        <f t="shared" si="8"/>
        <v>0</v>
      </c>
    </row>
    <row r="177" spans="1:14" x14ac:dyDescent="0.25">
      <c r="A177" s="12" t="s">
        <v>23</v>
      </c>
      <c r="B177" s="12">
        <f t="shared" si="6"/>
        <v>45200</v>
      </c>
      <c r="C177" s="12" t="str">
        <f>TEXT('Cleaned Datasets'!$B177,"MMMM")</f>
        <v>October</v>
      </c>
      <c r="D177" s="13" t="s">
        <v>11</v>
      </c>
      <c r="E177" s="13" t="s">
        <v>52</v>
      </c>
      <c r="F177" s="13" t="s">
        <v>32</v>
      </c>
      <c r="G177" s="13" t="s">
        <v>53</v>
      </c>
      <c r="H177" s="13" t="s">
        <v>19</v>
      </c>
      <c r="I177" s="13">
        <v>3</v>
      </c>
      <c r="J177" s="13">
        <v>2</v>
      </c>
      <c r="K177" s="13">
        <v>0</v>
      </c>
      <c r="L177" s="13">
        <v>2.2999999999999998</v>
      </c>
      <c r="M177" s="14">
        <f t="shared" si="7"/>
        <v>0.66666666666666663</v>
      </c>
      <c r="N177" s="14">
        <f t="shared" si="8"/>
        <v>0</v>
      </c>
    </row>
    <row r="178" spans="1:14" x14ac:dyDescent="0.25">
      <c r="A178" s="9" t="s">
        <v>33</v>
      </c>
      <c r="B178" s="9">
        <f t="shared" si="6"/>
        <v>44927</v>
      </c>
      <c r="C178" s="9" t="str">
        <f>TEXT('Cleaned Datasets'!$B178,"MMMM")</f>
        <v>January</v>
      </c>
      <c r="D178" s="10" t="s">
        <v>41</v>
      </c>
      <c r="E178" s="10" t="s">
        <v>44</v>
      </c>
      <c r="F178" s="10" t="s">
        <v>40</v>
      </c>
      <c r="G178" s="10" t="s">
        <v>30</v>
      </c>
      <c r="H178" s="10" t="s">
        <v>15</v>
      </c>
      <c r="I178" s="10">
        <v>9</v>
      </c>
      <c r="J178" s="10">
        <v>8</v>
      </c>
      <c r="K178" s="10">
        <v>0</v>
      </c>
      <c r="L178" s="10">
        <v>3.1</v>
      </c>
      <c r="M178" s="11">
        <f t="shared" si="7"/>
        <v>0.88888888888888884</v>
      </c>
      <c r="N178" s="11">
        <f t="shared" si="8"/>
        <v>0</v>
      </c>
    </row>
    <row r="179" spans="1:14" x14ac:dyDescent="0.25">
      <c r="A179" s="12" t="s">
        <v>33</v>
      </c>
      <c r="B179" s="12">
        <f t="shared" si="6"/>
        <v>44927</v>
      </c>
      <c r="C179" s="12" t="str">
        <f>TEXT('Cleaned Datasets'!$B179,"MMMM")</f>
        <v>January</v>
      </c>
      <c r="D179" s="13" t="s">
        <v>41</v>
      </c>
      <c r="E179" s="13" t="s">
        <v>42</v>
      </c>
      <c r="F179" s="13" t="s">
        <v>21</v>
      </c>
      <c r="G179" s="13" t="s">
        <v>18</v>
      </c>
      <c r="H179" s="13" t="s">
        <v>19</v>
      </c>
      <c r="I179" s="13">
        <v>5</v>
      </c>
      <c r="J179" s="13">
        <v>5</v>
      </c>
      <c r="K179" s="13">
        <v>0</v>
      </c>
      <c r="L179" s="13">
        <v>2.2999999999999998</v>
      </c>
      <c r="M179" s="14">
        <f t="shared" si="7"/>
        <v>1</v>
      </c>
      <c r="N179" s="14">
        <f t="shared" si="8"/>
        <v>0</v>
      </c>
    </row>
    <row r="180" spans="1:14" x14ac:dyDescent="0.25">
      <c r="A180" s="9" t="s">
        <v>10</v>
      </c>
      <c r="B180" s="9">
        <f t="shared" si="6"/>
        <v>45017</v>
      </c>
      <c r="C180" s="9" t="str">
        <f>TEXT('Cleaned Datasets'!$B180,"MMMM")</f>
        <v>April</v>
      </c>
      <c r="D180" s="10" t="s">
        <v>46</v>
      </c>
      <c r="E180" s="10" t="s">
        <v>54</v>
      </c>
      <c r="F180" s="10" t="s">
        <v>13</v>
      </c>
      <c r="G180" s="10" t="s">
        <v>22</v>
      </c>
      <c r="H180" s="10" t="s">
        <v>19</v>
      </c>
      <c r="I180" s="10">
        <v>6</v>
      </c>
      <c r="J180" s="10">
        <v>3</v>
      </c>
      <c r="K180" s="10">
        <v>1</v>
      </c>
      <c r="L180" s="10">
        <v>4.2</v>
      </c>
      <c r="M180" s="11">
        <f t="shared" si="7"/>
        <v>0.5</v>
      </c>
      <c r="N180" s="11">
        <f t="shared" si="8"/>
        <v>0.16666666666666666</v>
      </c>
    </row>
    <row r="181" spans="1:14" x14ac:dyDescent="0.25">
      <c r="A181" s="12" t="s">
        <v>23</v>
      </c>
      <c r="B181" s="12">
        <f t="shared" si="6"/>
        <v>45200</v>
      </c>
      <c r="C181" s="12" t="str">
        <f>TEXT('Cleaned Datasets'!$B181,"MMMM")</f>
        <v>October</v>
      </c>
      <c r="D181" s="13" t="s">
        <v>48</v>
      </c>
      <c r="E181" s="13" t="s">
        <v>63</v>
      </c>
      <c r="F181" s="13" t="s">
        <v>13</v>
      </c>
      <c r="G181" s="13" t="s">
        <v>53</v>
      </c>
      <c r="H181" s="13" t="s">
        <v>19</v>
      </c>
      <c r="I181" s="13">
        <v>4</v>
      </c>
      <c r="J181" s="13">
        <v>3</v>
      </c>
      <c r="K181" s="13">
        <v>0</v>
      </c>
      <c r="L181" s="13">
        <v>3.1</v>
      </c>
      <c r="M181" s="14">
        <f t="shared" si="7"/>
        <v>0.75</v>
      </c>
      <c r="N181" s="14">
        <f t="shared" si="8"/>
        <v>0</v>
      </c>
    </row>
    <row r="182" spans="1:14" x14ac:dyDescent="0.25">
      <c r="A182" s="9" t="s">
        <v>20</v>
      </c>
      <c r="B182" s="9">
        <f t="shared" si="6"/>
        <v>45078</v>
      </c>
      <c r="C182" s="9" t="str">
        <f>TEXT('Cleaned Datasets'!$B182,"MMMM")</f>
        <v>June</v>
      </c>
      <c r="D182" s="10" t="s">
        <v>41</v>
      </c>
      <c r="E182" s="10" t="s">
        <v>42</v>
      </c>
      <c r="F182" s="10" t="s">
        <v>13</v>
      </c>
      <c r="G182" s="10" t="s">
        <v>30</v>
      </c>
      <c r="H182" s="10" t="s">
        <v>15</v>
      </c>
      <c r="I182" s="10">
        <v>3</v>
      </c>
      <c r="J182" s="10">
        <v>3</v>
      </c>
      <c r="K182" s="10">
        <v>0</v>
      </c>
      <c r="L182" s="10">
        <v>3.1</v>
      </c>
      <c r="M182" s="11">
        <f t="shared" si="7"/>
        <v>1</v>
      </c>
      <c r="N182" s="11">
        <f t="shared" si="8"/>
        <v>0</v>
      </c>
    </row>
    <row r="183" spans="1:14" x14ac:dyDescent="0.25">
      <c r="A183" s="12" t="s">
        <v>33</v>
      </c>
      <c r="B183" s="12">
        <f t="shared" si="6"/>
        <v>44927</v>
      </c>
      <c r="C183" s="12" t="str">
        <f>TEXT('Cleaned Datasets'!$B183,"MMMM")</f>
        <v>January</v>
      </c>
      <c r="D183" s="13" t="s">
        <v>24</v>
      </c>
      <c r="E183" s="13" t="s">
        <v>25</v>
      </c>
      <c r="F183" s="13" t="s">
        <v>22</v>
      </c>
      <c r="G183" s="13" t="s">
        <v>30</v>
      </c>
      <c r="H183" s="13" t="s">
        <v>15</v>
      </c>
      <c r="I183" s="13">
        <v>8</v>
      </c>
      <c r="J183" s="13">
        <v>8</v>
      </c>
      <c r="K183" s="13">
        <v>1</v>
      </c>
      <c r="L183" s="13">
        <v>3.7</v>
      </c>
      <c r="M183" s="14">
        <f t="shared" si="7"/>
        <v>1</v>
      </c>
      <c r="N183" s="14">
        <f t="shared" si="8"/>
        <v>0.125</v>
      </c>
    </row>
    <row r="184" spans="1:14" x14ac:dyDescent="0.25">
      <c r="A184" s="9" t="s">
        <v>36</v>
      </c>
      <c r="B184" s="9">
        <f t="shared" si="6"/>
        <v>44986</v>
      </c>
      <c r="C184" s="9" t="str">
        <f>TEXT('Cleaned Datasets'!$B184,"MMMM")</f>
        <v>March</v>
      </c>
      <c r="D184" s="10" t="s">
        <v>46</v>
      </c>
      <c r="E184" s="10" t="s">
        <v>47</v>
      </c>
      <c r="F184" s="10" t="s">
        <v>40</v>
      </c>
      <c r="G184" s="10" t="s">
        <v>22</v>
      </c>
      <c r="H184" s="10" t="s">
        <v>15</v>
      </c>
      <c r="I184" s="10">
        <v>7</v>
      </c>
      <c r="J184" s="10">
        <v>7</v>
      </c>
      <c r="K184" s="10">
        <v>0</v>
      </c>
      <c r="L184" s="10">
        <v>3.5</v>
      </c>
      <c r="M184" s="11">
        <f t="shared" si="7"/>
        <v>1</v>
      </c>
      <c r="N184" s="11">
        <f t="shared" si="8"/>
        <v>0</v>
      </c>
    </row>
    <row r="185" spans="1:14" x14ac:dyDescent="0.25">
      <c r="A185" s="12" t="s">
        <v>43</v>
      </c>
      <c r="B185" s="12">
        <f t="shared" si="6"/>
        <v>44958</v>
      </c>
      <c r="C185" s="12" t="str">
        <f>TEXT('Cleaned Datasets'!$B185,"MMMM")</f>
        <v>February</v>
      </c>
      <c r="D185" s="13" t="s">
        <v>37</v>
      </c>
      <c r="E185" s="13" t="s">
        <v>38</v>
      </c>
      <c r="F185" s="13" t="s">
        <v>32</v>
      </c>
      <c r="G185" s="13" t="s">
        <v>30</v>
      </c>
      <c r="H185" s="13" t="s">
        <v>15</v>
      </c>
      <c r="I185" s="13">
        <v>8</v>
      </c>
      <c r="J185" s="13">
        <v>7</v>
      </c>
      <c r="K185" s="13">
        <v>0</v>
      </c>
      <c r="L185" s="13">
        <v>2.1</v>
      </c>
      <c r="M185" s="14">
        <f t="shared" si="7"/>
        <v>0.875</v>
      </c>
      <c r="N185" s="14">
        <f t="shared" si="8"/>
        <v>0</v>
      </c>
    </row>
    <row r="186" spans="1:14" x14ac:dyDescent="0.25">
      <c r="A186" s="9" t="s">
        <v>61</v>
      </c>
      <c r="B186" s="9">
        <f t="shared" si="6"/>
        <v>45231</v>
      </c>
      <c r="C186" s="9" t="str">
        <f>TEXT('Cleaned Datasets'!$B186,"MMMM")</f>
        <v>November</v>
      </c>
      <c r="D186" s="10" t="s">
        <v>41</v>
      </c>
      <c r="E186" s="10" t="s">
        <v>42</v>
      </c>
      <c r="F186" s="10" t="s">
        <v>32</v>
      </c>
      <c r="G186" s="10" t="s">
        <v>53</v>
      </c>
      <c r="H186" s="10" t="s">
        <v>15</v>
      </c>
      <c r="I186" s="10">
        <v>4</v>
      </c>
      <c r="J186" s="10">
        <v>4</v>
      </c>
      <c r="K186" s="10">
        <v>0</v>
      </c>
      <c r="L186" s="10">
        <v>3.1</v>
      </c>
      <c r="M186" s="11">
        <f t="shared" si="7"/>
        <v>1</v>
      </c>
      <c r="N186" s="11">
        <f t="shared" si="8"/>
        <v>0</v>
      </c>
    </row>
    <row r="187" spans="1:14" x14ac:dyDescent="0.25">
      <c r="A187" s="12" t="s">
        <v>33</v>
      </c>
      <c r="B187" s="12">
        <f t="shared" si="6"/>
        <v>44927</v>
      </c>
      <c r="C187" s="12" t="str">
        <f>TEXT('Cleaned Datasets'!$B187,"MMMM")</f>
        <v>January</v>
      </c>
      <c r="D187" s="13" t="s">
        <v>48</v>
      </c>
      <c r="E187" s="13" t="s">
        <v>49</v>
      </c>
      <c r="F187" s="13" t="s">
        <v>40</v>
      </c>
      <c r="G187" s="13" t="s">
        <v>27</v>
      </c>
      <c r="H187" s="13" t="s">
        <v>15</v>
      </c>
      <c r="I187" s="13">
        <v>5</v>
      </c>
      <c r="J187" s="13">
        <v>4</v>
      </c>
      <c r="K187" s="13">
        <v>0</v>
      </c>
      <c r="L187" s="13">
        <v>3.5</v>
      </c>
      <c r="M187" s="14">
        <f t="shared" si="7"/>
        <v>0.8</v>
      </c>
      <c r="N187" s="14">
        <f t="shared" si="8"/>
        <v>0</v>
      </c>
    </row>
    <row r="188" spans="1:14" x14ac:dyDescent="0.25">
      <c r="A188" s="9" t="s">
        <v>10</v>
      </c>
      <c r="B188" s="9">
        <f t="shared" si="6"/>
        <v>45017</v>
      </c>
      <c r="C188" s="9" t="str">
        <f>TEXT('Cleaned Datasets'!$B188,"MMMM")</f>
        <v>April</v>
      </c>
      <c r="D188" s="10" t="s">
        <v>34</v>
      </c>
      <c r="E188" s="10" t="s">
        <v>35</v>
      </c>
      <c r="F188" s="10" t="s">
        <v>40</v>
      </c>
      <c r="G188" s="10" t="s">
        <v>30</v>
      </c>
      <c r="H188" s="10" t="s">
        <v>15</v>
      </c>
      <c r="I188" s="10">
        <v>3</v>
      </c>
      <c r="J188" s="10">
        <v>2</v>
      </c>
      <c r="K188" s="10">
        <v>0</v>
      </c>
      <c r="L188" s="10">
        <v>3.1</v>
      </c>
      <c r="M188" s="11">
        <f t="shared" si="7"/>
        <v>0.66666666666666663</v>
      </c>
      <c r="N188" s="11">
        <f t="shared" si="8"/>
        <v>0</v>
      </c>
    </row>
    <row r="189" spans="1:14" x14ac:dyDescent="0.25">
      <c r="A189" s="12" t="s">
        <v>50</v>
      </c>
      <c r="B189" s="12">
        <f t="shared" si="6"/>
        <v>45108</v>
      </c>
      <c r="C189" s="12" t="str">
        <f>TEXT('Cleaned Datasets'!$B189,"MMMM")</f>
        <v>July</v>
      </c>
      <c r="D189" s="13" t="s">
        <v>16</v>
      </c>
      <c r="E189" s="13" t="s">
        <v>60</v>
      </c>
      <c r="F189" s="13" t="s">
        <v>21</v>
      </c>
      <c r="G189" s="13" t="s">
        <v>14</v>
      </c>
      <c r="H189" s="13" t="s">
        <v>15</v>
      </c>
      <c r="I189" s="13">
        <v>3</v>
      </c>
      <c r="J189" s="13">
        <v>3</v>
      </c>
      <c r="K189" s="13">
        <v>0</v>
      </c>
      <c r="L189" s="13">
        <v>2.7</v>
      </c>
      <c r="M189" s="14">
        <f t="shared" si="7"/>
        <v>1</v>
      </c>
      <c r="N189" s="14">
        <f t="shared" si="8"/>
        <v>0</v>
      </c>
    </row>
    <row r="190" spans="1:14" x14ac:dyDescent="0.25">
      <c r="A190" s="9" t="s">
        <v>31</v>
      </c>
      <c r="B190" s="9">
        <f t="shared" si="6"/>
        <v>45139</v>
      </c>
      <c r="C190" s="9" t="str">
        <f>TEXT('Cleaned Datasets'!$B190,"MMMM")</f>
        <v>August</v>
      </c>
      <c r="D190" s="10" t="s">
        <v>11</v>
      </c>
      <c r="E190" s="10" t="s">
        <v>12</v>
      </c>
      <c r="F190" s="10" t="s">
        <v>13</v>
      </c>
      <c r="G190" s="10" t="s">
        <v>22</v>
      </c>
      <c r="H190" s="10" t="s">
        <v>15</v>
      </c>
      <c r="I190" s="10">
        <v>6</v>
      </c>
      <c r="J190" s="10">
        <v>5</v>
      </c>
      <c r="K190" s="10">
        <v>0</v>
      </c>
      <c r="L190" s="10">
        <v>2</v>
      </c>
      <c r="M190" s="11">
        <f t="shared" si="7"/>
        <v>0.83333333333333337</v>
      </c>
      <c r="N190" s="11">
        <f t="shared" si="8"/>
        <v>0</v>
      </c>
    </row>
    <row r="191" spans="1:14" x14ac:dyDescent="0.25">
      <c r="A191" s="12" t="s">
        <v>55</v>
      </c>
      <c r="B191" s="12">
        <f t="shared" si="6"/>
        <v>45261</v>
      </c>
      <c r="C191" s="12" t="str">
        <f>TEXT('Cleaned Datasets'!$B191,"MMMM")</f>
        <v>December</v>
      </c>
      <c r="D191" s="13" t="s">
        <v>41</v>
      </c>
      <c r="E191" s="13" t="s">
        <v>44</v>
      </c>
      <c r="F191" s="13" t="s">
        <v>26</v>
      </c>
      <c r="G191" s="13" t="s">
        <v>14</v>
      </c>
      <c r="H191" s="13" t="s">
        <v>19</v>
      </c>
      <c r="I191" s="13">
        <v>7</v>
      </c>
      <c r="J191" s="13">
        <v>7</v>
      </c>
      <c r="K191" s="13">
        <v>0</v>
      </c>
      <c r="L191" s="13">
        <v>2.8</v>
      </c>
      <c r="M191" s="14">
        <f t="shared" si="7"/>
        <v>1</v>
      </c>
      <c r="N191" s="14">
        <f t="shared" si="8"/>
        <v>0</v>
      </c>
    </row>
    <row r="192" spans="1:14" x14ac:dyDescent="0.25">
      <c r="A192" s="9" t="s">
        <v>10</v>
      </c>
      <c r="B192" s="9">
        <f t="shared" si="6"/>
        <v>45017</v>
      </c>
      <c r="C192" s="9" t="str">
        <f>TEXT('Cleaned Datasets'!$B192,"MMMM")</f>
        <v>April</v>
      </c>
      <c r="D192" s="10" t="s">
        <v>56</v>
      </c>
      <c r="E192" s="10" t="s">
        <v>57</v>
      </c>
      <c r="F192" s="10" t="s">
        <v>21</v>
      </c>
      <c r="G192" s="10" t="s">
        <v>14</v>
      </c>
      <c r="H192" s="10" t="s">
        <v>15</v>
      </c>
      <c r="I192" s="10">
        <v>2</v>
      </c>
      <c r="J192" s="10">
        <v>2</v>
      </c>
      <c r="K192" s="10">
        <v>0</v>
      </c>
      <c r="L192" s="10">
        <v>1.5</v>
      </c>
      <c r="M192" s="11">
        <f t="shared" si="7"/>
        <v>1</v>
      </c>
      <c r="N192" s="11">
        <f t="shared" si="8"/>
        <v>0</v>
      </c>
    </row>
    <row r="193" spans="1:14" x14ac:dyDescent="0.25">
      <c r="A193" s="12" t="s">
        <v>59</v>
      </c>
      <c r="B193" s="12">
        <f t="shared" si="6"/>
        <v>45170</v>
      </c>
      <c r="C193" s="12" t="str">
        <f>TEXT('Cleaned Datasets'!$B193,"MMMM")</f>
        <v>September</v>
      </c>
      <c r="D193" s="13" t="s">
        <v>11</v>
      </c>
      <c r="E193" s="13" t="s">
        <v>12</v>
      </c>
      <c r="F193" s="13" t="s">
        <v>22</v>
      </c>
      <c r="G193" s="13" t="s">
        <v>27</v>
      </c>
      <c r="H193" s="13" t="s">
        <v>15</v>
      </c>
      <c r="I193" s="13">
        <v>1</v>
      </c>
      <c r="J193" s="13">
        <v>0</v>
      </c>
      <c r="K193" s="13">
        <v>0</v>
      </c>
      <c r="L193" s="13">
        <v>3.2</v>
      </c>
      <c r="M193" s="14">
        <f t="shared" si="7"/>
        <v>0</v>
      </c>
      <c r="N193" s="14">
        <f t="shared" si="8"/>
        <v>0</v>
      </c>
    </row>
    <row r="194" spans="1:14" x14ac:dyDescent="0.25">
      <c r="A194" s="9" t="s">
        <v>33</v>
      </c>
      <c r="B194" s="9">
        <f t="shared" si="6"/>
        <v>44927</v>
      </c>
      <c r="C194" s="9" t="str">
        <f>TEXT('Cleaned Datasets'!$B194,"MMMM")</f>
        <v>January</v>
      </c>
      <c r="D194" s="10" t="s">
        <v>48</v>
      </c>
      <c r="E194" s="10" t="s">
        <v>63</v>
      </c>
      <c r="F194" s="10" t="s">
        <v>21</v>
      </c>
      <c r="G194" s="10" t="s">
        <v>53</v>
      </c>
      <c r="H194" s="10" t="s">
        <v>19</v>
      </c>
      <c r="I194" s="10">
        <v>6</v>
      </c>
      <c r="J194" s="10">
        <v>6</v>
      </c>
      <c r="K194" s="10">
        <v>0</v>
      </c>
      <c r="L194" s="10">
        <v>4.2</v>
      </c>
      <c r="M194" s="11">
        <f t="shared" si="7"/>
        <v>1</v>
      </c>
      <c r="N194" s="11">
        <f t="shared" si="8"/>
        <v>0</v>
      </c>
    </row>
    <row r="195" spans="1:14" x14ac:dyDescent="0.25">
      <c r="A195" s="12" t="s">
        <v>43</v>
      </c>
      <c r="B195" s="12">
        <f t="shared" ref="B195:B258" si="9">DATE(LEFT(A195,4), RIGHT(A195,2), 1)</f>
        <v>44958</v>
      </c>
      <c r="C195" s="12" t="str">
        <f>TEXT('Cleaned Datasets'!$B195,"MMMM")</f>
        <v>February</v>
      </c>
      <c r="D195" s="13" t="s">
        <v>34</v>
      </c>
      <c r="E195" s="13" t="s">
        <v>35</v>
      </c>
      <c r="F195" s="13" t="s">
        <v>22</v>
      </c>
      <c r="G195" s="13" t="s">
        <v>18</v>
      </c>
      <c r="H195" s="13" t="s">
        <v>15</v>
      </c>
      <c r="I195" s="13">
        <v>8</v>
      </c>
      <c r="J195" s="13">
        <v>7</v>
      </c>
      <c r="K195" s="13">
        <v>0</v>
      </c>
      <c r="L195" s="13">
        <v>2.1</v>
      </c>
      <c r="M195" s="14">
        <f t="shared" ref="M195:M258" si="10">IFERROR(J195/I195,0)</f>
        <v>0.875</v>
      </c>
      <c r="N195" s="14">
        <f t="shared" ref="N195:N258" si="11">IFERROR(K195/I195,0)</f>
        <v>0</v>
      </c>
    </row>
    <row r="196" spans="1:14" x14ac:dyDescent="0.25">
      <c r="A196" s="9" t="s">
        <v>59</v>
      </c>
      <c r="B196" s="9">
        <f t="shared" si="9"/>
        <v>45170</v>
      </c>
      <c r="C196" s="9" t="str">
        <f>TEXT('Cleaned Datasets'!$B196,"MMMM")</f>
        <v>September</v>
      </c>
      <c r="D196" s="10" t="s">
        <v>41</v>
      </c>
      <c r="E196" s="10" t="s">
        <v>42</v>
      </c>
      <c r="F196" s="10" t="s">
        <v>13</v>
      </c>
      <c r="G196" s="10" t="s">
        <v>14</v>
      </c>
      <c r="H196" s="10" t="s">
        <v>19</v>
      </c>
      <c r="I196" s="10">
        <v>4</v>
      </c>
      <c r="J196" s="10">
        <v>4</v>
      </c>
      <c r="K196" s="10">
        <v>0</v>
      </c>
      <c r="L196" s="10">
        <v>3.3</v>
      </c>
      <c r="M196" s="11">
        <f t="shared" si="10"/>
        <v>1</v>
      </c>
      <c r="N196" s="11">
        <f t="shared" si="11"/>
        <v>0</v>
      </c>
    </row>
    <row r="197" spans="1:14" x14ac:dyDescent="0.25">
      <c r="A197" s="12" t="s">
        <v>61</v>
      </c>
      <c r="B197" s="12">
        <f t="shared" si="9"/>
        <v>45231</v>
      </c>
      <c r="C197" s="12" t="str">
        <f>TEXT('Cleaned Datasets'!$B197,"MMMM")</f>
        <v>November</v>
      </c>
      <c r="D197" s="13" t="s">
        <v>24</v>
      </c>
      <c r="E197" s="13" t="s">
        <v>25</v>
      </c>
      <c r="F197" s="13" t="s">
        <v>13</v>
      </c>
      <c r="G197" s="13" t="s">
        <v>27</v>
      </c>
      <c r="H197" s="13" t="s">
        <v>15</v>
      </c>
      <c r="I197" s="13">
        <v>3</v>
      </c>
      <c r="J197" s="13">
        <v>2</v>
      </c>
      <c r="K197" s="13">
        <v>0</v>
      </c>
      <c r="L197" s="13">
        <v>3.8</v>
      </c>
      <c r="M197" s="14">
        <f t="shared" si="10"/>
        <v>0.66666666666666663</v>
      </c>
      <c r="N197" s="14">
        <f t="shared" si="11"/>
        <v>0</v>
      </c>
    </row>
    <row r="198" spans="1:14" x14ac:dyDescent="0.25">
      <c r="A198" s="9" t="s">
        <v>43</v>
      </c>
      <c r="B198" s="9">
        <f t="shared" si="9"/>
        <v>44958</v>
      </c>
      <c r="C198" s="9" t="str">
        <f>TEXT('Cleaned Datasets'!$B198,"MMMM")</f>
        <v>February</v>
      </c>
      <c r="D198" s="10" t="s">
        <v>41</v>
      </c>
      <c r="E198" s="10" t="s">
        <v>42</v>
      </c>
      <c r="F198" s="10" t="s">
        <v>32</v>
      </c>
      <c r="G198" s="10" t="s">
        <v>22</v>
      </c>
      <c r="H198" s="10" t="s">
        <v>15</v>
      </c>
      <c r="I198" s="10">
        <v>2</v>
      </c>
      <c r="J198" s="10">
        <v>2</v>
      </c>
      <c r="K198" s="10">
        <v>0</v>
      </c>
      <c r="L198" s="10">
        <v>1.7</v>
      </c>
      <c r="M198" s="11">
        <f t="shared" si="10"/>
        <v>1</v>
      </c>
      <c r="N198" s="11">
        <f t="shared" si="11"/>
        <v>0</v>
      </c>
    </row>
    <row r="199" spans="1:14" x14ac:dyDescent="0.25">
      <c r="A199" s="12" t="s">
        <v>45</v>
      </c>
      <c r="B199" s="12">
        <f t="shared" si="9"/>
        <v>45047</v>
      </c>
      <c r="C199" s="12" t="str">
        <f>TEXT('Cleaned Datasets'!$B199,"MMMM")</f>
        <v>May</v>
      </c>
      <c r="D199" s="13" t="s">
        <v>46</v>
      </c>
      <c r="E199" s="13" t="s">
        <v>47</v>
      </c>
      <c r="F199" s="13" t="s">
        <v>40</v>
      </c>
      <c r="G199" s="13" t="s">
        <v>27</v>
      </c>
      <c r="H199" s="13" t="s">
        <v>15</v>
      </c>
      <c r="I199" s="13">
        <v>4</v>
      </c>
      <c r="J199" s="13">
        <v>4</v>
      </c>
      <c r="K199" s="13">
        <v>0</v>
      </c>
      <c r="L199" s="13">
        <v>2</v>
      </c>
      <c r="M199" s="14">
        <f t="shared" si="10"/>
        <v>1</v>
      </c>
      <c r="N199" s="14">
        <f t="shared" si="11"/>
        <v>0</v>
      </c>
    </row>
    <row r="200" spans="1:14" x14ac:dyDescent="0.25">
      <c r="A200" s="9" t="s">
        <v>43</v>
      </c>
      <c r="B200" s="9">
        <f t="shared" si="9"/>
        <v>44958</v>
      </c>
      <c r="C200" s="9" t="str">
        <f>TEXT('Cleaned Datasets'!$B200,"MMMM")</f>
        <v>February</v>
      </c>
      <c r="D200" s="10" t="s">
        <v>34</v>
      </c>
      <c r="E200" s="10" t="s">
        <v>51</v>
      </c>
      <c r="F200" s="10" t="s">
        <v>26</v>
      </c>
      <c r="G200" s="10" t="s">
        <v>22</v>
      </c>
      <c r="H200" s="10" t="s">
        <v>15</v>
      </c>
      <c r="I200" s="10">
        <v>2</v>
      </c>
      <c r="J200" s="10">
        <v>2</v>
      </c>
      <c r="K200" s="10">
        <v>1</v>
      </c>
      <c r="L200" s="10">
        <v>4</v>
      </c>
      <c r="M200" s="11">
        <f t="shared" si="10"/>
        <v>1</v>
      </c>
      <c r="N200" s="11">
        <f t="shared" si="11"/>
        <v>0.5</v>
      </c>
    </row>
    <row r="201" spans="1:14" x14ac:dyDescent="0.25">
      <c r="A201" s="12" t="s">
        <v>10</v>
      </c>
      <c r="B201" s="12">
        <f t="shared" si="9"/>
        <v>45017</v>
      </c>
      <c r="C201" s="12" t="str">
        <f>TEXT('Cleaned Datasets'!$B201,"MMMM")</f>
        <v>April</v>
      </c>
      <c r="D201" s="13" t="s">
        <v>56</v>
      </c>
      <c r="E201" s="13" t="s">
        <v>62</v>
      </c>
      <c r="F201" s="13" t="s">
        <v>22</v>
      </c>
      <c r="G201" s="13" t="s">
        <v>18</v>
      </c>
      <c r="H201" s="13" t="s">
        <v>15</v>
      </c>
      <c r="I201" s="13">
        <v>3</v>
      </c>
      <c r="J201" s="13">
        <v>3</v>
      </c>
      <c r="K201" s="13">
        <v>0</v>
      </c>
      <c r="L201" s="13">
        <v>2.2000000000000002</v>
      </c>
      <c r="M201" s="14">
        <f t="shared" si="10"/>
        <v>1</v>
      </c>
      <c r="N201" s="14">
        <f t="shared" si="11"/>
        <v>0</v>
      </c>
    </row>
    <row r="202" spans="1:14" x14ac:dyDescent="0.25">
      <c r="A202" s="9" t="s">
        <v>23</v>
      </c>
      <c r="B202" s="9">
        <f t="shared" si="9"/>
        <v>45200</v>
      </c>
      <c r="C202" s="9" t="str">
        <f>TEXT('Cleaned Datasets'!$B202,"MMMM")</f>
        <v>October</v>
      </c>
      <c r="D202" s="10" t="s">
        <v>24</v>
      </c>
      <c r="E202" s="10" t="s">
        <v>64</v>
      </c>
      <c r="F202" s="10" t="s">
        <v>13</v>
      </c>
      <c r="G202" s="10" t="s">
        <v>18</v>
      </c>
      <c r="H202" s="10" t="s">
        <v>19</v>
      </c>
      <c r="I202" s="10">
        <v>5</v>
      </c>
      <c r="J202" s="10">
        <v>3</v>
      </c>
      <c r="K202" s="10">
        <v>0</v>
      </c>
      <c r="L202" s="10">
        <v>4.5</v>
      </c>
      <c r="M202" s="11">
        <f t="shared" si="10"/>
        <v>0.6</v>
      </c>
      <c r="N202" s="11">
        <f t="shared" si="11"/>
        <v>0</v>
      </c>
    </row>
    <row r="203" spans="1:14" x14ac:dyDescent="0.25">
      <c r="A203" s="12" t="s">
        <v>43</v>
      </c>
      <c r="B203" s="12">
        <f t="shared" si="9"/>
        <v>44958</v>
      </c>
      <c r="C203" s="12" t="str">
        <f>TEXT('Cleaned Datasets'!$B203,"MMMM")</f>
        <v>February</v>
      </c>
      <c r="D203" s="13" t="s">
        <v>41</v>
      </c>
      <c r="E203" s="13" t="s">
        <v>42</v>
      </c>
      <c r="F203" s="13" t="s">
        <v>40</v>
      </c>
      <c r="G203" s="13" t="s">
        <v>14</v>
      </c>
      <c r="H203" s="13" t="s">
        <v>15</v>
      </c>
      <c r="I203" s="13">
        <v>5</v>
      </c>
      <c r="J203" s="13">
        <v>5</v>
      </c>
      <c r="K203" s="13">
        <v>0</v>
      </c>
      <c r="L203" s="13">
        <v>3.5</v>
      </c>
      <c r="M203" s="14">
        <f t="shared" si="10"/>
        <v>1</v>
      </c>
      <c r="N203" s="14">
        <f t="shared" si="11"/>
        <v>0</v>
      </c>
    </row>
    <row r="204" spans="1:14" x14ac:dyDescent="0.25">
      <c r="A204" s="9" t="s">
        <v>50</v>
      </c>
      <c r="B204" s="9">
        <f t="shared" si="9"/>
        <v>45108</v>
      </c>
      <c r="C204" s="9" t="str">
        <f>TEXT('Cleaned Datasets'!$B204,"MMMM")</f>
        <v>July</v>
      </c>
      <c r="D204" s="10" t="s">
        <v>46</v>
      </c>
      <c r="E204" s="10" t="s">
        <v>54</v>
      </c>
      <c r="F204" s="10" t="s">
        <v>32</v>
      </c>
      <c r="G204" s="10" t="s">
        <v>30</v>
      </c>
      <c r="H204" s="10" t="s">
        <v>15</v>
      </c>
      <c r="I204" s="10">
        <v>5</v>
      </c>
      <c r="J204" s="10">
        <v>4</v>
      </c>
      <c r="K204" s="10">
        <v>0</v>
      </c>
      <c r="L204" s="10">
        <v>3.9</v>
      </c>
      <c r="M204" s="11">
        <f t="shared" si="10"/>
        <v>0.8</v>
      </c>
      <c r="N204" s="11">
        <f t="shared" si="11"/>
        <v>0</v>
      </c>
    </row>
    <row r="205" spans="1:14" x14ac:dyDescent="0.25">
      <c r="A205" s="12" t="s">
        <v>61</v>
      </c>
      <c r="B205" s="12">
        <f t="shared" si="9"/>
        <v>45231</v>
      </c>
      <c r="C205" s="12" t="str">
        <f>TEXT('Cleaned Datasets'!$B205,"MMMM")</f>
        <v>November</v>
      </c>
      <c r="D205" s="13" t="s">
        <v>41</v>
      </c>
      <c r="E205" s="13" t="s">
        <v>42</v>
      </c>
      <c r="F205" s="13" t="s">
        <v>40</v>
      </c>
      <c r="G205" s="13" t="s">
        <v>53</v>
      </c>
      <c r="H205" s="13" t="s">
        <v>15</v>
      </c>
      <c r="I205" s="13">
        <v>10</v>
      </c>
      <c r="J205" s="13">
        <v>9</v>
      </c>
      <c r="K205" s="13">
        <v>2</v>
      </c>
      <c r="L205" s="13">
        <v>2.4</v>
      </c>
      <c r="M205" s="14">
        <f t="shared" si="10"/>
        <v>0.9</v>
      </c>
      <c r="N205" s="14">
        <f t="shared" si="11"/>
        <v>0.2</v>
      </c>
    </row>
    <row r="206" spans="1:14" x14ac:dyDescent="0.25">
      <c r="A206" s="9" t="s">
        <v>31</v>
      </c>
      <c r="B206" s="9">
        <f t="shared" si="9"/>
        <v>45139</v>
      </c>
      <c r="C206" s="9" t="str">
        <f>TEXT('Cleaned Datasets'!$B206,"MMMM")</f>
        <v>August</v>
      </c>
      <c r="D206" s="10" t="s">
        <v>48</v>
      </c>
      <c r="E206" s="10" t="s">
        <v>49</v>
      </c>
      <c r="F206" s="10" t="s">
        <v>40</v>
      </c>
      <c r="G206" s="10" t="s">
        <v>22</v>
      </c>
      <c r="H206" s="10" t="s">
        <v>19</v>
      </c>
      <c r="I206" s="10">
        <v>2</v>
      </c>
      <c r="J206" s="10">
        <v>2</v>
      </c>
      <c r="K206" s="10">
        <v>0</v>
      </c>
      <c r="L206" s="10">
        <v>2.5</v>
      </c>
      <c r="M206" s="11">
        <f t="shared" si="10"/>
        <v>1</v>
      </c>
      <c r="N206" s="11">
        <f t="shared" si="11"/>
        <v>0</v>
      </c>
    </row>
    <row r="207" spans="1:14" x14ac:dyDescent="0.25">
      <c r="A207" s="12" t="s">
        <v>23</v>
      </c>
      <c r="B207" s="12">
        <f t="shared" si="9"/>
        <v>45200</v>
      </c>
      <c r="C207" s="12" t="str">
        <f>TEXT('Cleaned Datasets'!$B207,"MMMM")</f>
        <v>October</v>
      </c>
      <c r="D207" s="13" t="s">
        <v>37</v>
      </c>
      <c r="E207" s="13" t="s">
        <v>38</v>
      </c>
      <c r="F207" s="13" t="s">
        <v>22</v>
      </c>
      <c r="G207" s="13" t="s">
        <v>53</v>
      </c>
      <c r="H207" s="13" t="s">
        <v>15</v>
      </c>
      <c r="I207" s="13">
        <v>8</v>
      </c>
      <c r="J207" s="13">
        <v>6</v>
      </c>
      <c r="K207" s="13">
        <v>0</v>
      </c>
      <c r="L207" s="13">
        <v>3.6</v>
      </c>
      <c r="M207" s="14">
        <f t="shared" si="10"/>
        <v>0.75</v>
      </c>
      <c r="N207" s="14">
        <f t="shared" si="11"/>
        <v>0</v>
      </c>
    </row>
    <row r="208" spans="1:14" x14ac:dyDescent="0.25">
      <c r="A208" s="9" t="s">
        <v>61</v>
      </c>
      <c r="B208" s="9">
        <f t="shared" si="9"/>
        <v>45231</v>
      </c>
      <c r="C208" s="9" t="str">
        <f>TEXT('Cleaned Datasets'!$B208,"MMMM")</f>
        <v>November</v>
      </c>
      <c r="D208" s="10" t="s">
        <v>56</v>
      </c>
      <c r="E208" s="10" t="s">
        <v>57</v>
      </c>
      <c r="F208" s="10" t="s">
        <v>40</v>
      </c>
      <c r="G208" s="10" t="s">
        <v>18</v>
      </c>
      <c r="H208" s="10" t="s">
        <v>19</v>
      </c>
      <c r="I208" s="10">
        <v>3</v>
      </c>
      <c r="J208" s="10">
        <v>3</v>
      </c>
      <c r="K208" s="10">
        <v>0</v>
      </c>
      <c r="L208" s="10">
        <v>4.3</v>
      </c>
      <c r="M208" s="11">
        <f t="shared" si="10"/>
        <v>1</v>
      </c>
      <c r="N208" s="11">
        <f t="shared" si="11"/>
        <v>0</v>
      </c>
    </row>
    <row r="209" spans="1:14" x14ac:dyDescent="0.25">
      <c r="A209" s="12" t="s">
        <v>23</v>
      </c>
      <c r="B209" s="12">
        <f t="shared" si="9"/>
        <v>45200</v>
      </c>
      <c r="C209" s="12" t="str">
        <f>TEXT('Cleaned Datasets'!$B209,"MMMM")</f>
        <v>October</v>
      </c>
      <c r="D209" s="13" t="s">
        <v>41</v>
      </c>
      <c r="E209" s="13" t="s">
        <v>44</v>
      </c>
      <c r="F209" s="13" t="s">
        <v>40</v>
      </c>
      <c r="G209" s="13" t="s">
        <v>14</v>
      </c>
      <c r="H209" s="13" t="s">
        <v>19</v>
      </c>
      <c r="I209" s="13">
        <v>5</v>
      </c>
      <c r="J209" s="13">
        <v>4</v>
      </c>
      <c r="K209" s="13">
        <v>0</v>
      </c>
      <c r="L209" s="13">
        <v>2.6</v>
      </c>
      <c r="M209" s="14">
        <f t="shared" si="10"/>
        <v>0.8</v>
      </c>
      <c r="N209" s="14">
        <f t="shared" si="11"/>
        <v>0</v>
      </c>
    </row>
    <row r="210" spans="1:14" x14ac:dyDescent="0.25">
      <c r="A210" s="9" t="s">
        <v>45</v>
      </c>
      <c r="B210" s="9">
        <f t="shared" si="9"/>
        <v>45047</v>
      </c>
      <c r="C210" s="9" t="str">
        <f>TEXT('Cleaned Datasets'!$B210,"MMMM")</f>
        <v>May</v>
      </c>
      <c r="D210" s="10" t="s">
        <v>41</v>
      </c>
      <c r="E210" s="10" t="s">
        <v>42</v>
      </c>
      <c r="F210" s="10" t="s">
        <v>26</v>
      </c>
      <c r="G210" s="10" t="s">
        <v>27</v>
      </c>
      <c r="H210" s="10" t="s">
        <v>19</v>
      </c>
      <c r="I210" s="10">
        <v>0</v>
      </c>
      <c r="J210" s="10">
        <v>0</v>
      </c>
      <c r="K210" s="10">
        <v>0</v>
      </c>
      <c r="L210" s="10">
        <v>2.2000000000000002</v>
      </c>
      <c r="M210" s="11">
        <f t="shared" si="10"/>
        <v>0</v>
      </c>
      <c r="N210" s="11">
        <f t="shared" si="11"/>
        <v>0</v>
      </c>
    </row>
    <row r="211" spans="1:14" x14ac:dyDescent="0.25">
      <c r="A211" s="12" t="s">
        <v>59</v>
      </c>
      <c r="B211" s="12">
        <f t="shared" si="9"/>
        <v>45170</v>
      </c>
      <c r="C211" s="12" t="str">
        <f>TEXT('Cleaned Datasets'!$B211,"MMMM")</f>
        <v>September</v>
      </c>
      <c r="D211" s="13" t="s">
        <v>46</v>
      </c>
      <c r="E211" s="13" t="s">
        <v>47</v>
      </c>
      <c r="F211" s="13" t="s">
        <v>26</v>
      </c>
      <c r="G211" s="13" t="s">
        <v>22</v>
      </c>
      <c r="H211" s="13" t="s">
        <v>15</v>
      </c>
      <c r="I211" s="13">
        <v>4</v>
      </c>
      <c r="J211" s="13">
        <v>3</v>
      </c>
      <c r="K211" s="13">
        <v>2</v>
      </c>
      <c r="L211" s="13">
        <v>3.6</v>
      </c>
      <c r="M211" s="14">
        <f t="shared" si="10"/>
        <v>0.75</v>
      </c>
      <c r="N211" s="14">
        <f t="shared" si="11"/>
        <v>0.5</v>
      </c>
    </row>
    <row r="212" spans="1:14" x14ac:dyDescent="0.25">
      <c r="A212" s="9" t="s">
        <v>31</v>
      </c>
      <c r="B212" s="9">
        <f t="shared" si="9"/>
        <v>45139</v>
      </c>
      <c r="C212" s="9" t="str">
        <f>TEXT('Cleaned Datasets'!$B212,"MMMM")</f>
        <v>August</v>
      </c>
      <c r="D212" s="10" t="s">
        <v>34</v>
      </c>
      <c r="E212" s="10" t="s">
        <v>35</v>
      </c>
      <c r="F212" s="10" t="s">
        <v>32</v>
      </c>
      <c r="G212" s="10" t="s">
        <v>14</v>
      </c>
      <c r="H212" s="10" t="s">
        <v>19</v>
      </c>
      <c r="I212" s="10">
        <v>8</v>
      </c>
      <c r="J212" s="10">
        <v>7</v>
      </c>
      <c r="K212" s="10">
        <v>0</v>
      </c>
      <c r="L212" s="10">
        <v>2.4</v>
      </c>
      <c r="M212" s="11">
        <f t="shared" si="10"/>
        <v>0.875</v>
      </c>
      <c r="N212" s="11">
        <f t="shared" si="11"/>
        <v>0</v>
      </c>
    </row>
    <row r="213" spans="1:14" x14ac:dyDescent="0.25">
      <c r="A213" s="12" t="s">
        <v>59</v>
      </c>
      <c r="B213" s="12">
        <f t="shared" si="9"/>
        <v>45170</v>
      </c>
      <c r="C213" s="12" t="str">
        <f>TEXT('Cleaned Datasets'!$B213,"MMMM")</f>
        <v>September</v>
      </c>
      <c r="D213" s="13" t="s">
        <v>11</v>
      </c>
      <c r="E213" s="13" t="s">
        <v>12</v>
      </c>
      <c r="F213" s="13" t="s">
        <v>21</v>
      </c>
      <c r="G213" s="13" t="s">
        <v>27</v>
      </c>
      <c r="H213" s="13" t="s">
        <v>19</v>
      </c>
      <c r="I213" s="13">
        <v>5</v>
      </c>
      <c r="J213" s="13">
        <v>4</v>
      </c>
      <c r="K213" s="13">
        <v>1</v>
      </c>
      <c r="L213" s="13">
        <v>5.6</v>
      </c>
      <c r="M213" s="14">
        <f t="shared" si="10"/>
        <v>0.8</v>
      </c>
      <c r="N213" s="14">
        <f t="shared" si="11"/>
        <v>0.2</v>
      </c>
    </row>
    <row r="214" spans="1:14" x14ac:dyDescent="0.25">
      <c r="A214" s="9" t="s">
        <v>23</v>
      </c>
      <c r="B214" s="9">
        <f t="shared" si="9"/>
        <v>45200</v>
      </c>
      <c r="C214" s="9" t="str">
        <f>TEXT('Cleaned Datasets'!$B214,"MMMM")</f>
        <v>October</v>
      </c>
      <c r="D214" s="10" t="s">
        <v>16</v>
      </c>
      <c r="E214" s="10" t="s">
        <v>17</v>
      </c>
      <c r="F214" s="10" t="s">
        <v>26</v>
      </c>
      <c r="G214" s="10" t="s">
        <v>53</v>
      </c>
      <c r="H214" s="10" t="s">
        <v>19</v>
      </c>
      <c r="I214" s="10">
        <v>4</v>
      </c>
      <c r="J214" s="10">
        <v>4</v>
      </c>
      <c r="K214" s="10">
        <v>0</v>
      </c>
      <c r="L214" s="10">
        <v>3.9</v>
      </c>
      <c r="M214" s="11">
        <f t="shared" si="10"/>
        <v>1</v>
      </c>
      <c r="N214" s="11">
        <f t="shared" si="11"/>
        <v>0</v>
      </c>
    </row>
    <row r="215" spans="1:14" x14ac:dyDescent="0.25">
      <c r="A215" s="12" t="s">
        <v>43</v>
      </c>
      <c r="B215" s="12">
        <f t="shared" si="9"/>
        <v>44958</v>
      </c>
      <c r="C215" s="12" t="str">
        <f>TEXT('Cleaned Datasets'!$B215,"MMMM")</f>
        <v>February</v>
      </c>
      <c r="D215" s="13" t="s">
        <v>46</v>
      </c>
      <c r="E215" s="13" t="s">
        <v>47</v>
      </c>
      <c r="F215" s="13" t="s">
        <v>22</v>
      </c>
      <c r="G215" s="13" t="s">
        <v>18</v>
      </c>
      <c r="H215" s="13" t="s">
        <v>19</v>
      </c>
      <c r="I215" s="13">
        <v>4</v>
      </c>
      <c r="J215" s="13">
        <v>4</v>
      </c>
      <c r="K215" s="13">
        <v>0</v>
      </c>
      <c r="L215" s="13">
        <v>3.7</v>
      </c>
      <c r="M215" s="14">
        <f t="shared" si="10"/>
        <v>1</v>
      </c>
      <c r="N215" s="14">
        <f t="shared" si="11"/>
        <v>0</v>
      </c>
    </row>
    <row r="216" spans="1:14" x14ac:dyDescent="0.25">
      <c r="A216" s="9" t="s">
        <v>31</v>
      </c>
      <c r="B216" s="9">
        <f t="shared" si="9"/>
        <v>45139</v>
      </c>
      <c r="C216" s="9" t="str">
        <f>TEXT('Cleaned Datasets'!$B216,"MMMM")</f>
        <v>August</v>
      </c>
      <c r="D216" s="10" t="s">
        <v>16</v>
      </c>
      <c r="E216" s="10" t="s">
        <v>17</v>
      </c>
      <c r="F216" s="10" t="s">
        <v>22</v>
      </c>
      <c r="G216" s="10" t="s">
        <v>22</v>
      </c>
      <c r="H216" s="10" t="s">
        <v>15</v>
      </c>
      <c r="I216" s="10">
        <v>8</v>
      </c>
      <c r="J216" s="10">
        <v>8</v>
      </c>
      <c r="K216" s="10">
        <v>1</v>
      </c>
      <c r="L216" s="10">
        <v>4.2</v>
      </c>
      <c r="M216" s="11">
        <f t="shared" si="10"/>
        <v>1</v>
      </c>
      <c r="N216" s="11">
        <f t="shared" si="11"/>
        <v>0.125</v>
      </c>
    </row>
    <row r="217" spans="1:14" x14ac:dyDescent="0.25">
      <c r="A217" s="12" t="s">
        <v>36</v>
      </c>
      <c r="B217" s="12">
        <f t="shared" si="9"/>
        <v>44986</v>
      </c>
      <c r="C217" s="12" t="str">
        <f>TEXT('Cleaned Datasets'!$B217,"MMMM")</f>
        <v>March</v>
      </c>
      <c r="D217" s="13" t="s">
        <v>37</v>
      </c>
      <c r="E217" s="13" t="s">
        <v>38</v>
      </c>
      <c r="F217" s="13" t="s">
        <v>21</v>
      </c>
      <c r="G217" s="13" t="s">
        <v>22</v>
      </c>
      <c r="H217" s="13" t="s">
        <v>19</v>
      </c>
      <c r="I217" s="13">
        <v>4</v>
      </c>
      <c r="J217" s="13">
        <v>4</v>
      </c>
      <c r="K217" s="13">
        <v>1</v>
      </c>
      <c r="L217" s="13">
        <v>1.1000000000000001</v>
      </c>
      <c r="M217" s="14">
        <f t="shared" si="10"/>
        <v>1</v>
      </c>
      <c r="N217" s="14">
        <f t="shared" si="11"/>
        <v>0.25</v>
      </c>
    </row>
    <row r="218" spans="1:14" x14ac:dyDescent="0.25">
      <c r="A218" s="9" t="s">
        <v>55</v>
      </c>
      <c r="B218" s="9">
        <f t="shared" si="9"/>
        <v>45261</v>
      </c>
      <c r="C218" s="9" t="str">
        <f>TEXT('Cleaned Datasets'!$B218,"MMMM")</f>
        <v>December</v>
      </c>
      <c r="D218" s="10" t="s">
        <v>11</v>
      </c>
      <c r="E218" s="10" t="s">
        <v>12</v>
      </c>
      <c r="F218" s="10" t="s">
        <v>22</v>
      </c>
      <c r="G218" s="10" t="s">
        <v>22</v>
      </c>
      <c r="H218" s="10" t="s">
        <v>15</v>
      </c>
      <c r="I218" s="10">
        <v>5</v>
      </c>
      <c r="J218" s="10">
        <v>4</v>
      </c>
      <c r="K218" s="10">
        <v>1</v>
      </c>
      <c r="L218" s="10">
        <v>3.5</v>
      </c>
      <c r="M218" s="11">
        <f t="shared" si="10"/>
        <v>0.8</v>
      </c>
      <c r="N218" s="11">
        <f t="shared" si="11"/>
        <v>0.2</v>
      </c>
    </row>
    <row r="219" spans="1:14" x14ac:dyDescent="0.25">
      <c r="A219" s="12" t="s">
        <v>55</v>
      </c>
      <c r="B219" s="12">
        <f t="shared" si="9"/>
        <v>45261</v>
      </c>
      <c r="C219" s="12" t="str">
        <f>TEXT('Cleaned Datasets'!$B219,"MMMM")</f>
        <v>December</v>
      </c>
      <c r="D219" s="13" t="s">
        <v>16</v>
      </c>
      <c r="E219" s="13" t="s">
        <v>60</v>
      </c>
      <c r="F219" s="13" t="s">
        <v>13</v>
      </c>
      <c r="G219" s="13" t="s">
        <v>53</v>
      </c>
      <c r="H219" s="13" t="s">
        <v>19</v>
      </c>
      <c r="I219" s="13">
        <v>3</v>
      </c>
      <c r="J219" s="13">
        <v>3</v>
      </c>
      <c r="K219" s="13">
        <v>0</v>
      </c>
      <c r="L219" s="13">
        <v>2.5</v>
      </c>
      <c r="M219" s="14">
        <f t="shared" si="10"/>
        <v>1</v>
      </c>
      <c r="N219" s="14">
        <f t="shared" si="11"/>
        <v>0</v>
      </c>
    </row>
    <row r="220" spans="1:14" x14ac:dyDescent="0.25">
      <c r="A220" s="9" t="s">
        <v>33</v>
      </c>
      <c r="B220" s="9">
        <f t="shared" si="9"/>
        <v>44927</v>
      </c>
      <c r="C220" s="9" t="str">
        <f>TEXT('Cleaned Datasets'!$B220,"MMMM")</f>
        <v>January</v>
      </c>
      <c r="D220" s="10" t="s">
        <v>24</v>
      </c>
      <c r="E220" s="10" t="s">
        <v>64</v>
      </c>
      <c r="F220" s="10" t="s">
        <v>13</v>
      </c>
      <c r="G220" s="10" t="s">
        <v>18</v>
      </c>
      <c r="H220" s="10" t="s">
        <v>19</v>
      </c>
      <c r="I220" s="10">
        <v>5</v>
      </c>
      <c r="J220" s="10">
        <v>4</v>
      </c>
      <c r="K220" s="10">
        <v>0</v>
      </c>
      <c r="L220" s="10">
        <v>2.9</v>
      </c>
      <c r="M220" s="11">
        <f t="shared" si="10"/>
        <v>0.8</v>
      </c>
      <c r="N220" s="11">
        <f t="shared" si="11"/>
        <v>0</v>
      </c>
    </row>
    <row r="221" spans="1:14" x14ac:dyDescent="0.25">
      <c r="A221" s="12" t="s">
        <v>61</v>
      </c>
      <c r="B221" s="12">
        <f t="shared" si="9"/>
        <v>45231</v>
      </c>
      <c r="C221" s="12" t="str">
        <f>TEXT('Cleaned Datasets'!$B221,"MMMM")</f>
        <v>November</v>
      </c>
      <c r="D221" s="13" t="s">
        <v>41</v>
      </c>
      <c r="E221" s="13" t="s">
        <v>42</v>
      </c>
      <c r="F221" s="13" t="s">
        <v>26</v>
      </c>
      <c r="G221" s="13" t="s">
        <v>14</v>
      </c>
      <c r="H221" s="13" t="s">
        <v>15</v>
      </c>
      <c r="I221" s="13">
        <v>4</v>
      </c>
      <c r="J221" s="13">
        <v>3</v>
      </c>
      <c r="K221" s="13">
        <v>0</v>
      </c>
      <c r="L221" s="13">
        <v>2.8</v>
      </c>
      <c r="M221" s="14">
        <f t="shared" si="10"/>
        <v>0.75</v>
      </c>
      <c r="N221" s="14">
        <f t="shared" si="11"/>
        <v>0</v>
      </c>
    </row>
    <row r="222" spans="1:14" x14ac:dyDescent="0.25">
      <c r="A222" s="9" t="s">
        <v>10</v>
      </c>
      <c r="B222" s="9">
        <f t="shared" si="9"/>
        <v>45017</v>
      </c>
      <c r="C222" s="9" t="str">
        <f>TEXT('Cleaned Datasets'!$B222,"MMMM")</f>
        <v>April</v>
      </c>
      <c r="D222" s="10" t="s">
        <v>46</v>
      </c>
      <c r="E222" s="10" t="s">
        <v>54</v>
      </c>
      <c r="F222" s="10" t="s">
        <v>13</v>
      </c>
      <c r="G222" s="10" t="s">
        <v>18</v>
      </c>
      <c r="H222" s="10" t="s">
        <v>19</v>
      </c>
      <c r="I222" s="10">
        <v>3</v>
      </c>
      <c r="J222" s="10">
        <v>3</v>
      </c>
      <c r="K222" s="10">
        <v>1</v>
      </c>
      <c r="L222" s="10">
        <v>3.1</v>
      </c>
      <c r="M222" s="11">
        <f t="shared" si="10"/>
        <v>1</v>
      </c>
      <c r="N222" s="11">
        <f t="shared" si="11"/>
        <v>0.33333333333333331</v>
      </c>
    </row>
    <row r="223" spans="1:14" x14ac:dyDescent="0.25">
      <c r="A223" s="12" t="s">
        <v>45</v>
      </c>
      <c r="B223" s="12">
        <f t="shared" si="9"/>
        <v>45047</v>
      </c>
      <c r="C223" s="12" t="str">
        <f>TEXT('Cleaned Datasets'!$B223,"MMMM")</f>
        <v>May</v>
      </c>
      <c r="D223" s="13" t="s">
        <v>37</v>
      </c>
      <c r="E223" s="13" t="s">
        <v>38</v>
      </c>
      <c r="F223" s="13" t="s">
        <v>32</v>
      </c>
      <c r="G223" s="13" t="s">
        <v>22</v>
      </c>
      <c r="H223" s="13" t="s">
        <v>19</v>
      </c>
      <c r="I223" s="13">
        <v>3</v>
      </c>
      <c r="J223" s="13">
        <v>3</v>
      </c>
      <c r="K223" s="13">
        <v>1</v>
      </c>
      <c r="L223" s="13">
        <v>1.9</v>
      </c>
      <c r="M223" s="14">
        <f t="shared" si="10"/>
        <v>1</v>
      </c>
      <c r="N223" s="14">
        <f t="shared" si="11"/>
        <v>0.33333333333333331</v>
      </c>
    </row>
    <row r="224" spans="1:14" x14ac:dyDescent="0.25">
      <c r="A224" s="9" t="s">
        <v>61</v>
      </c>
      <c r="B224" s="9">
        <f t="shared" si="9"/>
        <v>45231</v>
      </c>
      <c r="C224" s="9" t="str">
        <f>TEXT('Cleaned Datasets'!$B224,"MMMM")</f>
        <v>November</v>
      </c>
      <c r="D224" s="10" t="s">
        <v>48</v>
      </c>
      <c r="E224" s="10" t="s">
        <v>63</v>
      </c>
      <c r="F224" s="10" t="s">
        <v>26</v>
      </c>
      <c r="G224" s="10" t="s">
        <v>27</v>
      </c>
      <c r="H224" s="10" t="s">
        <v>15</v>
      </c>
      <c r="I224" s="10">
        <v>4</v>
      </c>
      <c r="J224" s="10">
        <v>3</v>
      </c>
      <c r="K224" s="10">
        <v>1</v>
      </c>
      <c r="L224" s="10">
        <v>3.8</v>
      </c>
      <c r="M224" s="11">
        <f t="shared" si="10"/>
        <v>0.75</v>
      </c>
      <c r="N224" s="11">
        <f t="shared" si="11"/>
        <v>0.25</v>
      </c>
    </row>
    <row r="225" spans="1:14" x14ac:dyDescent="0.25">
      <c r="A225" s="12" t="s">
        <v>61</v>
      </c>
      <c r="B225" s="12">
        <f t="shared" si="9"/>
        <v>45231</v>
      </c>
      <c r="C225" s="12" t="str">
        <f>TEXT('Cleaned Datasets'!$B225,"MMMM")</f>
        <v>November</v>
      </c>
      <c r="D225" s="13" t="s">
        <v>16</v>
      </c>
      <c r="E225" s="13" t="s">
        <v>60</v>
      </c>
      <c r="F225" s="13" t="s">
        <v>40</v>
      </c>
      <c r="G225" s="13" t="s">
        <v>30</v>
      </c>
      <c r="H225" s="13" t="s">
        <v>15</v>
      </c>
      <c r="I225" s="13">
        <v>6</v>
      </c>
      <c r="J225" s="13">
        <v>6</v>
      </c>
      <c r="K225" s="13">
        <v>0</v>
      </c>
      <c r="L225" s="13">
        <v>1.7</v>
      </c>
      <c r="M225" s="14">
        <f t="shared" si="10"/>
        <v>1</v>
      </c>
      <c r="N225" s="14">
        <f t="shared" si="11"/>
        <v>0</v>
      </c>
    </row>
    <row r="226" spans="1:14" x14ac:dyDescent="0.25">
      <c r="A226" s="9" t="s">
        <v>23</v>
      </c>
      <c r="B226" s="9">
        <f t="shared" si="9"/>
        <v>45200</v>
      </c>
      <c r="C226" s="9" t="str">
        <f>TEXT('Cleaned Datasets'!$B226,"MMMM")</f>
        <v>October</v>
      </c>
      <c r="D226" s="10" t="s">
        <v>28</v>
      </c>
      <c r="E226" s="10" t="s">
        <v>29</v>
      </c>
      <c r="F226" s="10" t="s">
        <v>21</v>
      </c>
      <c r="G226" s="10" t="s">
        <v>27</v>
      </c>
      <c r="H226" s="10" t="s">
        <v>19</v>
      </c>
      <c r="I226" s="10">
        <v>5</v>
      </c>
      <c r="J226" s="10">
        <v>4</v>
      </c>
      <c r="K226" s="10">
        <v>0</v>
      </c>
      <c r="L226" s="10">
        <v>3.4</v>
      </c>
      <c r="M226" s="11">
        <f t="shared" si="10"/>
        <v>0.8</v>
      </c>
      <c r="N226" s="11">
        <f t="shared" si="11"/>
        <v>0</v>
      </c>
    </row>
    <row r="227" spans="1:14" x14ac:dyDescent="0.25">
      <c r="A227" s="12" t="s">
        <v>33</v>
      </c>
      <c r="B227" s="12">
        <f t="shared" si="9"/>
        <v>44927</v>
      </c>
      <c r="C227" s="12" t="str">
        <f>TEXT('Cleaned Datasets'!$B227,"MMMM")</f>
        <v>January</v>
      </c>
      <c r="D227" s="13" t="s">
        <v>46</v>
      </c>
      <c r="E227" s="13" t="s">
        <v>54</v>
      </c>
      <c r="F227" s="13" t="s">
        <v>40</v>
      </c>
      <c r="G227" s="13" t="s">
        <v>30</v>
      </c>
      <c r="H227" s="13" t="s">
        <v>15</v>
      </c>
      <c r="I227" s="13">
        <v>3</v>
      </c>
      <c r="J227" s="13">
        <v>2</v>
      </c>
      <c r="K227" s="13">
        <v>0</v>
      </c>
      <c r="L227" s="13">
        <v>4.8</v>
      </c>
      <c r="M227" s="14">
        <f t="shared" si="10"/>
        <v>0.66666666666666663</v>
      </c>
      <c r="N227" s="14">
        <f t="shared" si="11"/>
        <v>0</v>
      </c>
    </row>
    <row r="228" spans="1:14" x14ac:dyDescent="0.25">
      <c r="A228" s="9" t="s">
        <v>61</v>
      </c>
      <c r="B228" s="9">
        <f t="shared" si="9"/>
        <v>45231</v>
      </c>
      <c r="C228" s="9" t="str">
        <f>TEXT('Cleaned Datasets'!$B228,"MMMM")</f>
        <v>November</v>
      </c>
      <c r="D228" s="10" t="s">
        <v>24</v>
      </c>
      <c r="E228" s="10" t="s">
        <v>25</v>
      </c>
      <c r="F228" s="10" t="s">
        <v>13</v>
      </c>
      <c r="G228" s="10" t="s">
        <v>18</v>
      </c>
      <c r="H228" s="10" t="s">
        <v>15</v>
      </c>
      <c r="I228" s="10">
        <v>5</v>
      </c>
      <c r="J228" s="10">
        <v>5</v>
      </c>
      <c r="K228" s="10">
        <v>1</v>
      </c>
      <c r="L228" s="10">
        <v>2.4</v>
      </c>
      <c r="M228" s="11">
        <f t="shared" si="10"/>
        <v>1</v>
      </c>
      <c r="N228" s="11">
        <f t="shared" si="11"/>
        <v>0.2</v>
      </c>
    </row>
    <row r="229" spans="1:14" x14ac:dyDescent="0.25">
      <c r="A229" s="12" t="s">
        <v>20</v>
      </c>
      <c r="B229" s="12">
        <f t="shared" si="9"/>
        <v>45078</v>
      </c>
      <c r="C229" s="12" t="str">
        <f>TEXT('Cleaned Datasets'!$B229,"MMMM")</f>
        <v>June</v>
      </c>
      <c r="D229" s="13" t="s">
        <v>46</v>
      </c>
      <c r="E229" s="13" t="s">
        <v>47</v>
      </c>
      <c r="F229" s="13" t="s">
        <v>32</v>
      </c>
      <c r="G229" s="13" t="s">
        <v>22</v>
      </c>
      <c r="H229" s="13" t="s">
        <v>15</v>
      </c>
      <c r="I229" s="13">
        <v>4</v>
      </c>
      <c r="J229" s="13">
        <v>3</v>
      </c>
      <c r="K229" s="13">
        <v>0</v>
      </c>
      <c r="L229" s="13">
        <v>2.9</v>
      </c>
      <c r="M229" s="14">
        <f t="shared" si="10"/>
        <v>0.75</v>
      </c>
      <c r="N229" s="14">
        <f t="shared" si="11"/>
        <v>0</v>
      </c>
    </row>
    <row r="230" spans="1:14" x14ac:dyDescent="0.25">
      <c r="A230" s="9" t="s">
        <v>55</v>
      </c>
      <c r="B230" s="9">
        <f t="shared" si="9"/>
        <v>45261</v>
      </c>
      <c r="C230" s="9" t="str">
        <f>TEXT('Cleaned Datasets'!$B230,"MMMM")</f>
        <v>December</v>
      </c>
      <c r="D230" s="10" t="s">
        <v>28</v>
      </c>
      <c r="E230" s="10" t="s">
        <v>29</v>
      </c>
      <c r="F230" s="10" t="s">
        <v>40</v>
      </c>
      <c r="G230" s="10" t="s">
        <v>30</v>
      </c>
      <c r="H230" s="10" t="s">
        <v>15</v>
      </c>
      <c r="I230" s="10">
        <v>8</v>
      </c>
      <c r="J230" s="10">
        <v>8</v>
      </c>
      <c r="K230" s="10">
        <v>0</v>
      </c>
      <c r="L230" s="10">
        <v>3.1</v>
      </c>
      <c r="M230" s="11">
        <f t="shared" si="10"/>
        <v>1</v>
      </c>
      <c r="N230" s="11">
        <f t="shared" si="11"/>
        <v>0</v>
      </c>
    </row>
    <row r="231" spans="1:14" x14ac:dyDescent="0.25">
      <c r="A231" s="12" t="s">
        <v>20</v>
      </c>
      <c r="B231" s="12">
        <f t="shared" si="9"/>
        <v>45078</v>
      </c>
      <c r="C231" s="12" t="str">
        <f>TEXT('Cleaned Datasets'!$B231,"MMMM")</f>
        <v>June</v>
      </c>
      <c r="D231" s="13" t="s">
        <v>48</v>
      </c>
      <c r="E231" s="13" t="s">
        <v>49</v>
      </c>
      <c r="F231" s="13" t="s">
        <v>21</v>
      </c>
      <c r="G231" s="13" t="s">
        <v>30</v>
      </c>
      <c r="H231" s="13" t="s">
        <v>15</v>
      </c>
      <c r="I231" s="13">
        <v>7</v>
      </c>
      <c r="J231" s="13">
        <v>6</v>
      </c>
      <c r="K231" s="13">
        <v>0</v>
      </c>
      <c r="L231" s="13">
        <v>3.9</v>
      </c>
      <c r="M231" s="14">
        <f t="shared" si="10"/>
        <v>0.8571428571428571</v>
      </c>
      <c r="N231" s="14">
        <f t="shared" si="11"/>
        <v>0</v>
      </c>
    </row>
    <row r="232" spans="1:14" x14ac:dyDescent="0.25">
      <c r="A232" s="9" t="s">
        <v>23</v>
      </c>
      <c r="B232" s="9">
        <f t="shared" si="9"/>
        <v>45200</v>
      </c>
      <c r="C232" s="9" t="str">
        <f>TEXT('Cleaned Datasets'!$B232,"MMMM")</f>
        <v>October</v>
      </c>
      <c r="D232" s="10" t="s">
        <v>56</v>
      </c>
      <c r="E232" s="10" t="s">
        <v>57</v>
      </c>
      <c r="F232" s="10" t="s">
        <v>22</v>
      </c>
      <c r="G232" s="10" t="s">
        <v>22</v>
      </c>
      <c r="H232" s="10" t="s">
        <v>19</v>
      </c>
      <c r="I232" s="10">
        <v>8</v>
      </c>
      <c r="J232" s="10">
        <v>7</v>
      </c>
      <c r="K232" s="10">
        <v>0</v>
      </c>
      <c r="L232" s="10">
        <v>2.7</v>
      </c>
      <c r="M232" s="11">
        <f t="shared" si="10"/>
        <v>0.875</v>
      </c>
      <c r="N232" s="11">
        <f t="shared" si="11"/>
        <v>0</v>
      </c>
    </row>
    <row r="233" spans="1:14" x14ac:dyDescent="0.25">
      <c r="A233" s="12" t="s">
        <v>20</v>
      </c>
      <c r="B233" s="12">
        <f t="shared" si="9"/>
        <v>45078</v>
      </c>
      <c r="C233" s="12" t="str">
        <f>TEXT('Cleaned Datasets'!$B233,"MMMM")</f>
        <v>June</v>
      </c>
      <c r="D233" s="13" t="s">
        <v>41</v>
      </c>
      <c r="E233" s="13" t="s">
        <v>42</v>
      </c>
      <c r="F233" s="13" t="s">
        <v>13</v>
      </c>
      <c r="G233" s="13" t="s">
        <v>18</v>
      </c>
      <c r="H233" s="13" t="s">
        <v>15</v>
      </c>
      <c r="I233" s="13">
        <v>5</v>
      </c>
      <c r="J233" s="13">
        <v>5</v>
      </c>
      <c r="K233" s="13">
        <v>1</v>
      </c>
      <c r="L233" s="13">
        <v>2.6</v>
      </c>
      <c r="M233" s="14">
        <f t="shared" si="10"/>
        <v>1</v>
      </c>
      <c r="N233" s="14">
        <f t="shared" si="11"/>
        <v>0.2</v>
      </c>
    </row>
    <row r="234" spans="1:14" x14ac:dyDescent="0.25">
      <c r="A234" s="9" t="s">
        <v>55</v>
      </c>
      <c r="B234" s="9">
        <f t="shared" si="9"/>
        <v>45261</v>
      </c>
      <c r="C234" s="9" t="str">
        <f>TEXT('Cleaned Datasets'!$B234,"MMMM")</f>
        <v>December</v>
      </c>
      <c r="D234" s="10" t="s">
        <v>48</v>
      </c>
      <c r="E234" s="10" t="s">
        <v>49</v>
      </c>
      <c r="F234" s="10" t="s">
        <v>26</v>
      </c>
      <c r="G234" s="10" t="s">
        <v>30</v>
      </c>
      <c r="H234" s="10" t="s">
        <v>19</v>
      </c>
      <c r="I234" s="10">
        <v>9</v>
      </c>
      <c r="J234" s="10">
        <v>9</v>
      </c>
      <c r="K234" s="10">
        <v>0</v>
      </c>
      <c r="L234" s="10">
        <v>4.2</v>
      </c>
      <c r="M234" s="11">
        <f t="shared" si="10"/>
        <v>1</v>
      </c>
      <c r="N234" s="11">
        <f t="shared" si="11"/>
        <v>0</v>
      </c>
    </row>
    <row r="235" spans="1:14" x14ac:dyDescent="0.25">
      <c r="A235" s="12" t="s">
        <v>23</v>
      </c>
      <c r="B235" s="12">
        <f t="shared" si="9"/>
        <v>45200</v>
      </c>
      <c r="C235" s="12" t="str">
        <f>TEXT('Cleaned Datasets'!$B235,"MMMM")</f>
        <v>October</v>
      </c>
      <c r="D235" s="13" t="s">
        <v>34</v>
      </c>
      <c r="E235" s="13" t="s">
        <v>51</v>
      </c>
      <c r="F235" s="13" t="s">
        <v>22</v>
      </c>
      <c r="G235" s="13" t="s">
        <v>30</v>
      </c>
      <c r="H235" s="13" t="s">
        <v>15</v>
      </c>
      <c r="I235" s="13">
        <v>5</v>
      </c>
      <c r="J235" s="13">
        <v>4</v>
      </c>
      <c r="K235" s="13">
        <v>0</v>
      </c>
      <c r="L235" s="13">
        <v>5.6</v>
      </c>
      <c r="M235" s="14">
        <f t="shared" si="10"/>
        <v>0.8</v>
      </c>
      <c r="N235" s="14">
        <f t="shared" si="11"/>
        <v>0</v>
      </c>
    </row>
    <row r="236" spans="1:14" x14ac:dyDescent="0.25">
      <c r="A236" s="9" t="s">
        <v>50</v>
      </c>
      <c r="B236" s="9">
        <f t="shared" si="9"/>
        <v>45108</v>
      </c>
      <c r="C236" s="9" t="str">
        <f>TEXT('Cleaned Datasets'!$B236,"MMMM")</f>
        <v>July</v>
      </c>
      <c r="D236" s="10" t="s">
        <v>56</v>
      </c>
      <c r="E236" s="10" t="s">
        <v>57</v>
      </c>
      <c r="F236" s="10" t="s">
        <v>13</v>
      </c>
      <c r="G236" s="10" t="s">
        <v>18</v>
      </c>
      <c r="H236" s="10" t="s">
        <v>15</v>
      </c>
      <c r="I236" s="10">
        <v>7</v>
      </c>
      <c r="J236" s="10">
        <v>7</v>
      </c>
      <c r="K236" s="10">
        <v>0</v>
      </c>
      <c r="L236" s="10">
        <v>3.8</v>
      </c>
      <c r="M236" s="11">
        <f t="shared" si="10"/>
        <v>1</v>
      </c>
      <c r="N236" s="11">
        <f t="shared" si="11"/>
        <v>0</v>
      </c>
    </row>
    <row r="237" spans="1:14" x14ac:dyDescent="0.25">
      <c r="A237" s="12" t="s">
        <v>55</v>
      </c>
      <c r="B237" s="12">
        <f t="shared" si="9"/>
        <v>45261</v>
      </c>
      <c r="C237" s="12" t="str">
        <f>TEXT('Cleaned Datasets'!$B237,"MMMM")</f>
        <v>December</v>
      </c>
      <c r="D237" s="13" t="s">
        <v>37</v>
      </c>
      <c r="E237" s="13" t="s">
        <v>38</v>
      </c>
      <c r="F237" s="13" t="s">
        <v>40</v>
      </c>
      <c r="G237" s="13" t="s">
        <v>53</v>
      </c>
      <c r="H237" s="13" t="s">
        <v>15</v>
      </c>
      <c r="I237" s="13">
        <v>2</v>
      </c>
      <c r="J237" s="13">
        <v>2</v>
      </c>
      <c r="K237" s="13">
        <v>0</v>
      </c>
      <c r="L237" s="13">
        <v>3.5</v>
      </c>
      <c r="M237" s="14">
        <f t="shared" si="10"/>
        <v>1</v>
      </c>
      <c r="N237" s="14">
        <f t="shared" si="11"/>
        <v>0</v>
      </c>
    </row>
    <row r="238" spans="1:14" x14ac:dyDescent="0.25">
      <c r="A238" s="9" t="s">
        <v>36</v>
      </c>
      <c r="B238" s="9">
        <f t="shared" si="9"/>
        <v>44986</v>
      </c>
      <c r="C238" s="9" t="str">
        <f>TEXT('Cleaned Datasets'!$B238,"MMMM")</f>
        <v>March</v>
      </c>
      <c r="D238" s="10" t="s">
        <v>41</v>
      </c>
      <c r="E238" s="10" t="s">
        <v>42</v>
      </c>
      <c r="F238" s="10" t="s">
        <v>13</v>
      </c>
      <c r="G238" s="10" t="s">
        <v>27</v>
      </c>
      <c r="H238" s="10" t="s">
        <v>15</v>
      </c>
      <c r="I238" s="10">
        <v>8</v>
      </c>
      <c r="J238" s="10">
        <v>7</v>
      </c>
      <c r="K238" s="10">
        <v>0</v>
      </c>
      <c r="L238" s="10">
        <v>2.5</v>
      </c>
      <c r="M238" s="11">
        <f t="shared" si="10"/>
        <v>0.875</v>
      </c>
      <c r="N238" s="11">
        <f t="shared" si="11"/>
        <v>0</v>
      </c>
    </row>
    <row r="239" spans="1:14" x14ac:dyDescent="0.25">
      <c r="A239" s="12" t="s">
        <v>55</v>
      </c>
      <c r="B239" s="12">
        <f t="shared" si="9"/>
        <v>45261</v>
      </c>
      <c r="C239" s="12" t="str">
        <f>TEXT('Cleaned Datasets'!$B239,"MMMM")</f>
        <v>December</v>
      </c>
      <c r="D239" s="13" t="s">
        <v>37</v>
      </c>
      <c r="E239" s="13" t="s">
        <v>38</v>
      </c>
      <c r="F239" s="13" t="s">
        <v>40</v>
      </c>
      <c r="G239" s="13" t="s">
        <v>22</v>
      </c>
      <c r="H239" s="13" t="s">
        <v>15</v>
      </c>
      <c r="I239" s="13">
        <v>5</v>
      </c>
      <c r="J239" s="13">
        <v>4</v>
      </c>
      <c r="K239" s="13">
        <v>0</v>
      </c>
      <c r="L239" s="13">
        <v>3.2</v>
      </c>
      <c r="M239" s="14">
        <f t="shared" si="10"/>
        <v>0.8</v>
      </c>
      <c r="N239" s="14">
        <f t="shared" si="11"/>
        <v>0</v>
      </c>
    </row>
    <row r="240" spans="1:14" x14ac:dyDescent="0.25">
      <c r="A240" s="9" t="s">
        <v>45</v>
      </c>
      <c r="B240" s="9">
        <f t="shared" si="9"/>
        <v>45047</v>
      </c>
      <c r="C240" s="9" t="str">
        <f>TEXT('Cleaned Datasets'!$B240,"MMMM")</f>
        <v>May</v>
      </c>
      <c r="D240" s="10" t="s">
        <v>28</v>
      </c>
      <c r="E240" s="10" t="s">
        <v>58</v>
      </c>
      <c r="F240" s="10" t="s">
        <v>40</v>
      </c>
      <c r="G240" s="10" t="s">
        <v>22</v>
      </c>
      <c r="H240" s="10" t="s">
        <v>19</v>
      </c>
      <c r="I240" s="10">
        <v>2</v>
      </c>
      <c r="J240" s="10">
        <v>2</v>
      </c>
      <c r="K240" s="10">
        <v>0</v>
      </c>
      <c r="L240" s="10">
        <v>3.7</v>
      </c>
      <c r="M240" s="11">
        <f t="shared" si="10"/>
        <v>1</v>
      </c>
      <c r="N240" s="11">
        <f t="shared" si="11"/>
        <v>0</v>
      </c>
    </row>
    <row r="241" spans="1:14" x14ac:dyDescent="0.25">
      <c r="A241" s="12" t="s">
        <v>36</v>
      </c>
      <c r="B241" s="12">
        <f t="shared" si="9"/>
        <v>44986</v>
      </c>
      <c r="C241" s="12" t="str">
        <f>TEXT('Cleaned Datasets'!$B241,"MMMM")</f>
        <v>March</v>
      </c>
      <c r="D241" s="13" t="s">
        <v>28</v>
      </c>
      <c r="E241" s="13" t="s">
        <v>29</v>
      </c>
      <c r="F241" s="13" t="s">
        <v>26</v>
      </c>
      <c r="G241" s="13" t="s">
        <v>22</v>
      </c>
      <c r="H241" s="13" t="s">
        <v>15</v>
      </c>
      <c r="I241" s="13">
        <v>5</v>
      </c>
      <c r="J241" s="13">
        <v>5</v>
      </c>
      <c r="K241" s="13">
        <v>0</v>
      </c>
      <c r="L241" s="13">
        <v>3.7</v>
      </c>
      <c r="M241" s="14">
        <f t="shared" si="10"/>
        <v>1</v>
      </c>
      <c r="N241" s="14">
        <f t="shared" si="11"/>
        <v>0</v>
      </c>
    </row>
    <row r="242" spans="1:14" x14ac:dyDescent="0.25">
      <c r="A242" s="9" t="s">
        <v>10</v>
      </c>
      <c r="B242" s="9">
        <f t="shared" si="9"/>
        <v>45017</v>
      </c>
      <c r="C242" s="9" t="str">
        <f>TEXT('Cleaned Datasets'!$B242,"MMMM")</f>
        <v>April</v>
      </c>
      <c r="D242" s="10" t="s">
        <v>46</v>
      </c>
      <c r="E242" s="10" t="s">
        <v>54</v>
      </c>
      <c r="F242" s="10" t="s">
        <v>40</v>
      </c>
      <c r="G242" s="10" t="s">
        <v>30</v>
      </c>
      <c r="H242" s="10" t="s">
        <v>15</v>
      </c>
      <c r="I242" s="10">
        <v>6</v>
      </c>
      <c r="J242" s="10">
        <v>5</v>
      </c>
      <c r="K242" s="10">
        <v>1</v>
      </c>
      <c r="L242" s="10">
        <v>3.7</v>
      </c>
      <c r="M242" s="11">
        <f t="shared" si="10"/>
        <v>0.83333333333333337</v>
      </c>
      <c r="N242" s="11">
        <f t="shared" si="11"/>
        <v>0.16666666666666666</v>
      </c>
    </row>
    <row r="243" spans="1:14" x14ac:dyDescent="0.25">
      <c r="A243" s="12" t="s">
        <v>23</v>
      </c>
      <c r="B243" s="12">
        <f t="shared" si="9"/>
        <v>45200</v>
      </c>
      <c r="C243" s="12" t="str">
        <f>TEXT('Cleaned Datasets'!$B243,"MMMM")</f>
        <v>October</v>
      </c>
      <c r="D243" s="13" t="s">
        <v>48</v>
      </c>
      <c r="E243" s="13" t="s">
        <v>63</v>
      </c>
      <c r="F243" s="13" t="s">
        <v>21</v>
      </c>
      <c r="G243" s="13" t="s">
        <v>22</v>
      </c>
      <c r="H243" s="13" t="s">
        <v>15</v>
      </c>
      <c r="I243" s="13">
        <v>4</v>
      </c>
      <c r="J243" s="13">
        <v>2</v>
      </c>
      <c r="K243" s="13">
        <v>0</v>
      </c>
      <c r="L243" s="13">
        <v>2.6</v>
      </c>
      <c r="M243" s="14">
        <f t="shared" si="10"/>
        <v>0.5</v>
      </c>
      <c r="N243" s="14">
        <f t="shared" si="11"/>
        <v>0</v>
      </c>
    </row>
    <row r="244" spans="1:14" x14ac:dyDescent="0.25">
      <c r="A244" s="9" t="s">
        <v>43</v>
      </c>
      <c r="B244" s="9">
        <f t="shared" si="9"/>
        <v>44958</v>
      </c>
      <c r="C244" s="9" t="str">
        <f>TEXT('Cleaned Datasets'!$B244,"MMMM")</f>
        <v>February</v>
      </c>
      <c r="D244" s="10" t="s">
        <v>46</v>
      </c>
      <c r="E244" s="10" t="s">
        <v>54</v>
      </c>
      <c r="F244" s="10" t="s">
        <v>40</v>
      </c>
      <c r="G244" s="10" t="s">
        <v>53</v>
      </c>
      <c r="H244" s="10" t="s">
        <v>15</v>
      </c>
      <c r="I244" s="10">
        <v>5</v>
      </c>
      <c r="J244" s="10">
        <v>5</v>
      </c>
      <c r="K244" s="10">
        <v>0</v>
      </c>
      <c r="L244" s="10">
        <v>1.1000000000000001</v>
      </c>
      <c r="M244" s="11">
        <f t="shared" si="10"/>
        <v>1</v>
      </c>
      <c r="N244" s="11">
        <f t="shared" si="11"/>
        <v>0</v>
      </c>
    </row>
    <row r="245" spans="1:14" x14ac:dyDescent="0.25">
      <c r="A245" s="12" t="s">
        <v>10</v>
      </c>
      <c r="B245" s="12">
        <f t="shared" si="9"/>
        <v>45017</v>
      </c>
      <c r="C245" s="12" t="str">
        <f>TEXT('Cleaned Datasets'!$B245,"MMMM")</f>
        <v>April</v>
      </c>
      <c r="D245" s="13" t="s">
        <v>16</v>
      </c>
      <c r="E245" s="13" t="s">
        <v>17</v>
      </c>
      <c r="F245" s="13" t="s">
        <v>13</v>
      </c>
      <c r="G245" s="13" t="s">
        <v>53</v>
      </c>
      <c r="H245" s="13" t="s">
        <v>19</v>
      </c>
      <c r="I245" s="13">
        <v>4</v>
      </c>
      <c r="J245" s="13">
        <v>3</v>
      </c>
      <c r="K245" s="13">
        <v>1</v>
      </c>
      <c r="L245" s="13">
        <v>2.7</v>
      </c>
      <c r="M245" s="14">
        <f t="shared" si="10"/>
        <v>0.75</v>
      </c>
      <c r="N245" s="14">
        <f t="shared" si="11"/>
        <v>0.25</v>
      </c>
    </row>
    <row r="246" spans="1:14" x14ac:dyDescent="0.25">
      <c r="A246" s="9" t="s">
        <v>36</v>
      </c>
      <c r="B246" s="9">
        <f t="shared" si="9"/>
        <v>44986</v>
      </c>
      <c r="C246" s="9" t="str">
        <f>TEXT('Cleaned Datasets'!$B246,"MMMM")</f>
        <v>March</v>
      </c>
      <c r="D246" s="10" t="s">
        <v>41</v>
      </c>
      <c r="E246" s="10" t="s">
        <v>44</v>
      </c>
      <c r="F246" s="10" t="s">
        <v>22</v>
      </c>
      <c r="G246" s="10" t="s">
        <v>30</v>
      </c>
      <c r="H246" s="10" t="s">
        <v>19</v>
      </c>
      <c r="I246" s="10">
        <v>4</v>
      </c>
      <c r="J246" s="10">
        <v>4</v>
      </c>
      <c r="K246" s="10">
        <v>0</v>
      </c>
      <c r="L246" s="10">
        <v>3.1</v>
      </c>
      <c r="M246" s="11">
        <f t="shared" si="10"/>
        <v>1</v>
      </c>
      <c r="N246" s="11">
        <f t="shared" si="11"/>
        <v>0</v>
      </c>
    </row>
    <row r="247" spans="1:14" x14ac:dyDescent="0.25">
      <c r="A247" s="12" t="s">
        <v>36</v>
      </c>
      <c r="B247" s="12">
        <f t="shared" si="9"/>
        <v>44986</v>
      </c>
      <c r="C247" s="12" t="str">
        <f>TEXT('Cleaned Datasets'!$B247,"MMMM")</f>
        <v>March</v>
      </c>
      <c r="D247" s="13" t="s">
        <v>56</v>
      </c>
      <c r="E247" s="13" t="s">
        <v>62</v>
      </c>
      <c r="F247" s="13" t="s">
        <v>21</v>
      </c>
      <c r="G247" s="13" t="s">
        <v>30</v>
      </c>
      <c r="H247" s="13" t="s">
        <v>19</v>
      </c>
      <c r="I247" s="13">
        <v>6</v>
      </c>
      <c r="J247" s="13">
        <v>6</v>
      </c>
      <c r="K247" s="13">
        <v>1</v>
      </c>
      <c r="L247" s="13">
        <v>2.5</v>
      </c>
      <c r="M247" s="14">
        <f t="shared" si="10"/>
        <v>1</v>
      </c>
      <c r="N247" s="14">
        <f t="shared" si="11"/>
        <v>0.16666666666666666</v>
      </c>
    </row>
    <row r="248" spans="1:14" x14ac:dyDescent="0.25">
      <c r="A248" s="9" t="s">
        <v>55</v>
      </c>
      <c r="B248" s="9">
        <f t="shared" si="9"/>
        <v>45261</v>
      </c>
      <c r="C248" s="9" t="str">
        <f>TEXT('Cleaned Datasets'!$B248,"MMMM")</f>
        <v>December</v>
      </c>
      <c r="D248" s="10" t="s">
        <v>46</v>
      </c>
      <c r="E248" s="10" t="s">
        <v>47</v>
      </c>
      <c r="F248" s="10" t="s">
        <v>13</v>
      </c>
      <c r="G248" s="10" t="s">
        <v>30</v>
      </c>
      <c r="H248" s="10" t="s">
        <v>15</v>
      </c>
      <c r="I248" s="10">
        <v>8</v>
      </c>
      <c r="J248" s="10">
        <v>7</v>
      </c>
      <c r="K248" s="10">
        <v>1</v>
      </c>
      <c r="L248" s="10">
        <v>5.0999999999999996</v>
      </c>
      <c r="M248" s="11">
        <f t="shared" si="10"/>
        <v>0.875</v>
      </c>
      <c r="N248" s="11">
        <f t="shared" si="11"/>
        <v>0.125</v>
      </c>
    </row>
    <row r="249" spans="1:14" x14ac:dyDescent="0.25">
      <c r="A249" s="12" t="s">
        <v>50</v>
      </c>
      <c r="B249" s="12">
        <f t="shared" si="9"/>
        <v>45108</v>
      </c>
      <c r="C249" s="12" t="str">
        <f>TEXT('Cleaned Datasets'!$B249,"MMMM")</f>
        <v>July</v>
      </c>
      <c r="D249" s="13" t="s">
        <v>28</v>
      </c>
      <c r="E249" s="13" t="s">
        <v>58</v>
      </c>
      <c r="F249" s="13" t="s">
        <v>22</v>
      </c>
      <c r="G249" s="13" t="s">
        <v>53</v>
      </c>
      <c r="H249" s="13" t="s">
        <v>15</v>
      </c>
      <c r="I249" s="13">
        <v>5</v>
      </c>
      <c r="J249" s="13">
        <v>5</v>
      </c>
      <c r="K249" s="13">
        <v>0</v>
      </c>
      <c r="L249" s="13">
        <v>1.9</v>
      </c>
      <c r="M249" s="14">
        <f t="shared" si="10"/>
        <v>1</v>
      </c>
      <c r="N249" s="14">
        <f t="shared" si="11"/>
        <v>0</v>
      </c>
    </row>
    <row r="250" spans="1:14" x14ac:dyDescent="0.25">
      <c r="A250" s="9" t="s">
        <v>20</v>
      </c>
      <c r="B250" s="9">
        <f t="shared" si="9"/>
        <v>45078</v>
      </c>
      <c r="C250" s="9" t="str">
        <f>TEXT('Cleaned Datasets'!$B250,"MMMM")</f>
        <v>June</v>
      </c>
      <c r="D250" s="10" t="s">
        <v>24</v>
      </c>
      <c r="E250" s="10" t="s">
        <v>64</v>
      </c>
      <c r="F250" s="10" t="s">
        <v>26</v>
      </c>
      <c r="G250" s="10" t="s">
        <v>27</v>
      </c>
      <c r="H250" s="10" t="s">
        <v>15</v>
      </c>
      <c r="I250" s="10">
        <v>6</v>
      </c>
      <c r="J250" s="10">
        <v>6</v>
      </c>
      <c r="K250" s="10">
        <v>0</v>
      </c>
      <c r="L250" s="10">
        <v>2.4</v>
      </c>
      <c r="M250" s="11">
        <f t="shared" si="10"/>
        <v>1</v>
      </c>
      <c r="N250" s="11">
        <f t="shared" si="11"/>
        <v>0</v>
      </c>
    </row>
    <row r="251" spans="1:14" x14ac:dyDescent="0.25">
      <c r="A251" s="12" t="s">
        <v>20</v>
      </c>
      <c r="B251" s="12">
        <f t="shared" si="9"/>
        <v>45078</v>
      </c>
      <c r="C251" s="12" t="str">
        <f>TEXT('Cleaned Datasets'!$B251,"MMMM")</f>
        <v>June</v>
      </c>
      <c r="D251" s="13" t="s">
        <v>37</v>
      </c>
      <c r="E251" s="13" t="s">
        <v>39</v>
      </c>
      <c r="F251" s="13" t="s">
        <v>26</v>
      </c>
      <c r="G251" s="13" t="s">
        <v>53</v>
      </c>
      <c r="H251" s="13" t="s">
        <v>15</v>
      </c>
      <c r="I251" s="13">
        <v>4</v>
      </c>
      <c r="J251" s="13">
        <v>4</v>
      </c>
      <c r="K251" s="13">
        <v>0</v>
      </c>
      <c r="L251" s="13">
        <v>3</v>
      </c>
      <c r="M251" s="14">
        <f t="shared" si="10"/>
        <v>1</v>
      </c>
      <c r="N251" s="14">
        <f t="shared" si="11"/>
        <v>0</v>
      </c>
    </row>
    <row r="252" spans="1:14" x14ac:dyDescent="0.25">
      <c r="A252" s="9" t="s">
        <v>20</v>
      </c>
      <c r="B252" s="9">
        <f t="shared" si="9"/>
        <v>45078</v>
      </c>
      <c r="C252" s="9" t="str">
        <f>TEXT('Cleaned Datasets'!$B252,"MMMM")</f>
        <v>June</v>
      </c>
      <c r="D252" s="10" t="s">
        <v>11</v>
      </c>
      <c r="E252" s="10" t="s">
        <v>12</v>
      </c>
      <c r="F252" s="10" t="s">
        <v>21</v>
      </c>
      <c r="G252" s="10" t="s">
        <v>27</v>
      </c>
      <c r="H252" s="10" t="s">
        <v>19</v>
      </c>
      <c r="I252" s="10">
        <v>3</v>
      </c>
      <c r="J252" s="10">
        <v>3</v>
      </c>
      <c r="K252" s="10">
        <v>0</v>
      </c>
      <c r="L252" s="10">
        <v>4.0999999999999996</v>
      </c>
      <c r="M252" s="11">
        <f t="shared" si="10"/>
        <v>1</v>
      </c>
      <c r="N252" s="11">
        <f t="shared" si="11"/>
        <v>0</v>
      </c>
    </row>
    <row r="253" spans="1:14" x14ac:dyDescent="0.25">
      <c r="A253" s="12" t="s">
        <v>59</v>
      </c>
      <c r="B253" s="12">
        <f t="shared" si="9"/>
        <v>45170</v>
      </c>
      <c r="C253" s="12" t="str">
        <f>TEXT('Cleaned Datasets'!$B253,"MMMM")</f>
        <v>September</v>
      </c>
      <c r="D253" s="13" t="s">
        <v>37</v>
      </c>
      <c r="E253" s="13" t="s">
        <v>39</v>
      </c>
      <c r="F253" s="13" t="s">
        <v>40</v>
      </c>
      <c r="G253" s="13" t="s">
        <v>30</v>
      </c>
      <c r="H253" s="13" t="s">
        <v>19</v>
      </c>
      <c r="I253" s="13">
        <v>5</v>
      </c>
      <c r="J253" s="13">
        <v>4</v>
      </c>
      <c r="K253" s="13">
        <v>0</v>
      </c>
      <c r="L253" s="13">
        <v>2.4</v>
      </c>
      <c r="M253" s="14">
        <f t="shared" si="10"/>
        <v>0.8</v>
      </c>
      <c r="N253" s="14">
        <f t="shared" si="11"/>
        <v>0</v>
      </c>
    </row>
    <row r="254" spans="1:14" x14ac:dyDescent="0.25">
      <c r="A254" s="9" t="s">
        <v>36</v>
      </c>
      <c r="B254" s="9">
        <f t="shared" si="9"/>
        <v>44986</v>
      </c>
      <c r="C254" s="9" t="str">
        <f>TEXT('Cleaned Datasets'!$B254,"MMMM")</f>
        <v>March</v>
      </c>
      <c r="D254" s="10" t="s">
        <v>28</v>
      </c>
      <c r="E254" s="10" t="s">
        <v>58</v>
      </c>
      <c r="F254" s="10" t="s">
        <v>26</v>
      </c>
      <c r="G254" s="10" t="s">
        <v>30</v>
      </c>
      <c r="H254" s="10" t="s">
        <v>15</v>
      </c>
      <c r="I254" s="10">
        <v>7</v>
      </c>
      <c r="J254" s="10">
        <v>7</v>
      </c>
      <c r="K254" s="10">
        <v>0</v>
      </c>
      <c r="L254" s="10">
        <v>3.8</v>
      </c>
      <c r="M254" s="11">
        <f t="shared" si="10"/>
        <v>1</v>
      </c>
      <c r="N254" s="11">
        <f t="shared" si="11"/>
        <v>0</v>
      </c>
    </row>
    <row r="255" spans="1:14" x14ac:dyDescent="0.25">
      <c r="A255" s="12" t="s">
        <v>55</v>
      </c>
      <c r="B255" s="12">
        <f t="shared" si="9"/>
        <v>45261</v>
      </c>
      <c r="C255" s="12" t="str">
        <f>TEXT('Cleaned Datasets'!$B255,"MMMM")</f>
        <v>December</v>
      </c>
      <c r="D255" s="13" t="s">
        <v>37</v>
      </c>
      <c r="E255" s="13" t="s">
        <v>39</v>
      </c>
      <c r="F255" s="13" t="s">
        <v>21</v>
      </c>
      <c r="G255" s="13" t="s">
        <v>14</v>
      </c>
      <c r="H255" s="13" t="s">
        <v>19</v>
      </c>
      <c r="I255" s="13">
        <v>6</v>
      </c>
      <c r="J255" s="13">
        <v>5</v>
      </c>
      <c r="K255" s="13">
        <v>0</v>
      </c>
      <c r="L255" s="13">
        <v>2.8</v>
      </c>
      <c r="M255" s="14">
        <f t="shared" si="10"/>
        <v>0.83333333333333337</v>
      </c>
      <c r="N255" s="14">
        <f t="shared" si="11"/>
        <v>0</v>
      </c>
    </row>
    <row r="256" spans="1:14" x14ac:dyDescent="0.25">
      <c r="A256" s="9" t="s">
        <v>36</v>
      </c>
      <c r="B256" s="9">
        <f t="shared" si="9"/>
        <v>44986</v>
      </c>
      <c r="C256" s="9" t="str">
        <f>TEXT('Cleaned Datasets'!$B256,"MMMM")</f>
        <v>March</v>
      </c>
      <c r="D256" s="10" t="s">
        <v>24</v>
      </c>
      <c r="E256" s="10" t="s">
        <v>25</v>
      </c>
      <c r="F256" s="10" t="s">
        <v>13</v>
      </c>
      <c r="G256" s="10" t="s">
        <v>27</v>
      </c>
      <c r="H256" s="10" t="s">
        <v>19</v>
      </c>
      <c r="I256" s="10">
        <v>3</v>
      </c>
      <c r="J256" s="10">
        <v>3</v>
      </c>
      <c r="K256" s="10">
        <v>0</v>
      </c>
      <c r="L256" s="10">
        <v>0.8</v>
      </c>
      <c r="M256" s="11">
        <f t="shared" si="10"/>
        <v>1</v>
      </c>
      <c r="N256" s="11">
        <f t="shared" si="11"/>
        <v>0</v>
      </c>
    </row>
    <row r="257" spans="1:14" x14ac:dyDescent="0.25">
      <c r="A257" s="12" t="s">
        <v>43</v>
      </c>
      <c r="B257" s="12">
        <f t="shared" si="9"/>
        <v>44958</v>
      </c>
      <c r="C257" s="12" t="str">
        <f>TEXT('Cleaned Datasets'!$B257,"MMMM")</f>
        <v>February</v>
      </c>
      <c r="D257" s="13" t="s">
        <v>41</v>
      </c>
      <c r="E257" s="13" t="s">
        <v>44</v>
      </c>
      <c r="F257" s="13" t="s">
        <v>26</v>
      </c>
      <c r="G257" s="13" t="s">
        <v>18</v>
      </c>
      <c r="H257" s="13" t="s">
        <v>15</v>
      </c>
      <c r="I257" s="13">
        <v>3</v>
      </c>
      <c r="J257" s="13">
        <v>3</v>
      </c>
      <c r="K257" s="13">
        <v>0</v>
      </c>
      <c r="L257" s="13">
        <v>2.2999999999999998</v>
      </c>
      <c r="M257" s="14">
        <f t="shared" si="10"/>
        <v>1</v>
      </c>
      <c r="N257" s="14">
        <f t="shared" si="11"/>
        <v>0</v>
      </c>
    </row>
    <row r="258" spans="1:14" x14ac:dyDescent="0.25">
      <c r="A258" s="9" t="s">
        <v>43</v>
      </c>
      <c r="B258" s="9">
        <f t="shared" si="9"/>
        <v>44958</v>
      </c>
      <c r="C258" s="9" t="str">
        <f>TEXT('Cleaned Datasets'!$B258,"MMMM")</f>
        <v>February</v>
      </c>
      <c r="D258" s="10" t="s">
        <v>56</v>
      </c>
      <c r="E258" s="10" t="s">
        <v>62</v>
      </c>
      <c r="F258" s="10" t="s">
        <v>26</v>
      </c>
      <c r="G258" s="10" t="s">
        <v>27</v>
      </c>
      <c r="H258" s="10" t="s">
        <v>19</v>
      </c>
      <c r="I258" s="10">
        <v>5</v>
      </c>
      <c r="J258" s="10">
        <v>4</v>
      </c>
      <c r="K258" s="10">
        <v>1</v>
      </c>
      <c r="L258" s="10">
        <v>4</v>
      </c>
      <c r="M258" s="11">
        <f t="shared" si="10"/>
        <v>0.8</v>
      </c>
      <c r="N258" s="11">
        <f t="shared" si="11"/>
        <v>0.2</v>
      </c>
    </row>
    <row r="259" spans="1:14" x14ac:dyDescent="0.25">
      <c r="A259" s="12" t="s">
        <v>55</v>
      </c>
      <c r="B259" s="12">
        <f t="shared" ref="B259:B322" si="12">DATE(LEFT(A259,4), RIGHT(A259,2), 1)</f>
        <v>45261</v>
      </c>
      <c r="C259" s="12" t="str">
        <f>TEXT('Cleaned Datasets'!$B259,"MMMM")</f>
        <v>December</v>
      </c>
      <c r="D259" s="13" t="s">
        <v>37</v>
      </c>
      <c r="E259" s="13" t="s">
        <v>39</v>
      </c>
      <c r="F259" s="13" t="s">
        <v>32</v>
      </c>
      <c r="G259" s="13" t="s">
        <v>22</v>
      </c>
      <c r="H259" s="13" t="s">
        <v>19</v>
      </c>
      <c r="I259" s="13">
        <v>3</v>
      </c>
      <c r="J259" s="13">
        <v>3</v>
      </c>
      <c r="K259" s="13">
        <v>0</v>
      </c>
      <c r="L259" s="13">
        <v>3.3</v>
      </c>
      <c r="M259" s="14">
        <f t="shared" ref="M259:M322" si="13">IFERROR(J259/I259,0)</f>
        <v>1</v>
      </c>
      <c r="N259" s="14">
        <f t="shared" ref="N259:N322" si="14">IFERROR(K259/I259,0)</f>
        <v>0</v>
      </c>
    </row>
    <row r="260" spans="1:14" x14ac:dyDescent="0.25">
      <c r="A260" s="9" t="s">
        <v>45</v>
      </c>
      <c r="B260" s="9">
        <f t="shared" si="12"/>
        <v>45047</v>
      </c>
      <c r="C260" s="9" t="str">
        <f>TEXT('Cleaned Datasets'!$B260,"MMMM")</f>
        <v>May</v>
      </c>
      <c r="D260" s="10" t="s">
        <v>34</v>
      </c>
      <c r="E260" s="10" t="s">
        <v>51</v>
      </c>
      <c r="F260" s="10" t="s">
        <v>40</v>
      </c>
      <c r="G260" s="10" t="s">
        <v>30</v>
      </c>
      <c r="H260" s="10" t="s">
        <v>19</v>
      </c>
      <c r="I260" s="10">
        <v>1</v>
      </c>
      <c r="J260" s="10">
        <v>1</v>
      </c>
      <c r="K260" s="10">
        <v>0</v>
      </c>
      <c r="L260" s="10">
        <v>2.5</v>
      </c>
      <c r="M260" s="11">
        <f t="shared" si="13"/>
        <v>1</v>
      </c>
      <c r="N260" s="11">
        <f t="shared" si="14"/>
        <v>0</v>
      </c>
    </row>
    <row r="261" spans="1:14" x14ac:dyDescent="0.25">
      <c r="A261" s="12" t="s">
        <v>50</v>
      </c>
      <c r="B261" s="12">
        <f t="shared" si="12"/>
        <v>45108</v>
      </c>
      <c r="C261" s="12" t="str">
        <f>TEXT('Cleaned Datasets'!$B261,"MMMM")</f>
        <v>July</v>
      </c>
      <c r="D261" s="13" t="s">
        <v>37</v>
      </c>
      <c r="E261" s="13" t="s">
        <v>39</v>
      </c>
      <c r="F261" s="13" t="s">
        <v>32</v>
      </c>
      <c r="G261" s="13" t="s">
        <v>14</v>
      </c>
      <c r="H261" s="13" t="s">
        <v>19</v>
      </c>
      <c r="I261" s="13">
        <v>6</v>
      </c>
      <c r="J261" s="13">
        <v>6</v>
      </c>
      <c r="K261" s="13">
        <v>0</v>
      </c>
      <c r="L261" s="13">
        <v>3.1</v>
      </c>
      <c r="M261" s="14">
        <f t="shared" si="13"/>
        <v>1</v>
      </c>
      <c r="N261" s="14">
        <f t="shared" si="14"/>
        <v>0</v>
      </c>
    </row>
    <row r="262" spans="1:14" x14ac:dyDescent="0.25">
      <c r="A262" s="9" t="s">
        <v>59</v>
      </c>
      <c r="B262" s="9">
        <f t="shared" si="12"/>
        <v>45170</v>
      </c>
      <c r="C262" s="9" t="str">
        <f>TEXT('Cleaned Datasets'!$B262,"MMMM")</f>
        <v>September</v>
      </c>
      <c r="D262" s="10" t="s">
        <v>37</v>
      </c>
      <c r="E262" s="10" t="s">
        <v>39</v>
      </c>
      <c r="F262" s="10" t="s">
        <v>26</v>
      </c>
      <c r="G262" s="10" t="s">
        <v>22</v>
      </c>
      <c r="H262" s="10" t="s">
        <v>15</v>
      </c>
      <c r="I262" s="10">
        <v>8</v>
      </c>
      <c r="J262" s="10">
        <v>8</v>
      </c>
      <c r="K262" s="10">
        <v>0</v>
      </c>
      <c r="L262" s="10">
        <v>4.3</v>
      </c>
      <c r="M262" s="11">
        <f t="shared" si="13"/>
        <v>1</v>
      </c>
      <c r="N262" s="11">
        <f t="shared" si="14"/>
        <v>0</v>
      </c>
    </row>
    <row r="263" spans="1:14" x14ac:dyDescent="0.25">
      <c r="A263" s="12" t="s">
        <v>20</v>
      </c>
      <c r="B263" s="12">
        <f t="shared" si="12"/>
        <v>45078</v>
      </c>
      <c r="C263" s="12" t="str">
        <f>TEXT('Cleaned Datasets'!$B263,"MMMM")</f>
        <v>June</v>
      </c>
      <c r="D263" s="13" t="s">
        <v>56</v>
      </c>
      <c r="E263" s="13" t="s">
        <v>62</v>
      </c>
      <c r="F263" s="13" t="s">
        <v>26</v>
      </c>
      <c r="G263" s="13" t="s">
        <v>27</v>
      </c>
      <c r="H263" s="13" t="s">
        <v>15</v>
      </c>
      <c r="I263" s="13">
        <v>5</v>
      </c>
      <c r="J263" s="13">
        <v>4</v>
      </c>
      <c r="K263" s="13">
        <v>0</v>
      </c>
      <c r="L263" s="13">
        <v>1.3</v>
      </c>
      <c r="M263" s="14">
        <f t="shared" si="13"/>
        <v>0.8</v>
      </c>
      <c r="N263" s="14">
        <f t="shared" si="14"/>
        <v>0</v>
      </c>
    </row>
    <row r="264" spans="1:14" x14ac:dyDescent="0.25">
      <c r="A264" s="9" t="s">
        <v>61</v>
      </c>
      <c r="B264" s="9">
        <f t="shared" si="12"/>
        <v>45231</v>
      </c>
      <c r="C264" s="9" t="str">
        <f>TEXT('Cleaned Datasets'!$B264,"MMMM")</f>
        <v>November</v>
      </c>
      <c r="D264" s="10" t="s">
        <v>37</v>
      </c>
      <c r="E264" s="10" t="s">
        <v>39</v>
      </c>
      <c r="F264" s="10" t="s">
        <v>13</v>
      </c>
      <c r="G264" s="10" t="s">
        <v>22</v>
      </c>
      <c r="H264" s="10" t="s">
        <v>15</v>
      </c>
      <c r="I264" s="10">
        <v>1</v>
      </c>
      <c r="J264" s="10">
        <v>1</v>
      </c>
      <c r="K264" s="10">
        <v>0</v>
      </c>
      <c r="L264" s="10">
        <v>2.4</v>
      </c>
      <c r="M264" s="11">
        <f t="shared" si="13"/>
        <v>1</v>
      </c>
      <c r="N264" s="11">
        <f t="shared" si="14"/>
        <v>0</v>
      </c>
    </row>
    <row r="265" spans="1:14" x14ac:dyDescent="0.25">
      <c r="A265" s="12" t="s">
        <v>33</v>
      </c>
      <c r="B265" s="12">
        <f t="shared" si="12"/>
        <v>44927</v>
      </c>
      <c r="C265" s="12" t="str">
        <f>TEXT('Cleaned Datasets'!$B265,"MMMM")</f>
        <v>January</v>
      </c>
      <c r="D265" s="13" t="s">
        <v>41</v>
      </c>
      <c r="E265" s="13" t="s">
        <v>42</v>
      </c>
      <c r="F265" s="13" t="s">
        <v>40</v>
      </c>
      <c r="G265" s="13" t="s">
        <v>22</v>
      </c>
      <c r="H265" s="13" t="s">
        <v>19</v>
      </c>
      <c r="I265" s="13">
        <v>5</v>
      </c>
      <c r="J265" s="13">
        <v>3</v>
      </c>
      <c r="K265" s="13">
        <v>0</v>
      </c>
      <c r="L265" s="13">
        <v>2.8</v>
      </c>
      <c r="M265" s="14">
        <f t="shared" si="13"/>
        <v>0.6</v>
      </c>
      <c r="N265" s="14">
        <f t="shared" si="14"/>
        <v>0</v>
      </c>
    </row>
    <row r="266" spans="1:14" x14ac:dyDescent="0.25">
      <c r="A266" s="9" t="s">
        <v>31</v>
      </c>
      <c r="B266" s="9">
        <f t="shared" si="12"/>
        <v>45139</v>
      </c>
      <c r="C266" s="9" t="str">
        <f>TEXT('Cleaned Datasets'!$B266,"MMMM")</f>
        <v>August</v>
      </c>
      <c r="D266" s="10" t="s">
        <v>41</v>
      </c>
      <c r="E266" s="10" t="s">
        <v>44</v>
      </c>
      <c r="F266" s="10" t="s">
        <v>32</v>
      </c>
      <c r="G266" s="10" t="s">
        <v>30</v>
      </c>
      <c r="H266" s="10" t="s">
        <v>19</v>
      </c>
      <c r="I266" s="10">
        <v>3</v>
      </c>
      <c r="J266" s="10">
        <v>3</v>
      </c>
      <c r="K266" s="10">
        <v>1</v>
      </c>
      <c r="L266" s="10">
        <v>2.6</v>
      </c>
      <c r="M266" s="11">
        <f t="shared" si="13"/>
        <v>1</v>
      </c>
      <c r="N266" s="11">
        <f t="shared" si="14"/>
        <v>0.33333333333333331</v>
      </c>
    </row>
    <row r="267" spans="1:14" x14ac:dyDescent="0.25">
      <c r="A267" s="12" t="s">
        <v>43</v>
      </c>
      <c r="B267" s="12">
        <f t="shared" si="12"/>
        <v>44958</v>
      </c>
      <c r="C267" s="12" t="str">
        <f>TEXT('Cleaned Datasets'!$B267,"MMMM")</f>
        <v>February</v>
      </c>
      <c r="D267" s="13" t="s">
        <v>41</v>
      </c>
      <c r="E267" s="13" t="s">
        <v>44</v>
      </c>
      <c r="F267" s="13" t="s">
        <v>22</v>
      </c>
      <c r="G267" s="13" t="s">
        <v>18</v>
      </c>
      <c r="H267" s="13" t="s">
        <v>15</v>
      </c>
      <c r="I267" s="13">
        <v>2</v>
      </c>
      <c r="J267" s="13">
        <v>2</v>
      </c>
      <c r="K267" s="13">
        <v>0</v>
      </c>
      <c r="L267" s="13">
        <v>2.9</v>
      </c>
      <c r="M267" s="14">
        <f t="shared" si="13"/>
        <v>1</v>
      </c>
      <c r="N267" s="14">
        <f t="shared" si="14"/>
        <v>0</v>
      </c>
    </row>
    <row r="268" spans="1:14" x14ac:dyDescent="0.25">
      <c r="A268" s="9" t="s">
        <v>59</v>
      </c>
      <c r="B268" s="9">
        <f t="shared" si="12"/>
        <v>45170</v>
      </c>
      <c r="C268" s="9" t="str">
        <f>TEXT('Cleaned Datasets'!$B268,"MMMM")</f>
        <v>September</v>
      </c>
      <c r="D268" s="10" t="s">
        <v>46</v>
      </c>
      <c r="E268" s="10" t="s">
        <v>54</v>
      </c>
      <c r="F268" s="10" t="s">
        <v>26</v>
      </c>
      <c r="G268" s="10" t="s">
        <v>30</v>
      </c>
      <c r="H268" s="10" t="s">
        <v>15</v>
      </c>
      <c r="I268" s="10">
        <v>5</v>
      </c>
      <c r="J268" s="10">
        <v>4</v>
      </c>
      <c r="K268" s="10">
        <v>0</v>
      </c>
      <c r="L268" s="10">
        <v>1.5</v>
      </c>
      <c r="M268" s="11">
        <f t="shared" si="13"/>
        <v>0.8</v>
      </c>
      <c r="N268" s="11">
        <f t="shared" si="14"/>
        <v>0</v>
      </c>
    </row>
    <row r="269" spans="1:14" x14ac:dyDescent="0.25">
      <c r="A269" s="12" t="s">
        <v>55</v>
      </c>
      <c r="B269" s="12">
        <f t="shared" si="12"/>
        <v>45261</v>
      </c>
      <c r="C269" s="12" t="str">
        <f>TEXT('Cleaned Datasets'!$B269,"MMMM")</f>
        <v>December</v>
      </c>
      <c r="D269" s="13" t="s">
        <v>24</v>
      </c>
      <c r="E269" s="13" t="s">
        <v>25</v>
      </c>
      <c r="F269" s="13" t="s">
        <v>26</v>
      </c>
      <c r="G269" s="13" t="s">
        <v>18</v>
      </c>
      <c r="H269" s="13" t="s">
        <v>19</v>
      </c>
      <c r="I269" s="13">
        <v>5</v>
      </c>
      <c r="J269" s="13">
        <v>4</v>
      </c>
      <c r="K269" s="13">
        <v>0</v>
      </c>
      <c r="L269" s="13">
        <v>1.5</v>
      </c>
      <c r="M269" s="14">
        <f t="shared" si="13"/>
        <v>0.8</v>
      </c>
      <c r="N269" s="14">
        <f t="shared" si="14"/>
        <v>0</v>
      </c>
    </row>
    <row r="270" spans="1:14" x14ac:dyDescent="0.25">
      <c r="A270" s="9" t="s">
        <v>31</v>
      </c>
      <c r="B270" s="9">
        <f t="shared" si="12"/>
        <v>45139</v>
      </c>
      <c r="C270" s="9" t="str">
        <f>TEXT('Cleaned Datasets'!$B270,"MMMM")</f>
        <v>August</v>
      </c>
      <c r="D270" s="10" t="s">
        <v>24</v>
      </c>
      <c r="E270" s="10" t="s">
        <v>25</v>
      </c>
      <c r="F270" s="10" t="s">
        <v>40</v>
      </c>
      <c r="G270" s="10" t="s">
        <v>14</v>
      </c>
      <c r="H270" s="10" t="s">
        <v>19</v>
      </c>
      <c r="I270" s="10">
        <v>3</v>
      </c>
      <c r="J270" s="10">
        <v>3</v>
      </c>
      <c r="K270" s="10">
        <v>0</v>
      </c>
      <c r="L270" s="10">
        <v>3.1</v>
      </c>
      <c r="M270" s="11">
        <f t="shared" si="13"/>
        <v>1</v>
      </c>
      <c r="N270" s="11">
        <f t="shared" si="14"/>
        <v>0</v>
      </c>
    </row>
    <row r="271" spans="1:14" x14ac:dyDescent="0.25">
      <c r="A271" s="12" t="s">
        <v>36</v>
      </c>
      <c r="B271" s="12">
        <f t="shared" si="12"/>
        <v>44986</v>
      </c>
      <c r="C271" s="12" t="str">
        <f>TEXT('Cleaned Datasets'!$B271,"MMMM")</f>
        <v>March</v>
      </c>
      <c r="D271" s="13" t="s">
        <v>16</v>
      </c>
      <c r="E271" s="13" t="s">
        <v>60</v>
      </c>
      <c r="F271" s="13" t="s">
        <v>13</v>
      </c>
      <c r="G271" s="13" t="s">
        <v>27</v>
      </c>
      <c r="H271" s="13" t="s">
        <v>15</v>
      </c>
      <c r="I271" s="13">
        <v>5</v>
      </c>
      <c r="J271" s="13">
        <v>5</v>
      </c>
      <c r="K271" s="13">
        <v>2</v>
      </c>
      <c r="L271" s="13">
        <v>3.5</v>
      </c>
      <c r="M271" s="14">
        <f t="shared" si="13"/>
        <v>1</v>
      </c>
      <c r="N271" s="14">
        <f t="shared" si="14"/>
        <v>0.4</v>
      </c>
    </row>
    <row r="272" spans="1:14" x14ac:dyDescent="0.25">
      <c r="A272" s="9" t="s">
        <v>20</v>
      </c>
      <c r="B272" s="9">
        <f t="shared" si="12"/>
        <v>45078</v>
      </c>
      <c r="C272" s="9" t="str">
        <f>TEXT('Cleaned Datasets'!$B272,"MMMM")</f>
        <v>June</v>
      </c>
      <c r="D272" s="10" t="s">
        <v>37</v>
      </c>
      <c r="E272" s="10" t="s">
        <v>38</v>
      </c>
      <c r="F272" s="10" t="s">
        <v>40</v>
      </c>
      <c r="G272" s="10" t="s">
        <v>53</v>
      </c>
      <c r="H272" s="10" t="s">
        <v>19</v>
      </c>
      <c r="I272" s="10">
        <v>6</v>
      </c>
      <c r="J272" s="10">
        <v>6</v>
      </c>
      <c r="K272" s="10">
        <v>0</v>
      </c>
      <c r="L272" s="10">
        <v>3.3</v>
      </c>
      <c r="M272" s="11">
        <f t="shared" si="13"/>
        <v>1</v>
      </c>
      <c r="N272" s="11">
        <f t="shared" si="14"/>
        <v>0</v>
      </c>
    </row>
    <row r="273" spans="1:14" x14ac:dyDescent="0.25">
      <c r="A273" s="12" t="s">
        <v>10</v>
      </c>
      <c r="B273" s="12">
        <f t="shared" si="12"/>
        <v>45017</v>
      </c>
      <c r="C273" s="12" t="str">
        <f>TEXT('Cleaned Datasets'!$B273,"MMMM")</f>
        <v>April</v>
      </c>
      <c r="D273" s="13" t="s">
        <v>56</v>
      </c>
      <c r="E273" s="13" t="s">
        <v>57</v>
      </c>
      <c r="F273" s="13" t="s">
        <v>13</v>
      </c>
      <c r="G273" s="13" t="s">
        <v>22</v>
      </c>
      <c r="H273" s="13" t="s">
        <v>15</v>
      </c>
      <c r="I273" s="13">
        <v>4</v>
      </c>
      <c r="J273" s="13">
        <v>3</v>
      </c>
      <c r="K273" s="13">
        <v>0</v>
      </c>
      <c r="L273" s="13">
        <v>3.5</v>
      </c>
      <c r="M273" s="14">
        <f t="shared" si="13"/>
        <v>0.75</v>
      </c>
      <c r="N273" s="14">
        <f t="shared" si="14"/>
        <v>0</v>
      </c>
    </row>
    <row r="274" spans="1:14" x14ac:dyDescent="0.25">
      <c r="A274" s="9" t="s">
        <v>61</v>
      </c>
      <c r="B274" s="9">
        <f t="shared" si="12"/>
        <v>45231</v>
      </c>
      <c r="C274" s="9" t="str">
        <f>TEXT('Cleaned Datasets'!$B274,"MMMM")</f>
        <v>November</v>
      </c>
      <c r="D274" s="10" t="s">
        <v>46</v>
      </c>
      <c r="E274" s="10" t="s">
        <v>54</v>
      </c>
      <c r="F274" s="10" t="s">
        <v>13</v>
      </c>
      <c r="G274" s="10" t="s">
        <v>22</v>
      </c>
      <c r="H274" s="10" t="s">
        <v>19</v>
      </c>
      <c r="I274" s="10">
        <v>8</v>
      </c>
      <c r="J274" s="10">
        <v>8</v>
      </c>
      <c r="K274" s="10">
        <v>0</v>
      </c>
      <c r="L274" s="10">
        <v>2.4</v>
      </c>
      <c r="M274" s="11">
        <f t="shared" si="13"/>
        <v>1</v>
      </c>
      <c r="N274" s="11">
        <f t="shared" si="14"/>
        <v>0</v>
      </c>
    </row>
    <row r="275" spans="1:14" x14ac:dyDescent="0.25">
      <c r="A275" s="12" t="s">
        <v>10</v>
      </c>
      <c r="B275" s="12">
        <f t="shared" si="12"/>
        <v>45017</v>
      </c>
      <c r="C275" s="12" t="str">
        <f>TEXT('Cleaned Datasets'!$B275,"MMMM")</f>
        <v>April</v>
      </c>
      <c r="D275" s="13" t="s">
        <v>34</v>
      </c>
      <c r="E275" s="13" t="s">
        <v>51</v>
      </c>
      <c r="F275" s="13" t="s">
        <v>40</v>
      </c>
      <c r="G275" s="13" t="s">
        <v>53</v>
      </c>
      <c r="H275" s="13" t="s">
        <v>15</v>
      </c>
      <c r="I275" s="13">
        <v>10</v>
      </c>
      <c r="J275" s="13">
        <v>10</v>
      </c>
      <c r="K275" s="13">
        <v>1</v>
      </c>
      <c r="L275" s="13">
        <v>4.4000000000000004</v>
      </c>
      <c r="M275" s="14">
        <f t="shared" si="13"/>
        <v>1</v>
      </c>
      <c r="N275" s="14">
        <f t="shared" si="14"/>
        <v>0.1</v>
      </c>
    </row>
    <row r="276" spans="1:14" x14ac:dyDescent="0.25">
      <c r="A276" s="9" t="s">
        <v>10</v>
      </c>
      <c r="B276" s="9">
        <f t="shared" si="12"/>
        <v>45017</v>
      </c>
      <c r="C276" s="9" t="str">
        <f>TEXT('Cleaned Datasets'!$B276,"MMMM")</f>
        <v>April</v>
      </c>
      <c r="D276" s="10" t="s">
        <v>34</v>
      </c>
      <c r="E276" s="10" t="s">
        <v>35</v>
      </c>
      <c r="F276" s="10" t="s">
        <v>21</v>
      </c>
      <c r="G276" s="10" t="s">
        <v>27</v>
      </c>
      <c r="H276" s="10" t="s">
        <v>19</v>
      </c>
      <c r="I276" s="10">
        <v>6</v>
      </c>
      <c r="J276" s="10">
        <v>5</v>
      </c>
      <c r="K276" s="10">
        <v>1</v>
      </c>
      <c r="L276" s="10">
        <v>3</v>
      </c>
      <c r="M276" s="11">
        <f t="shared" si="13"/>
        <v>0.83333333333333337</v>
      </c>
      <c r="N276" s="11">
        <f t="shared" si="14"/>
        <v>0.16666666666666666</v>
      </c>
    </row>
    <row r="277" spans="1:14" x14ac:dyDescent="0.25">
      <c r="A277" s="12" t="s">
        <v>36</v>
      </c>
      <c r="B277" s="12">
        <f t="shared" si="12"/>
        <v>44986</v>
      </c>
      <c r="C277" s="12" t="str">
        <f>TEXT('Cleaned Datasets'!$B277,"MMMM")</f>
        <v>March</v>
      </c>
      <c r="D277" s="13" t="s">
        <v>28</v>
      </c>
      <c r="E277" s="13" t="s">
        <v>29</v>
      </c>
      <c r="F277" s="13" t="s">
        <v>26</v>
      </c>
      <c r="G277" s="13" t="s">
        <v>53</v>
      </c>
      <c r="H277" s="13" t="s">
        <v>19</v>
      </c>
      <c r="I277" s="13">
        <v>5</v>
      </c>
      <c r="J277" s="13">
        <v>4</v>
      </c>
      <c r="K277" s="13">
        <v>0</v>
      </c>
      <c r="L277" s="13">
        <v>2.6</v>
      </c>
      <c r="M277" s="14">
        <f t="shared" si="13"/>
        <v>0.8</v>
      </c>
      <c r="N277" s="14">
        <f t="shared" si="14"/>
        <v>0</v>
      </c>
    </row>
    <row r="278" spans="1:14" x14ac:dyDescent="0.25">
      <c r="A278" s="9" t="s">
        <v>10</v>
      </c>
      <c r="B278" s="9">
        <f t="shared" si="12"/>
        <v>45017</v>
      </c>
      <c r="C278" s="9" t="str">
        <f>TEXT('Cleaned Datasets'!$B278,"MMMM")</f>
        <v>April</v>
      </c>
      <c r="D278" s="10" t="s">
        <v>11</v>
      </c>
      <c r="E278" s="10" t="s">
        <v>52</v>
      </c>
      <c r="F278" s="10" t="s">
        <v>21</v>
      </c>
      <c r="G278" s="10" t="s">
        <v>18</v>
      </c>
      <c r="H278" s="10" t="s">
        <v>15</v>
      </c>
      <c r="I278" s="10">
        <v>2</v>
      </c>
      <c r="J278" s="10">
        <v>0</v>
      </c>
      <c r="K278" s="10">
        <v>0</v>
      </c>
      <c r="L278" s="10">
        <v>2.5</v>
      </c>
      <c r="M278" s="11">
        <f t="shared" si="13"/>
        <v>0</v>
      </c>
      <c r="N278" s="11">
        <f t="shared" si="14"/>
        <v>0</v>
      </c>
    </row>
    <row r="279" spans="1:14" x14ac:dyDescent="0.25">
      <c r="A279" s="12" t="s">
        <v>33</v>
      </c>
      <c r="B279" s="12">
        <f t="shared" si="12"/>
        <v>44927</v>
      </c>
      <c r="C279" s="12" t="str">
        <f>TEXT('Cleaned Datasets'!$B279,"MMMM")</f>
        <v>January</v>
      </c>
      <c r="D279" s="13" t="s">
        <v>11</v>
      </c>
      <c r="E279" s="13" t="s">
        <v>52</v>
      </c>
      <c r="F279" s="13" t="s">
        <v>40</v>
      </c>
      <c r="G279" s="13" t="s">
        <v>27</v>
      </c>
      <c r="H279" s="13" t="s">
        <v>15</v>
      </c>
      <c r="I279" s="13">
        <v>3</v>
      </c>
      <c r="J279" s="13">
        <v>3</v>
      </c>
      <c r="K279" s="13">
        <v>0</v>
      </c>
      <c r="L279" s="13">
        <v>3.9</v>
      </c>
      <c r="M279" s="14">
        <f t="shared" si="13"/>
        <v>1</v>
      </c>
      <c r="N279" s="14">
        <f t="shared" si="14"/>
        <v>0</v>
      </c>
    </row>
    <row r="280" spans="1:14" x14ac:dyDescent="0.25">
      <c r="A280" s="9" t="s">
        <v>43</v>
      </c>
      <c r="B280" s="9">
        <f t="shared" si="12"/>
        <v>44958</v>
      </c>
      <c r="C280" s="9" t="str">
        <f>TEXT('Cleaned Datasets'!$B280,"MMMM")</f>
        <v>February</v>
      </c>
      <c r="D280" s="10" t="s">
        <v>24</v>
      </c>
      <c r="E280" s="10" t="s">
        <v>64</v>
      </c>
      <c r="F280" s="10" t="s">
        <v>13</v>
      </c>
      <c r="G280" s="10" t="s">
        <v>53</v>
      </c>
      <c r="H280" s="10" t="s">
        <v>15</v>
      </c>
      <c r="I280" s="10">
        <v>7</v>
      </c>
      <c r="J280" s="10">
        <v>7</v>
      </c>
      <c r="K280" s="10">
        <v>0</v>
      </c>
      <c r="L280" s="10">
        <v>2.8</v>
      </c>
      <c r="M280" s="11">
        <f t="shared" si="13"/>
        <v>1</v>
      </c>
      <c r="N280" s="11">
        <f t="shared" si="14"/>
        <v>0</v>
      </c>
    </row>
    <row r="281" spans="1:14" x14ac:dyDescent="0.25">
      <c r="A281" s="12" t="s">
        <v>20</v>
      </c>
      <c r="B281" s="12">
        <f t="shared" si="12"/>
        <v>45078</v>
      </c>
      <c r="C281" s="12" t="str">
        <f>TEXT('Cleaned Datasets'!$B281,"MMMM")</f>
        <v>June</v>
      </c>
      <c r="D281" s="13" t="s">
        <v>48</v>
      </c>
      <c r="E281" s="13" t="s">
        <v>49</v>
      </c>
      <c r="F281" s="13" t="s">
        <v>22</v>
      </c>
      <c r="G281" s="13" t="s">
        <v>30</v>
      </c>
      <c r="H281" s="13" t="s">
        <v>15</v>
      </c>
      <c r="I281" s="13">
        <v>3</v>
      </c>
      <c r="J281" s="13">
        <v>2</v>
      </c>
      <c r="K281" s="13">
        <v>0</v>
      </c>
      <c r="L281" s="13">
        <v>2.5</v>
      </c>
      <c r="M281" s="14">
        <f t="shared" si="13"/>
        <v>0.66666666666666663</v>
      </c>
      <c r="N281" s="14">
        <f t="shared" si="14"/>
        <v>0</v>
      </c>
    </row>
    <row r="282" spans="1:14" x14ac:dyDescent="0.25">
      <c r="A282" s="9" t="s">
        <v>10</v>
      </c>
      <c r="B282" s="9">
        <f t="shared" si="12"/>
        <v>45017</v>
      </c>
      <c r="C282" s="9" t="str">
        <f>TEXT('Cleaned Datasets'!$B282,"MMMM")</f>
        <v>April</v>
      </c>
      <c r="D282" s="10" t="s">
        <v>11</v>
      </c>
      <c r="E282" s="10" t="s">
        <v>12</v>
      </c>
      <c r="F282" s="10" t="s">
        <v>21</v>
      </c>
      <c r="G282" s="10" t="s">
        <v>53</v>
      </c>
      <c r="H282" s="10" t="s">
        <v>15</v>
      </c>
      <c r="I282" s="10">
        <v>4</v>
      </c>
      <c r="J282" s="10">
        <v>4</v>
      </c>
      <c r="K282" s="10">
        <v>0</v>
      </c>
      <c r="L282" s="10">
        <v>1.4</v>
      </c>
      <c r="M282" s="11">
        <f t="shared" si="13"/>
        <v>1</v>
      </c>
      <c r="N282" s="11">
        <f t="shared" si="14"/>
        <v>0</v>
      </c>
    </row>
    <row r="283" spans="1:14" x14ac:dyDescent="0.25">
      <c r="A283" s="12" t="s">
        <v>55</v>
      </c>
      <c r="B283" s="12">
        <f t="shared" si="12"/>
        <v>45261</v>
      </c>
      <c r="C283" s="12" t="str">
        <f>TEXT('Cleaned Datasets'!$B283,"MMMM")</f>
        <v>December</v>
      </c>
      <c r="D283" s="13" t="s">
        <v>34</v>
      </c>
      <c r="E283" s="13" t="s">
        <v>51</v>
      </c>
      <c r="F283" s="13" t="s">
        <v>22</v>
      </c>
      <c r="G283" s="13" t="s">
        <v>22</v>
      </c>
      <c r="H283" s="13" t="s">
        <v>15</v>
      </c>
      <c r="I283" s="13">
        <v>6</v>
      </c>
      <c r="J283" s="13">
        <v>6</v>
      </c>
      <c r="K283" s="13">
        <v>0</v>
      </c>
      <c r="L283" s="13">
        <v>2.2000000000000002</v>
      </c>
      <c r="M283" s="14">
        <f t="shared" si="13"/>
        <v>1</v>
      </c>
      <c r="N283" s="14">
        <f t="shared" si="14"/>
        <v>0</v>
      </c>
    </row>
    <row r="284" spans="1:14" x14ac:dyDescent="0.25">
      <c r="A284" s="9" t="s">
        <v>10</v>
      </c>
      <c r="B284" s="9">
        <f t="shared" si="12"/>
        <v>45017</v>
      </c>
      <c r="C284" s="9" t="str">
        <f>TEXT('Cleaned Datasets'!$B284,"MMMM")</f>
        <v>April</v>
      </c>
      <c r="D284" s="10" t="s">
        <v>28</v>
      </c>
      <c r="E284" s="10" t="s">
        <v>58</v>
      </c>
      <c r="F284" s="10" t="s">
        <v>26</v>
      </c>
      <c r="G284" s="10" t="s">
        <v>30</v>
      </c>
      <c r="H284" s="10" t="s">
        <v>19</v>
      </c>
      <c r="I284" s="10">
        <v>7</v>
      </c>
      <c r="J284" s="10">
        <v>7</v>
      </c>
      <c r="K284" s="10">
        <v>0</v>
      </c>
      <c r="L284" s="10">
        <v>2.4</v>
      </c>
      <c r="M284" s="11">
        <f t="shared" si="13"/>
        <v>1</v>
      </c>
      <c r="N284" s="11">
        <f t="shared" si="14"/>
        <v>0</v>
      </c>
    </row>
    <row r="285" spans="1:14" x14ac:dyDescent="0.25">
      <c r="A285" s="12" t="s">
        <v>33</v>
      </c>
      <c r="B285" s="12">
        <f t="shared" si="12"/>
        <v>44927</v>
      </c>
      <c r="C285" s="12" t="str">
        <f>TEXT('Cleaned Datasets'!$B285,"MMMM")</f>
        <v>January</v>
      </c>
      <c r="D285" s="13" t="s">
        <v>41</v>
      </c>
      <c r="E285" s="13" t="s">
        <v>44</v>
      </c>
      <c r="F285" s="13" t="s">
        <v>22</v>
      </c>
      <c r="G285" s="13" t="s">
        <v>14</v>
      </c>
      <c r="H285" s="13" t="s">
        <v>15</v>
      </c>
      <c r="I285" s="13">
        <v>7</v>
      </c>
      <c r="J285" s="13">
        <v>6</v>
      </c>
      <c r="K285" s="13">
        <v>0</v>
      </c>
      <c r="L285" s="13">
        <v>3.2</v>
      </c>
      <c r="M285" s="14">
        <f t="shared" si="13"/>
        <v>0.8571428571428571</v>
      </c>
      <c r="N285" s="14">
        <f t="shared" si="14"/>
        <v>0</v>
      </c>
    </row>
    <row r="286" spans="1:14" x14ac:dyDescent="0.25">
      <c r="A286" s="9" t="s">
        <v>45</v>
      </c>
      <c r="B286" s="9">
        <f t="shared" si="12"/>
        <v>45047</v>
      </c>
      <c r="C286" s="9" t="str">
        <f>TEXT('Cleaned Datasets'!$B286,"MMMM")</f>
        <v>May</v>
      </c>
      <c r="D286" s="10" t="s">
        <v>46</v>
      </c>
      <c r="E286" s="10" t="s">
        <v>47</v>
      </c>
      <c r="F286" s="10" t="s">
        <v>26</v>
      </c>
      <c r="G286" s="10" t="s">
        <v>18</v>
      </c>
      <c r="H286" s="10" t="s">
        <v>15</v>
      </c>
      <c r="I286" s="10">
        <v>4</v>
      </c>
      <c r="J286" s="10">
        <v>3</v>
      </c>
      <c r="K286" s="10">
        <v>0</v>
      </c>
      <c r="L286" s="10">
        <v>3</v>
      </c>
      <c r="M286" s="11">
        <f t="shared" si="13"/>
        <v>0.75</v>
      </c>
      <c r="N286" s="11">
        <f t="shared" si="14"/>
        <v>0</v>
      </c>
    </row>
    <row r="287" spans="1:14" x14ac:dyDescent="0.25">
      <c r="A287" s="12" t="s">
        <v>20</v>
      </c>
      <c r="B287" s="12">
        <f t="shared" si="12"/>
        <v>45078</v>
      </c>
      <c r="C287" s="12" t="str">
        <f>TEXT('Cleaned Datasets'!$B287,"MMMM")</f>
        <v>June</v>
      </c>
      <c r="D287" s="13" t="s">
        <v>48</v>
      </c>
      <c r="E287" s="13" t="s">
        <v>63</v>
      </c>
      <c r="F287" s="13" t="s">
        <v>13</v>
      </c>
      <c r="G287" s="13" t="s">
        <v>22</v>
      </c>
      <c r="H287" s="13" t="s">
        <v>15</v>
      </c>
      <c r="I287" s="13">
        <v>3</v>
      </c>
      <c r="J287" s="13">
        <v>2</v>
      </c>
      <c r="K287" s="13">
        <v>0</v>
      </c>
      <c r="L287" s="13">
        <v>3</v>
      </c>
      <c r="M287" s="14">
        <f t="shared" si="13"/>
        <v>0.66666666666666663</v>
      </c>
      <c r="N287" s="14">
        <f t="shared" si="14"/>
        <v>0</v>
      </c>
    </row>
    <row r="288" spans="1:14" x14ac:dyDescent="0.25">
      <c r="A288" s="9" t="s">
        <v>31</v>
      </c>
      <c r="B288" s="9">
        <f t="shared" si="12"/>
        <v>45139</v>
      </c>
      <c r="C288" s="9" t="str">
        <f>TEXT('Cleaned Datasets'!$B288,"MMMM")</f>
        <v>August</v>
      </c>
      <c r="D288" s="10" t="s">
        <v>37</v>
      </c>
      <c r="E288" s="10" t="s">
        <v>38</v>
      </c>
      <c r="F288" s="10" t="s">
        <v>13</v>
      </c>
      <c r="G288" s="10" t="s">
        <v>53</v>
      </c>
      <c r="H288" s="10" t="s">
        <v>19</v>
      </c>
      <c r="I288" s="10">
        <v>3</v>
      </c>
      <c r="J288" s="10">
        <v>3</v>
      </c>
      <c r="K288" s="10">
        <v>0</v>
      </c>
      <c r="L288" s="10">
        <v>2.5</v>
      </c>
      <c r="M288" s="11">
        <f t="shared" si="13"/>
        <v>1</v>
      </c>
      <c r="N288" s="11">
        <f t="shared" si="14"/>
        <v>0</v>
      </c>
    </row>
    <row r="289" spans="1:14" x14ac:dyDescent="0.25">
      <c r="A289" s="12" t="s">
        <v>55</v>
      </c>
      <c r="B289" s="12">
        <f t="shared" si="12"/>
        <v>45261</v>
      </c>
      <c r="C289" s="12" t="str">
        <f>TEXT('Cleaned Datasets'!$B289,"MMMM")</f>
        <v>December</v>
      </c>
      <c r="D289" s="13" t="s">
        <v>37</v>
      </c>
      <c r="E289" s="13" t="s">
        <v>38</v>
      </c>
      <c r="F289" s="13" t="s">
        <v>21</v>
      </c>
      <c r="G289" s="13" t="s">
        <v>22</v>
      </c>
      <c r="H289" s="13" t="s">
        <v>19</v>
      </c>
      <c r="I289" s="13">
        <v>7</v>
      </c>
      <c r="J289" s="13">
        <v>6</v>
      </c>
      <c r="K289" s="13">
        <v>0</v>
      </c>
      <c r="L289" s="13">
        <v>3.9</v>
      </c>
      <c r="M289" s="14">
        <f t="shared" si="13"/>
        <v>0.8571428571428571</v>
      </c>
      <c r="N289" s="14">
        <f t="shared" si="14"/>
        <v>0</v>
      </c>
    </row>
    <row r="290" spans="1:14" x14ac:dyDescent="0.25">
      <c r="A290" s="9" t="s">
        <v>59</v>
      </c>
      <c r="B290" s="9">
        <f t="shared" si="12"/>
        <v>45170</v>
      </c>
      <c r="C290" s="9" t="str">
        <f>TEXT('Cleaned Datasets'!$B290,"MMMM")</f>
        <v>September</v>
      </c>
      <c r="D290" s="10" t="s">
        <v>24</v>
      </c>
      <c r="E290" s="10" t="s">
        <v>25</v>
      </c>
      <c r="F290" s="10" t="s">
        <v>21</v>
      </c>
      <c r="G290" s="10" t="s">
        <v>18</v>
      </c>
      <c r="H290" s="10" t="s">
        <v>15</v>
      </c>
      <c r="I290" s="10">
        <v>2</v>
      </c>
      <c r="J290" s="10">
        <v>2</v>
      </c>
      <c r="K290" s="10">
        <v>0</v>
      </c>
      <c r="L290" s="10">
        <v>3.2</v>
      </c>
      <c r="M290" s="11">
        <f t="shared" si="13"/>
        <v>1</v>
      </c>
      <c r="N290" s="11">
        <f t="shared" si="14"/>
        <v>0</v>
      </c>
    </row>
    <row r="291" spans="1:14" x14ac:dyDescent="0.25">
      <c r="A291" s="12" t="s">
        <v>61</v>
      </c>
      <c r="B291" s="12">
        <f t="shared" si="12"/>
        <v>45231</v>
      </c>
      <c r="C291" s="12" t="str">
        <f>TEXT('Cleaned Datasets'!$B291,"MMMM")</f>
        <v>November</v>
      </c>
      <c r="D291" s="13" t="s">
        <v>24</v>
      </c>
      <c r="E291" s="13" t="s">
        <v>64</v>
      </c>
      <c r="F291" s="13" t="s">
        <v>40</v>
      </c>
      <c r="G291" s="13" t="s">
        <v>53</v>
      </c>
      <c r="H291" s="13" t="s">
        <v>19</v>
      </c>
      <c r="I291" s="13">
        <v>7</v>
      </c>
      <c r="J291" s="13">
        <v>7</v>
      </c>
      <c r="K291" s="13">
        <v>2</v>
      </c>
      <c r="L291" s="13">
        <v>3.1</v>
      </c>
      <c r="M291" s="14">
        <f t="shared" si="13"/>
        <v>1</v>
      </c>
      <c r="N291" s="14">
        <f t="shared" si="14"/>
        <v>0.2857142857142857</v>
      </c>
    </row>
    <row r="292" spans="1:14" x14ac:dyDescent="0.25">
      <c r="A292" s="9" t="s">
        <v>43</v>
      </c>
      <c r="B292" s="9">
        <f t="shared" si="12"/>
        <v>44958</v>
      </c>
      <c r="C292" s="9" t="str">
        <f>TEXT('Cleaned Datasets'!$B292,"MMMM")</f>
        <v>February</v>
      </c>
      <c r="D292" s="10" t="s">
        <v>16</v>
      </c>
      <c r="E292" s="10" t="s">
        <v>17</v>
      </c>
      <c r="F292" s="10" t="s">
        <v>26</v>
      </c>
      <c r="G292" s="10" t="s">
        <v>27</v>
      </c>
      <c r="H292" s="10" t="s">
        <v>15</v>
      </c>
      <c r="I292" s="10">
        <v>5</v>
      </c>
      <c r="J292" s="10">
        <v>5</v>
      </c>
      <c r="K292" s="10">
        <v>0</v>
      </c>
      <c r="L292" s="10">
        <v>4.2</v>
      </c>
      <c r="M292" s="11">
        <f t="shared" si="13"/>
        <v>1</v>
      </c>
      <c r="N292" s="11">
        <f t="shared" si="14"/>
        <v>0</v>
      </c>
    </row>
    <row r="293" spans="1:14" x14ac:dyDescent="0.25">
      <c r="A293" s="12" t="s">
        <v>20</v>
      </c>
      <c r="B293" s="12">
        <f t="shared" si="12"/>
        <v>45078</v>
      </c>
      <c r="C293" s="12" t="str">
        <f>TEXT('Cleaned Datasets'!$B293,"MMMM")</f>
        <v>June</v>
      </c>
      <c r="D293" s="13" t="s">
        <v>48</v>
      </c>
      <c r="E293" s="13" t="s">
        <v>63</v>
      </c>
      <c r="F293" s="13" t="s">
        <v>13</v>
      </c>
      <c r="G293" s="13" t="s">
        <v>14</v>
      </c>
      <c r="H293" s="13" t="s">
        <v>19</v>
      </c>
      <c r="I293" s="13">
        <v>7</v>
      </c>
      <c r="J293" s="13">
        <v>7</v>
      </c>
      <c r="K293" s="13">
        <v>0</v>
      </c>
      <c r="L293" s="13">
        <v>2.7</v>
      </c>
      <c r="M293" s="14">
        <f t="shared" si="13"/>
        <v>1</v>
      </c>
      <c r="N293" s="14">
        <f t="shared" si="14"/>
        <v>0</v>
      </c>
    </row>
    <row r="294" spans="1:14" x14ac:dyDescent="0.25">
      <c r="A294" s="9" t="s">
        <v>20</v>
      </c>
      <c r="B294" s="9">
        <f t="shared" si="12"/>
        <v>45078</v>
      </c>
      <c r="C294" s="9" t="str">
        <f>TEXT('Cleaned Datasets'!$B294,"MMMM")</f>
        <v>June</v>
      </c>
      <c r="D294" s="10" t="s">
        <v>41</v>
      </c>
      <c r="E294" s="10" t="s">
        <v>44</v>
      </c>
      <c r="F294" s="10" t="s">
        <v>26</v>
      </c>
      <c r="G294" s="10" t="s">
        <v>14</v>
      </c>
      <c r="H294" s="10" t="s">
        <v>19</v>
      </c>
      <c r="I294" s="10">
        <v>6</v>
      </c>
      <c r="J294" s="10">
        <v>4</v>
      </c>
      <c r="K294" s="10">
        <v>0</v>
      </c>
      <c r="L294" s="10">
        <v>2.5</v>
      </c>
      <c r="M294" s="11">
        <f t="shared" si="13"/>
        <v>0.66666666666666663</v>
      </c>
      <c r="N294" s="11">
        <f t="shared" si="14"/>
        <v>0</v>
      </c>
    </row>
    <row r="295" spans="1:14" x14ac:dyDescent="0.25">
      <c r="A295" s="12" t="s">
        <v>10</v>
      </c>
      <c r="B295" s="12">
        <f t="shared" si="12"/>
        <v>45017</v>
      </c>
      <c r="C295" s="12" t="str">
        <f>TEXT('Cleaned Datasets'!$B295,"MMMM")</f>
        <v>April</v>
      </c>
      <c r="D295" s="13" t="s">
        <v>48</v>
      </c>
      <c r="E295" s="13" t="s">
        <v>49</v>
      </c>
      <c r="F295" s="13" t="s">
        <v>40</v>
      </c>
      <c r="G295" s="13" t="s">
        <v>22</v>
      </c>
      <c r="H295" s="13" t="s">
        <v>19</v>
      </c>
      <c r="I295" s="13">
        <v>4</v>
      </c>
      <c r="J295" s="13">
        <v>4</v>
      </c>
      <c r="K295" s="13">
        <v>0</v>
      </c>
      <c r="L295" s="13">
        <v>2.8</v>
      </c>
      <c r="M295" s="14">
        <f t="shared" si="13"/>
        <v>1</v>
      </c>
      <c r="N295" s="14">
        <f t="shared" si="14"/>
        <v>0</v>
      </c>
    </row>
    <row r="296" spans="1:14" x14ac:dyDescent="0.25">
      <c r="A296" s="9" t="s">
        <v>50</v>
      </c>
      <c r="B296" s="9">
        <f t="shared" si="12"/>
        <v>45108</v>
      </c>
      <c r="C296" s="9" t="str">
        <f>TEXT('Cleaned Datasets'!$B296,"MMMM")</f>
        <v>July</v>
      </c>
      <c r="D296" s="10" t="s">
        <v>56</v>
      </c>
      <c r="E296" s="10" t="s">
        <v>62</v>
      </c>
      <c r="F296" s="10" t="s">
        <v>21</v>
      </c>
      <c r="G296" s="10" t="s">
        <v>18</v>
      </c>
      <c r="H296" s="10" t="s">
        <v>15</v>
      </c>
      <c r="I296" s="10">
        <v>1</v>
      </c>
      <c r="J296" s="10">
        <v>1</v>
      </c>
      <c r="K296" s="10">
        <v>0</v>
      </c>
      <c r="L296" s="10">
        <v>3.8</v>
      </c>
      <c r="M296" s="11">
        <f t="shared" si="13"/>
        <v>1</v>
      </c>
      <c r="N296" s="11">
        <f t="shared" si="14"/>
        <v>0</v>
      </c>
    </row>
    <row r="297" spans="1:14" x14ac:dyDescent="0.25">
      <c r="A297" s="12" t="s">
        <v>50</v>
      </c>
      <c r="B297" s="12">
        <f t="shared" si="12"/>
        <v>45108</v>
      </c>
      <c r="C297" s="12" t="str">
        <f>TEXT('Cleaned Datasets'!$B297,"MMMM")</f>
        <v>July</v>
      </c>
      <c r="D297" s="13" t="s">
        <v>37</v>
      </c>
      <c r="E297" s="13" t="s">
        <v>38</v>
      </c>
      <c r="F297" s="13" t="s">
        <v>40</v>
      </c>
      <c r="G297" s="13" t="s">
        <v>22</v>
      </c>
      <c r="H297" s="13" t="s">
        <v>15</v>
      </c>
      <c r="I297" s="13">
        <v>1</v>
      </c>
      <c r="J297" s="13">
        <v>1</v>
      </c>
      <c r="K297" s="13">
        <v>1</v>
      </c>
      <c r="L297" s="13">
        <v>0.6</v>
      </c>
      <c r="M297" s="14">
        <f t="shared" si="13"/>
        <v>1</v>
      </c>
      <c r="N297" s="14">
        <f t="shared" si="14"/>
        <v>1</v>
      </c>
    </row>
    <row r="298" spans="1:14" x14ac:dyDescent="0.25">
      <c r="A298" s="9" t="s">
        <v>50</v>
      </c>
      <c r="B298" s="9">
        <f t="shared" si="12"/>
        <v>45108</v>
      </c>
      <c r="C298" s="9" t="str">
        <f>TEXT('Cleaned Datasets'!$B298,"MMMM")</f>
        <v>July</v>
      </c>
      <c r="D298" s="10" t="s">
        <v>46</v>
      </c>
      <c r="E298" s="10" t="s">
        <v>54</v>
      </c>
      <c r="F298" s="10" t="s">
        <v>22</v>
      </c>
      <c r="G298" s="10" t="s">
        <v>14</v>
      </c>
      <c r="H298" s="10" t="s">
        <v>19</v>
      </c>
      <c r="I298" s="10">
        <v>7</v>
      </c>
      <c r="J298" s="10">
        <v>7</v>
      </c>
      <c r="K298" s="10">
        <v>1</v>
      </c>
      <c r="L298" s="10">
        <v>2.8</v>
      </c>
      <c r="M298" s="11">
        <f t="shared" si="13"/>
        <v>1</v>
      </c>
      <c r="N298" s="11">
        <f t="shared" si="14"/>
        <v>0.14285714285714285</v>
      </c>
    </row>
    <row r="299" spans="1:14" x14ac:dyDescent="0.25">
      <c r="A299" s="12" t="s">
        <v>33</v>
      </c>
      <c r="B299" s="12">
        <f t="shared" si="12"/>
        <v>44927</v>
      </c>
      <c r="C299" s="12" t="str">
        <f>TEXT('Cleaned Datasets'!$B299,"MMMM")</f>
        <v>January</v>
      </c>
      <c r="D299" s="13" t="s">
        <v>24</v>
      </c>
      <c r="E299" s="13" t="s">
        <v>25</v>
      </c>
      <c r="F299" s="13" t="s">
        <v>13</v>
      </c>
      <c r="G299" s="13" t="s">
        <v>53</v>
      </c>
      <c r="H299" s="13" t="s">
        <v>15</v>
      </c>
      <c r="I299" s="13">
        <v>1</v>
      </c>
      <c r="J299" s="13">
        <v>1</v>
      </c>
      <c r="K299" s="13">
        <v>0</v>
      </c>
      <c r="L299" s="13">
        <v>3.2</v>
      </c>
      <c r="M299" s="14">
        <f t="shared" si="13"/>
        <v>1</v>
      </c>
      <c r="N299" s="14">
        <f t="shared" si="14"/>
        <v>0</v>
      </c>
    </row>
    <row r="300" spans="1:14" x14ac:dyDescent="0.25">
      <c r="A300" s="9" t="s">
        <v>33</v>
      </c>
      <c r="B300" s="9">
        <f t="shared" si="12"/>
        <v>44927</v>
      </c>
      <c r="C300" s="9" t="str">
        <f>TEXT('Cleaned Datasets'!$B300,"MMMM")</f>
        <v>January</v>
      </c>
      <c r="D300" s="10" t="s">
        <v>16</v>
      </c>
      <c r="E300" s="10" t="s">
        <v>17</v>
      </c>
      <c r="F300" s="10" t="s">
        <v>13</v>
      </c>
      <c r="G300" s="10" t="s">
        <v>18</v>
      </c>
      <c r="H300" s="10" t="s">
        <v>19</v>
      </c>
      <c r="I300" s="10">
        <v>3</v>
      </c>
      <c r="J300" s="10">
        <v>3</v>
      </c>
      <c r="K300" s="10">
        <v>0</v>
      </c>
      <c r="L300" s="10">
        <v>3.7</v>
      </c>
      <c r="M300" s="11">
        <f t="shared" si="13"/>
        <v>1</v>
      </c>
      <c r="N300" s="11">
        <f t="shared" si="14"/>
        <v>0</v>
      </c>
    </row>
    <row r="301" spans="1:14" x14ac:dyDescent="0.25">
      <c r="A301" s="12" t="s">
        <v>55</v>
      </c>
      <c r="B301" s="12">
        <f t="shared" si="12"/>
        <v>45261</v>
      </c>
      <c r="C301" s="12" t="str">
        <f>TEXT('Cleaned Datasets'!$B301,"MMMM")</f>
        <v>December</v>
      </c>
      <c r="D301" s="13" t="s">
        <v>46</v>
      </c>
      <c r="E301" s="13" t="s">
        <v>47</v>
      </c>
      <c r="F301" s="13" t="s">
        <v>22</v>
      </c>
      <c r="G301" s="13" t="s">
        <v>22</v>
      </c>
      <c r="H301" s="13" t="s">
        <v>19</v>
      </c>
      <c r="I301" s="13">
        <v>3</v>
      </c>
      <c r="J301" s="13">
        <v>3</v>
      </c>
      <c r="K301" s="13">
        <v>0</v>
      </c>
      <c r="L301" s="13">
        <v>3.7</v>
      </c>
      <c r="M301" s="14">
        <f t="shared" si="13"/>
        <v>1</v>
      </c>
      <c r="N301" s="14">
        <f t="shared" si="14"/>
        <v>0</v>
      </c>
    </row>
    <row r="302" spans="1:14" x14ac:dyDescent="0.25">
      <c r="A302" s="9" t="s">
        <v>45</v>
      </c>
      <c r="B302" s="9">
        <f t="shared" si="12"/>
        <v>45047</v>
      </c>
      <c r="C302" s="9" t="str">
        <f>TEXT('Cleaned Datasets'!$B302,"MMMM")</f>
        <v>May</v>
      </c>
      <c r="D302" s="10" t="s">
        <v>37</v>
      </c>
      <c r="E302" s="10" t="s">
        <v>39</v>
      </c>
      <c r="F302" s="10" t="s">
        <v>21</v>
      </c>
      <c r="G302" s="10" t="s">
        <v>27</v>
      </c>
      <c r="H302" s="10" t="s">
        <v>19</v>
      </c>
      <c r="I302" s="10">
        <v>8</v>
      </c>
      <c r="J302" s="10">
        <v>5</v>
      </c>
      <c r="K302" s="10">
        <v>0</v>
      </c>
      <c r="L302" s="10">
        <v>1.7</v>
      </c>
      <c r="M302" s="11">
        <f t="shared" si="13"/>
        <v>0.625</v>
      </c>
      <c r="N302" s="11">
        <f t="shared" si="14"/>
        <v>0</v>
      </c>
    </row>
    <row r="303" spans="1:14" x14ac:dyDescent="0.25">
      <c r="A303" s="12" t="s">
        <v>61</v>
      </c>
      <c r="B303" s="12">
        <f t="shared" si="12"/>
        <v>45231</v>
      </c>
      <c r="C303" s="12" t="str">
        <f>TEXT('Cleaned Datasets'!$B303,"MMMM")</f>
        <v>November</v>
      </c>
      <c r="D303" s="13" t="s">
        <v>24</v>
      </c>
      <c r="E303" s="13" t="s">
        <v>64</v>
      </c>
      <c r="F303" s="13" t="s">
        <v>13</v>
      </c>
      <c r="G303" s="13" t="s">
        <v>14</v>
      </c>
      <c r="H303" s="13" t="s">
        <v>15</v>
      </c>
      <c r="I303" s="13">
        <v>5</v>
      </c>
      <c r="J303" s="13">
        <v>4</v>
      </c>
      <c r="K303" s="13">
        <v>0</v>
      </c>
      <c r="L303" s="13">
        <v>2.4</v>
      </c>
      <c r="M303" s="14">
        <f t="shared" si="13"/>
        <v>0.8</v>
      </c>
      <c r="N303" s="14">
        <f t="shared" si="14"/>
        <v>0</v>
      </c>
    </row>
    <row r="304" spans="1:14" x14ac:dyDescent="0.25">
      <c r="A304" s="9" t="s">
        <v>45</v>
      </c>
      <c r="B304" s="9">
        <f t="shared" si="12"/>
        <v>45047</v>
      </c>
      <c r="C304" s="9" t="str">
        <f>TEXT('Cleaned Datasets'!$B304,"MMMM")</f>
        <v>May</v>
      </c>
      <c r="D304" s="10" t="s">
        <v>48</v>
      </c>
      <c r="E304" s="10" t="s">
        <v>49</v>
      </c>
      <c r="F304" s="10" t="s">
        <v>22</v>
      </c>
      <c r="G304" s="10" t="s">
        <v>18</v>
      </c>
      <c r="H304" s="10" t="s">
        <v>19</v>
      </c>
      <c r="I304" s="10">
        <v>5</v>
      </c>
      <c r="J304" s="10">
        <v>5</v>
      </c>
      <c r="K304" s="10">
        <v>1</v>
      </c>
      <c r="L304" s="10">
        <v>2.7</v>
      </c>
      <c r="M304" s="11">
        <f t="shared" si="13"/>
        <v>1</v>
      </c>
      <c r="N304" s="11">
        <f t="shared" si="14"/>
        <v>0.2</v>
      </c>
    </row>
    <row r="305" spans="1:14" x14ac:dyDescent="0.25">
      <c r="A305" s="12" t="s">
        <v>43</v>
      </c>
      <c r="B305" s="12">
        <f t="shared" si="12"/>
        <v>44958</v>
      </c>
      <c r="C305" s="12" t="str">
        <f>TEXT('Cleaned Datasets'!$B305,"MMMM")</f>
        <v>February</v>
      </c>
      <c r="D305" s="13" t="s">
        <v>48</v>
      </c>
      <c r="E305" s="13" t="s">
        <v>63</v>
      </c>
      <c r="F305" s="13" t="s">
        <v>22</v>
      </c>
      <c r="G305" s="13" t="s">
        <v>14</v>
      </c>
      <c r="H305" s="13" t="s">
        <v>15</v>
      </c>
      <c r="I305" s="13">
        <v>1</v>
      </c>
      <c r="J305" s="13">
        <v>1</v>
      </c>
      <c r="K305" s="13">
        <v>0</v>
      </c>
      <c r="L305" s="13">
        <v>3.2</v>
      </c>
      <c r="M305" s="14">
        <f t="shared" si="13"/>
        <v>1</v>
      </c>
      <c r="N305" s="14">
        <f t="shared" si="14"/>
        <v>0</v>
      </c>
    </row>
    <row r="306" spans="1:14" x14ac:dyDescent="0.25">
      <c r="A306" s="9" t="s">
        <v>10</v>
      </c>
      <c r="B306" s="9">
        <f t="shared" si="12"/>
        <v>45017</v>
      </c>
      <c r="C306" s="9" t="str">
        <f>TEXT('Cleaned Datasets'!$B306,"MMMM")</f>
        <v>April</v>
      </c>
      <c r="D306" s="10" t="s">
        <v>46</v>
      </c>
      <c r="E306" s="10" t="s">
        <v>54</v>
      </c>
      <c r="F306" s="10" t="s">
        <v>22</v>
      </c>
      <c r="G306" s="10" t="s">
        <v>27</v>
      </c>
      <c r="H306" s="10" t="s">
        <v>15</v>
      </c>
      <c r="I306" s="10">
        <v>5</v>
      </c>
      <c r="J306" s="10">
        <v>5</v>
      </c>
      <c r="K306" s="10">
        <v>0</v>
      </c>
      <c r="L306" s="10">
        <v>2.8</v>
      </c>
      <c r="M306" s="11">
        <f t="shared" si="13"/>
        <v>1</v>
      </c>
      <c r="N306" s="11">
        <f t="shared" si="14"/>
        <v>0</v>
      </c>
    </row>
    <row r="307" spans="1:14" x14ac:dyDescent="0.25">
      <c r="A307" s="12" t="s">
        <v>55</v>
      </c>
      <c r="B307" s="12">
        <f t="shared" si="12"/>
        <v>45261</v>
      </c>
      <c r="C307" s="12" t="str">
        <f>TEXT('Cleaned Datasets'!$B307,"MMMM")</f>
        <v>December</v>
      </c>
      <c r="D307" s="13" t="s">
        <v>37</v>
      </c>
      <c r="E307" s="13" t="s">
        <v>39</v>
      </c>
      <c r="F307" s="13" t="s">
        <v>40</v>
      </c>
      <c r="G307" s="13" t="s">
        <v>22</v>
      </c>
      <c r="H307" s="13" t="s">
        <v>15</v>
      </c>
      <c r="I307" s="13">
        <v>3</v>
      </c>
      <c r="J307" s="13">
        <v>3</v>
      </c>
      <c r="K307" s="13">
        <v>0</v>
      </c>
      <c r="L307" s="13">
        <v>4.4000000000000004</v>
      </c>
      <c r="M307" s="14">
        <f t="shared" si="13"/>
        <v>1</v>
      </c>
      <c r="N307" s="14">
        <f t="shared" si="14"/>
        <v>0</v>
      </c>
    </row>
    <row r="308" spans="1:14" x14ac:dyDescent="0.25">
      <c r="A308" s="9" t="s">
        <v>23</v>
      </c>
      <c r="B308" s="9">
        <f t="shared" si="12"/>
        <v>45200</v>
      </c>
      <c r="C308" s="9" t="str">
        <f>TEXT('Cleaned Datasets'!$B308,"MMMM")</f>
        <v>October</v>
      </c>
      <c r="D308" s="10" t="s">
        <v>16</v>
      </c>
      <c r="E308" s="10" t="s">
        <v>60</v>
      </c>
      <c r="F308" s="10" t="s">
        <v>21</v>
      </c>
      <c r="G308" s="10" t="s">
        <v>22</v>
      </c>
      <c r="H308" s="10" t="s">
        <v>15</v>
      </c>
      <c r="I308" s="10">
        <v>6</v>
      </c>
      <c r="J308" s="10">
        <v>6</v>
      </c>
      <c r="K308" s="10">
        <v>1</v>
      </c>
      <c r="L308" s="10">
        <v>3</v>
      </c>
      <c r="M308" s="11">
        <f t="shared" si="13"/>
        <v>1</v>
      </c>
      <c r="N308" s="11">
        <f t="shared" si="14"/>
        <v>0.16666666666666666</v>
      </c>
    </row>
    <row r="309" spans="1:14" x14ac:dyDescent="0.25">
      <c r="A309" s="12" t="s">
        <v>50</v>
      </c>
      <c r="B309" s="12">
        <f t="shared" si="12"/>
        <v>45108</v>
      </c>
      <c r="C309" s="12" t="str">
        <f>TEXT('Cleaned Datasets'!$B309,"MMMM")</f>
        <v>July</v>
      </c>
      <c r="D309" s="13" t="s">
        <v>16</v>
      </c>
      <c r="E309" s="13" t="s">
        <v>17</v>
      </c>
      <c r="F309" s="13" t="s">
        <v>21</v>
      </c>
      <c r="G309" s="13" t="s">
        <v>30</v>
      </c>
      <c r="H309" s="13" t="s">
        <v>15</v>
      </c>
      <c r="I309" s="13">
        <v>3</v>
      </c>
      <c r="J309" s="13">
        <v>3</v>
      </c>
      <c r="K309" s="13">
        <v>1</v>
      </c>
      <c r="L309" s="13">
        <v>3.3</v>
      </c>
      <c r="M309" s="14">
        <f t="shared" si="13"/>
        <v>1</v>
      </c>
      <c r="N309" s="14">
        <f t="shared" si="14"/>
        <v>0.33333333333333331</v>
      </c>
    </row>
    <row r="310" spans="1:14" x14ac:dyDescent="0.25">
      <c r="A310" s="9" t="s">
        <v>20</v>
      </c>
      <c r="B310" s="9">
        <f t="shared" si="12"/>
        <v>45078</v>
      </c>
      <c r="C310" s="9" t="str">
        <f>TEXT('Cleaned Datasets'!$B310,"MMMM")</f>
        <v>June</v>
      </c>
      <c r="D310" s="10" t="s">
        <v>11</v>
      </c>
      <c r="E310" s="10" t="s">
        <v>12</v>
      </c>
      <c r="F310" s="10" t="s">
        <v>21</v>
      </c>
      <c r="G310" s="10" t="s">
        <v>18</v>
      </c>
      <c r="H310" s="10" t="s">
        <v>19</v>
      </c>
      <c r="I310" s="10">
        <v>9</v>
      </c>
      <c r="J310" s="10">
        <v>8</v>
      </c>
      <c r="K310" s="10">
        <v>0</v>
      </c>
      <c r="L310" s="10">
        <v>4.4000000000000004</v>
      </c>
      <c r="M310" s="11">
        <f t="shared" si="13"/>
        <v>0.88888888888888884</v>
      </c>
      <c r="N310" s="11">
        <f t="shared" si="14"/>
        <v>0</v>
      </c>
    </row>
    <row r="311" spans="1:14" x14ac:dyDescent="0.25">
      <c r="A311" s="12" t="s">
        <v>45</v>
      </c>
      <c r="B311" s="12">
        <f t="shared" si="12"/>
        <v>45047</v>
      </c>
      <c r="C311" s="12" t="str">
        <f>TEXT('Cleaned Datasets'!$B311,"MMMM")</f>
        <v>May</v>
      </c>
      <c r="D311" s="13" t="s">
        <v>48</v>
      </c>
      <c r="E311" s="13" t="s">
        <v>49</v>
      </c>
      <c r="F311" s="13" t="s">
        <v>32</v>
      </c>
      <c r="G311" s="13" t="s">
        <v>18</v>
      </c>
      <c r="H311" s="13" t="s">
        <v>19</v>
      </c>
      <c r="I311" s="13">
        <v>4</v>
      </c>
      <c r="J311" s="13">
        <v>4</v>
      </c>
      <c r="K311" s="13">
        <v>0</v>
      </c>
      <c r="L311" s="13">
        <v>4.2</v>
      </c>
      <c r="M311" s="14">
        <f t="shared" si="13"/>
        <v>1</v>
      </c>
      <c r="N311" s="14">
        <f t="shared" si="14"/>
        <v>0</v>
      </c>
    </row>
    <row r="312" spans="1:14" x14ac:dyDescent="0.25">
      <c r="A312" s="9" t="s">
        <v>31</v>
      </c>
      <c r="B312" s="9">
        <f t="shared" si="12"/>
        <v>45139</v>
      </c>
      <c r="C312" s="9" t="str">
        <f>TEXT('Cleaned Datasets'!$B312,"MMMM")</f>
        <v>August</v>
      </c>
      <c r="D312" s="10" t="s">
        <v>28</v>
      </c>
      <c r="E312" s="10" t="s">
        <v>58</v>
      </c>
      <c r="F312" s="10" t="s">
        <v>32</v>
      </c>
      <c r="G312" s="10" t="s">
        <v>18</v>
      </c>
      <c r="H312" s="10" t="s">
        <v>15</v>
      </c>
      <c r="I312" s="10">
        <v>6</v>
      </c>
      <c r="J312" s="10">
        <v>6</v>
      </c>
      <c r="K312" s="10">
        <v>0</v>
      </c>
      <c r="L312" s="10">
        <v>3</v>
      </c>
      <c r="M312" s="11">
        <f t="shared" si="13"/>
        <v>1</v>
      </c>
      <c r="N312" s="11">
        <f t="shared" si="14"/>
        <v>0</v>
      </c>
    </row>
    <row r="313" spans="1:14" x14ac:dyDescent="0.25">
      <c r="A313" s="12" t="s">
        <v>59</v>
      </c>
      <c r="B313" s="12">
        <f t="shared" si="12"/>
        <v>45170</v>
      </c>
      <c r="C313" s="12" t="str">
        <f>TEXT('Cleaned Datasets'!$B313,"MMMM")</f>
        <v>September</v>
      </c>
      <c r="D313" s="13" t="s">
        <v>34</v>
      </c>
      <c r="E313" s="13" t="s">
        <v>35</v>
      </c>
      <c r="F313" s="13" t="s">
        <v>13</v>
      </c>
      <c r="G313" s="13" t="s">
        <v>14</v>
      </c>
      <c r="H313" s="13" t="s">
        <v>19</v>
      </c>
      <c r="I313" s="13">
        <v>6</v>
      </c>
      <c r="J313" s="13">
        <v>5</v>
      </c>
      <c r="K313" s="13">
        <v>0</v>
      </c>
      <c r="L313" s="13">
        <v>2.5</v>
      </c>
      <c r="M313" s="14">
        <f t="shared" si="13"/>
        <v>0.83333333333333337</v>
      </c>
      <c r="N313" s="14">
        <f t="shared" si="14"/>
        <v>0</v>
      </c>
    </row>
    <row r="314" spans="1:14" x14ac:dyDescent="0.25">
      <c r="A314" s="9" t="s">
        <v>59</v>
      </c>
      <c r="B314" s="9">
        <f t="shared" si="12"/>
        <v>45170</v>
      </c>
      <c r="C314" s="9" t="str">
        <f>TEXT('Cleaned Datasets'!$B314,"MMMM")</f>
        <v>September</v>
      </c>
      <c r="D314" s="10" t="s">
        <v>34</v>
      </c>
      <c r="E314" s="10" t="s">
        <v>35</v>
      </c>
      <c r="F314" s="10" t="s">
        <v>26</v>
      </c>
      <c r="G314" s="10" t="s">
        <v>30</v>
      </c>
      <c r="H314" s="10" t="s">
        <v>15</v>
      </c>
      <c r="I314" s="10">
        <v>8</v>
      </c>
      <c r="J314" s="10">
        <v>8</v>
      </c>
      <c r="K314" s="10">
        <v>0</v>
      </c>
      <c r="L314" s="10">
        <v>2.2999999999999998</v>
      </c>
      <c r="M314" s="11">
        <f t="shared" si="13"/>
        <v>1</v>
      </c>
      <c r="N314" s="11">
        <f t="shared" si="14"/>
        <v>0</v>
      </c>
    </row>
    <row r="315" spans="1:14" x14ac:dyDescent="0.25">
      <c r="A315" s="12" t="s">
        <v>23</v>
      </c>
      <c r="B315" s="12">
        <f t="shared" si="12"/>
        <v>45200</v>
      </c>
      <c r="C315" s="12" t="str">
        <f>TEXT('Cleaned Datasets'!$B315,"MMMM")</f>
        <v>October</v>
      </c>
      <c r="D315" s="13" t="s">
        <v>11</v>
      </c>
      <c r="E315" s="13" t="s">
        <v>52</v>
      </c>
      <c r="F315" s="13" t="s">
        <v>13</v>
      </c>
      <c r="G315" s="13" t="s">
        <v>18</v>
      </c>
      <c r="H315" s="13" t="s">
        <v>15</v>
      </c>
      <c r="I315" s="13">
        <v>4</v>
      </c>
      <c r="J315" s="13">
        <v>4</v>
      </c>
      <c r="K315" s="13">
        <v>0</v>
      </c>
      <c r="L315" s="13">
        <v>2.4</v>
      </c>
      <c r="M315" s="14">
        <f t="shared" si="13"/>
        <v>1</v>
      </c>
      <c r="N315" s="14">
        <f t="shared" si="14"/>
        <v>0</v>
      </c>
    </row>
    <row r="316" spans="1:14" x14ac:dyDescent="0.25">
      <c r="A316" s="9" t="s">
        <v>36</v>
      </c>
      <c r="B316" s="9">
        <f t="shared" si="12"/>
        <v>44986</v>
      </c>
      <c r="C316" s="9" t="str">
        <f>TEXT('Cleaned Datasets'!$B316,"MMMM")</f>
        <v>March</v>
      </c>
      <c r="D316" s="10" t="s">
        <v>48</v>
      </c>
      <c r="E316" s="10" t="s">
        <v>49</v>
      </c>
      <c r="F316" s="10" t="s">
        <v>40</v>
      </c>
      <c r="G316" s="10" t="s">
        <v>27</v>
      </c>
      <c r="H316" s="10" t="s">
        <v>15</v>
      </c>
      <c r="I316" s="10">
        <v>8</v>
      </c>
      <c r="J316" s="10">
        <v>8</v>
      </c>
      <c r="K316" s="10">
        <v>1</v>
      </c>
      <c r="L316" s="10">
        <v>4.4000000000000004</v>
      </c>
      <c r="M316" s="11">
        <f t="shared" si="13"/>
        <v>1</v>
      </c>
      <c r="N316" s="11">
        <f t="shared" si="14"/>
        <v>0.125</v>
      </c>
    </row>
    <row r="317" spans="1:14" x14ac:dyDescent="0.25">
      <c r="A317" s="12" t="s">
        <v>55</v>
      </c>
      <c r="B317" s="12">
        <f t="shared" si="12"/>
        <v>45261</v>
      </c>
      <c r="C317" s="12" t="str">
        <f>TEXT('Cleaned Datasets'!$B317,"MMMM")</f>
        <v>December</v>
      </c>
      <c r="D317" s="13" t="s">
        <v>34</v>
      </c>
      <c r="E317" s="13" t="s">
        <v>51</v>
      </c>
      <c r="F317" s="13" t="s">
        <v>32</v>
      </c>
      <c r="G317" s="13" t="s">
        <v>18</v>
      </c>
      <c r="H317" s="13" t="s">
        <v>15</v>
      </c>
      <c r="I317" s="13">
        <v>4</v>
      </c>
      <c r="J317" s="13">
        <v>4</v>
      </c>
      <c r="K317" s="13">
        <v>1</v>
      </c>
      <c r="L317" s="13">
        <v>2.6</v>
      </c>
      <c r="M317" s="14">
        <f t="shared" si="13"/>
        <v>1</v>
      </c>
      <c r="N317" s="14">
        <f t="shared" si="14"/>
        <v>0.25</v>
      </c>
    </row>
    <row r="318" spans="1:14" x14ac:dyDescent="0.25">
      <c r="A318" s="9" t="s">
        <v>50</v>
      </c>
      <c r="B318" s="9">
        <f t="shared" si="12"/>
        <v>45108</v>
      </c>
      <c r="C318" s="9" t="str">
        <f>TEXT('Cleaned Datasets'!$B318,"MMMM")</f>
        <v>July</v>
      </c>
      <c r="D318" s="10" t="s">
        <v>56</v>
      </c>
      <c r="E318" s="10" t="s">
        <v>62</v>
      </c>
      <c r="F318" s="10" t="s">
        <v>13</v>
      </c>
      <c r="G318" s="10" t="s">
        <v>30</v>
      </c>
      <c r="H318" s="10" t="s">
        <v>15</v>
      </c>
      <c r="I318" s="10">
        <v>2</v>
      </c>
      <c r="J318" s="10">
        <v>1</v>
      </c>
      <c r="K318" s="10">
        <v>0</v>
      </c>
      <c r="L318" s="10">
        <v>4.3</v>
      </c>
      <c r="M318" s="11">
        <f t="shared" si="13"/>
        <v>0.5</v>
      </c>
      <c r="N318" s="11">
        <f t="shared" si="14"/>
        <v>0</v>
      </c>
    </row>
    <row r="319" spans="1:14" x14ac:dyDescent="0.25">
      <c r="A319" s="12" t="s">
        <v>20</v>
      </c>
      <c r="B319" s="12">
        <f t="shared" si="12"/>
        <v>45078</v>
      </c>
      <c r="C319" s="12" t="str">
        <f>TEXT('Cleaned Datasets'!$B319,"MMMM")</f>
        <v>June</v>
      </c>
      <c r="D319" s="13" t="s">
        <v>28</v>
      </c>
      <c r="E319" s="13" t="s">
        <v>58</v>
      </c>
      <c r="F319" s="13" t="s">
        <v>13</v>
      </c>
      <c r="G319" s="13" t="s">
        <v>53</v>
      </c>
      <c r="H319" s="13" t="s">
        <v>15</v>
      </c>
      <c r="I319" s="13">
        <v>8</v>
      </c>
      <c r="J319" s="13">
        <v>8</v>
      </c>
      <c r="K319" s="13">
        <v>0</v>
      </c>
      <c r="L319" s="13">
        <v>2.6</v>
      </c>
      <c r="M319" s="14">
        <f t="shared" si="13"/>
        <v>1</v>
      </c>
      <c r="N319" s="14">
        <f t="shared" si="14"/>
        <v>0</v>
      </c>
    </row>
    <row r="320" spans="1:14" x14ac:dyDescent="0.25">
      <c r="A320" s="9" t="s">
        <v>23</v>
      </c>
      <c r="B320" s="9">
        <f t="shared" si="12"/>
        <v>45200</v>
      </c>
      <c r="C320" s="9" t="str">
        <f>TEXT('Cleaned Datasets'!$B320,"MMMM")</f>
        <v>October</v>
      </c>
      <c r="D320" s="10" t="s">
        <v>24</v>
      </c>
      <c r="E320" s="10" t="s">
        <v>25</v>
      </c>
      <c r="F320" s="10" t="s">
        <v>22</v>
      </c>
      <c r="G320" s="10" t="s">
        <v>53</v>
      </c>
      <c r="H320" s="10" t="s">
        <v>15</v>
      </c>
      <c r="I320" s="10">
        <v>2</v>
      </c>
      <c r="J320" s="10">
        <v>2</v>
      </c>
      <c r="K320" s="10">
        <v>0</v>
      </c>
      <c r="L320" s="10">
        <v>2.2999999999999998</v>
      </c>
      <c r="M320" s="11">
        <f t="shared" si="13"/>
        <v>1</v>
      </c>
      <c r="N320" s="11">
        <f t="shared" si="14"/>
        <v>0</v>
      </c>
    </row>
    <row r="321" spans="1:14" x14ac:dyDescent="0.25">
      <c r="A321" s="12" t="s">
        <v>61</v>
      </c>
      <c r="B321" s="12">
        <f t="shared" si="12"/>
        <v>45231</v>
      </c>
      <c r="C321" s="12" t="str">
        <f>TEXT('Cleaned Datasets'!$B321,"MMMM")</f>
        <v>November</v>
      </c>
      <c r="D321" s="13" t="s">
        <v>28</v>
      </c>
      <c r="E321" s="13" t="s">
        <v>58</v>
      </c>
      <c r="F321" s="13" t="s">
        <v>21</v>
      </c>
      <c r="G321" s="13" t="s">
        <v>53</v>
      </c>
      <c r="H321" s="13" t="s">
        <v>19</v>
      </c>
      <c r="I321" s="13">
        <v>2</v>
      </c>
      <c r="J321" s="13">
        <v>2</v>
      </c>
      <c r="K321" s="13">
        <v>1</v>
      </c>
      <c r="L321" s="13">
        <v>2</v>
      </c>
      <c r="M321" s="14">
        <f t="shared" si="13"/>
        <v>1</v>
      </c>
      <c r="N321" s="14">
        <f t="shared" si="14"/>
        <v>0.5</v>
      </c>
    </row>
    <row r="322" spans="1:14" x14ac:dyDescent="0.25">
      <c r="A322" s="9" t="s">
        <v>20</v>
      </c>
      <c r="B322" s="9">
        <f t="shared" si="12"/>
        <v>45078</v>
      </c>
      <c r="C322" s="9" t="str">
        <f>TEXT('Cleaned Datasets'!$B322,"MMMM")</f>
        <v>June</v>
      </c>
      <c r="D322" s="10" t="s">
        <v>56</v>
      </c>
      <c r="E322" s="10" t="s">
        <v>57</v>
      </c>
      <c r="F322" s="10" t="s">
        <v>26</v>
      </c>
      <c r="G322" s="10" t="s">
        <v>14</v>
      </c>
      <c r="H322" s="10" t="s">
        <v>15</v>
      </c>
      <c r="I322" s="10">
        <v>6</v>
      </c>
      <c r="J322" s="10">
        <v>5</v>
      </c>
      <c r="K322" s="10">
        <v>1</v>
      </c>
      <c r="L322" s="10">
        <v>2.5</v>
      </c>
      <c r="M322" s="11">
        <f t="shared" si="13"/>
        <v>0.83333333333333337</v>
      </c>
      <c r="N322" s="11">
        <f t="shared" si="14"/>
        <v>0.16666666666666666</v>
      </c>
    </row>
    <row r="323" spans="1:14" x14ac:dyDescent="0.25">
      <c r="A323" s="12" t="s">
        <v>10</v>
      </c>
      <c r="B323" s="12">
        <f t="shared" ref="B323:B386" si="15">DATE(LEFT(A323,4), RIGHT(A323,2), 1)</f>
        <v>45017</v>
      </c>
      <c r="C323" s="12" t="str">
        <f>TEXT('Cleaned Datasets'!$B323,"MMMM")</f>
        <v>April</v>
      </c>
      <c r="D323" s="13" t="s">
        <v>37</v>
      </c>
      <c r="E323" s="13" t="s">
        <v>39</v>
      </c>
      <c r="F323" s="13" t="s">
        <v>40</v>
      </c>
      <c r="G323" s="13" t="s">
        <v>27</v>
      </c>
      <c r="H323" s="13" t="s">
        <v>15</v>
      </c>
      <c r="I323" s="13">
        <v>7</v>
      </c>
      <c r="J323" s="13">
        <v>6</v>
      </c>
      <c r="K323" s="13">
        <v>1</v>
      </c>
      <c r="L323" s="13">
        <v>1.9</v>
      </c>
      <c r="M323" s="14">
        <f t="shared" ref="M323:M386" si="16">IFERROR(J323/I323,0)</f>
        <v>0.8571428571428571</v>
      </c>
      <c r="N323" s="14">
        <f t="shared" ref="N323:N386" si="17">IFERROR(K323/I323,0)</f>
        <v>0.14285714285714285</v>
      </c>
    </row>
    <row r="324" spans="1:14" x14ac:dyDescent="0.25">
      <c r="A324" s="9" t="s">
        <v>43</v>
      </c>
      <c r="B324" s="9">
        <f t="shared" si="15"/>
        <v>44958</v>
      </c>
      <c r="C324" s="9" t="str">
        <f>TEXT('Cleaned Datasets'!$B324,"MMMM")</f>
        <v>February</v>
      </c>
      <c r="D324" s="10" t="s">
        <v>11</v>
      </c>
      <c r="E324" s="10" t="s">
        <v>12</v>
      </c>
      <c r="F324" s="10" t="s">
        <v>21</v>
      </c>
      <c r="G324" s="10" t="s">
        <v>18</v>
      </c>
      <c r="H324" s="10" t="s">
        <v>15</v>
      </c>
      <c r="I324" s="10">
        <v>4</v>
      </c>
      <c r="J324" s="10">
        <v>4</v>
      </c>
      <c r="K324" s="10">
        <v>0</v>
      </c>
      <c r="L324" s="10">
        <v>4.0999999999999996</v>
      </c>
      <c r="M324" s="11">
        <f t="shared" si="16"/>
        <v>1</v>
      </c>
      <c r="N324" s="11">
        <f t="shared" si="17"/>
        <v>0</v>
      </c>
    </row>
    <row r="325" spans="1:14" x14ac:dyDescent="0.25">
      <c r="A325" s="12" t="s">
        <v>33</v>
      </c>
      <c r="B325" s="12">
        <f t="shared" si="15"/>
        <v>44927</v>
      </c>
      <c r="C325" s="12" t="str">
        <f>TEXT('Cleaned Datasets'!$B325,"MMMM")</f>
        <v>January</v>
      </c>
      <c r="D325" s="13" t="s">
        <v>56</v>
      </c>
      <c r="E325" s="13" t="s">
        <v>57</v>
      </c>
      <c r="F325" s="13" t="s">
        <v>40</v>
      </c>
      <c r="G325" s="13" t="s">
        <v>22</v>
      </c>
      <c r="H325" s="13" t="s">
        <v>15</v>
      </c>
      <c r="I325" s="13">
        <v>6</v>
      </c>
      <c r="J325" s="13">
        <v>5</v>
      </c>
      <c r="K325" s="13">
        <v>0</v>
      </c>
      <c r="L325" s="13">
        <v>2</v>
      </c>
      <c r="M325" s="14">
        <f t="shared" si="16"/>
        <v>0.83333333333333337</v>
      </c>
      <c r="N325" s="14">
        <f t="shared" si="17"/>
        <v>0</v>
      </c>
    </row>
    <row r="326" spans="1:14" x14ac:dyDescent="0.25">
      <c r="A326" s="9" t="s">
        <v>55</v>
      </c>
      <c r="B326" s="9">
        <f t="shared" si="15"/>
        <v>45261</v>
      </c>
      <c r="C326" s="9" t="str">
        <f>TEXT('Cleaned Datasets'!$B326,"MMMM")</f>
        <v>December</v>
      </c>
      <c r="D326" s="10" t="s">
        <v>24</v>
      </c>
      <c r="E326" s="10" t="s">
        <v>25</v>
      </c>
      <c r="F326" s="10" t="s">
        <v>32</v>
      </c>
      <c r="G326" s="10" t="s">
        <v>27</v>
      </c>
      <c r="H326" s="10" t="s">
        <v>19</v>
      </c>
      <c r="I326" s="10">
        <v>8</v>
      </c>
      <c r="J326" s="10">
        <v>8</v>
      </c>
      <c r="K326" s="10">
        <v>2</v>
      </c>
      <c r="L326" s="10">
        <v>3.4</v>
      </c>
      <c r="M326" s="11">
        <f t="shared" si="16"/>
        <v>1</v>
      </c>
      <c r="N326" s="11">
        <f t="shared" si="17"/>
        <v>0.25</v>
      </c>
    </row>
    <row r="327" spans="1:14" x14ac:dyDescent="0.25">
      <c r="A327" s="12" t="s">
        <v>59</v>
      </c>
      <c r="B327" s="12">
        <f t="shared" si="15"/>
        <v>45170</v>
      </c>
      <c r="C327" s="12" t="str">
        <f>TEXT('Cleaned Datasets'!$B327,"MMMM")</f>
        <v>September</v>
      </c>
      <c r="D327" s="13" t="s">
        <v>24</v>
      </c>
      <c r="E327" s="13" t="s">
        <v>64</v>
      </c>
      <c r="F327" s="13" t="s">
        <v>22</v>
      </c>
      <c r="G327" s="13" t="s">
        <v>53</v>
      </c>
      <c r="H327" s="13" t="s">
        <v>19</v>
      </c>
      <c r="I327" s="13">
        <v>8</v>
      </c>
      <c r="J327" s="13">
        <v>8</v>
      </c>
      <c r="K327" s="13">
        <v>1</v>
      </c>
      <c r="L327" s="13">
        <v>3.8</v>
      </c>
      <c r="M327" s="14">
        <f t="shared" si="16"/>
        <v>1</v>
      </c>
      <c r="N327" s="14">
        <f t="shared" si="17"/>
        <v>0.125</v>
      </c>
    </row>
    <row r="328" spans="1:14" x14ac:dyDescent="0.25">
      <c r="A328" s="9" t="s">
        <v>61</v>
      </c>
      <c r="B328" s="9">
        <f t="shared" si="15"/>
        <v>45231</v>
      </c>
      <c r="C328" s="9" t="str">
        <f>TEXT('Cleaned Datasets'!$B328,"MMMM")</f>
        <v>November</v>
      </c>
      <c r="D328" s="10" t="s">
        <v>46</v>
      </c>
      <c r="E328" s="10" t="s">
        <v>47</v>
      </c>
      <c r="F328" s="10" t="s">
        <v>26</v>
      </c>
      <c r="G328" s="10" t="s">
        <v>18</v>
      </c>
      <c r="H328" s="10" t="s">
        <v>15</v>
      </c>
      <c r="I328" s="10">
        <v>3</v>
      </c>
      <c r="J328" s="10">
        <v>3</v>
      </c>
      <c r="K328" s="10">
        <v>0</v>
      </c>
      <c r="L328" s="10">
        <v>3.2</v>
      </c>
      <c r="M328" s="11">
        <f t="shared" si="16"/>
        <v>1</v>
      </c>
      <c r="N328" s="11">
        <f t="shared" si="17"/>
        <v>0</v>
      </c>
    </row>
    <row r="329" spans="1:14" x14ac:dyDescent="0.25">
      <c r="A329" s="12" t="s">
        <v>50</v>
      </c>
      <c r="B329" s="12">
        <f t="shared" si="15"/>
        <v>45108</v>
      </c>
      <c r="C329" s="12" t="str">
        <f>TEXT('Cleaned Datasets'!$B329,"MMMM")</f>
        <v>July</v>
      </c>
      <c r="D329" s="13" t="s">
        <v>46</v>
      </c>
      <c r="E329" s="13" t="s">
        <v>47</v>
      </c>
      <c r="F329" s="13" t="s">
        <v>26</v>
      </c>
      <c r="G329" s="13" t="s">
        <v>53</v>
      </c>
      <c r="H329" s="13" t="s">
        <v>15</v>
      </c>
      <c r="I329" s="13">
        <v>5</v>
      </c>
      <c r="J329" s="13">
        <v>4</v>
      </c>
      <c r="K329" s="13">
        <v>0</v>
      </c>
      <c r="L329" s="13">
        <v>4.3</v>
      </c>
      <c r="M329" s="14">
        <f t="shared" si="16"/>
        <v>0.8</v>
      </c>
      <c r="N329" s="14">
        <f t="shared" si="17"/>
        <v>0</v>
      </c>
    </row>
    <row r="330" spans="1:14" x14ac:dyDescent="0.25">
      <c r="A330" s="9" t="s">
        <v>59</v>
      </c>
      <c r="B330" s="9">
        <f t="shared" si="15"/>
        <v>45170</v>
      </c>
      <c r="C330" s="9" t="str">
        <f>TEXT('Cleaned Datasets'!$B330,"MMMM")</f>
        <v>September</v>
      </c>
      <c r="D330" s="10" t="s">
        <v>24</v>
      </c>
      <c r="E330" s="10" t="s">
        <v>25</v>
      </c>
      <c r="F330" s="10" t="s">
        <v>22</v>
      </c>
      <c r="G330" s="10" t="s">
        <v>53</v>
      </c>
      <c r="H330" s="10" t="s">
        <v>15</v>
      </c>
      <c r="I330" s="10">
        <v>4</v>
      </c>
      <c r="J330" s="10">
        <v>4</v>
      </c>
      <c r="K330" s="10">
        <v>1</v>
      </c>
      <c r="L330" s="10">
        <v>4.0999999999999996</v>
      </c>
      <c r="M330" s="11">
        <f t="shared" si="16"/>
        <v>1</v>
      </c>
      <c r="N330" s="11">
        <f t="shared" si="17"/>
        <v>0.25</v>
      </c>
    </row>
    <row r="331" spans="1:14" x14ac:dyDescent="0.25">
      <c r="A331" s="12" t="s">
        <v>10</v>
      </c>
      <c r="B331" s="12">
        <f t="shared" si="15"/>
        <v>45017</v>
      </c>
      <c r="C331" s="12" t="str">
        <f>TEXT('Cleaned Datasets'!$B331,"MMMM")</f>
        <v>April</v>
      </c>
      <c r="D331" s="13" t="s">
        <v>16</v>
      </c>
      <c r="E331" s="13" t="s">
        <v>17</v>
      </c>
      <c r="F331" s="13" t="s">
        <v>22</v>
      </c>
      <c r="G331" s="13" t="s">
        <v>53</v>
      </c>
      <c r="H331" s="13" t="s">
        <v>15</v>
      </c>
      <c r="I331" s="13">
        <v>5</v>
      </c>
      <c r="J331" s="13">
        <v>4</v>
      </c>
      <c r="K331" s="13">
        <v>0</v>
      </c>
      <c r="L331" s="13">
        <v>3.6</v>
      </c>
      <c r="M331" s="14">
        <f t="shared" si="16"/>
        <v>0.8</v>
      </c>
      <c r="N331" s="14">
        <f t="shared" si="17"/>
        <v>0</v>
      </c>
    </row>
    <row r="332" spans="1:14" x14ac:dyDescent="0.25">
      <c r="A332" s="9" t="s">
        <v>31</v>
      </c>
      <c r="B332" s="9">
        <f t="shared" si="15"/>
        <v>45139</v>
      </c>
      <c r="C332" s="9" t="str">
        <f>TEXT('Cleaned Datasets'!$B332,"MMMM")</f>
        <v>August</v>
      </c>
      <c r="D332" s="10" t="s">
        <v>48</v>
      </c>
      <c r="E332" s="10" t="s">
        <v>63</v>
      </c>
      <c r="F332" s="10" t="s">
        <v>21</v>
      </c>
      <c r="G332" s="10" t="s">
        <v>18</v>
      </c>
      <c r="H332" s="10" t="s">
        <v>15</v>
      </c>
      <c r="I332" s="10">
        <v>5</v>
      </c>
      <c r="J332" s="10">
        <v>4</v>
      </c>
      <c r="K332" s="10">
        <v>0</v>
      </c>
      <c r="L332" s="10">
        <v>2.5</v>
      </c>
      <c r="M332" s="11">
        <f t="shared" si="16"/>
        <v>0.8</v>
      </c>
      <c r="N332" s="11">
        <f t="shared" si="17"/>
        <v>0</v>
      </c>
    </row>
    <row r="333" spans="1:14" x14ac:dyDescent="0.25">
      <c r="A333" s="12" t="s">
        <v>45</v>
      </c>
      <c r="B333" s="12">
        <f t="shared" si="15"/>
        <v>45047</v>
      </c>
      <c r="C333" s="12" t="str">
        <f>TEXT('Cleaned Datasets'!$B333,"MMMM")</f>
        <v>May</v>
      </c>
      <c r="D333" s="13" t="s">
        <v>34</v>
      </c>
      <c r="E333" s="13" t="s">
        <v>35</v>
      </c>
      <c r="F333" s="13" t="s">
        <v>13</v>
      </c>
      <c r="G333" s="13" t="s">
        <v>27</v>
      </c>
      <c r="H333" s="13" t="s">
        <v>19</v>
      </c>
      <c r="I333" s="13">
        <v>3</v>
      </c>
      <c r="J333" s="13">
        <v>2</v>
      </c>
      <c r="K333" s="13">
        <v>0</v>
      </c>
      <c r="L333" s="13">
        <v>1.3</v>
      </c>
      <c r="M333" s="14">
        <f t="shared" si="16"/>
        <v>0.66666666666666663</v>
      </c>
      <c r="N333" s="14">
        <f t="shared" si="17"/>
        <v>0</v>
      </c>
    </row>
    <row r="334" spans="1:14" x14ac:dyDescent="0.25">
      <c r="A334" s="9" t="s">
        <v>59</v>
      </c>
      <c r="B334" s="9">
        <f t="shared" si="15"/>
        <v>45170</v>
      </c>
      <c r="C334" s="9" t="str">
        <f>TEXT('Cleaned Datasets'!$B334,"MMMM")</f>
        <v>September</v>
      </c>
      <c r="D334" s="10" t="s">
        <v>48</v>
      </c>
      <c r="E334" s="10" t="s">
        <v>49</v>
      </c>
      <c r="F334" s="10" t="s">
        <v>21</v>
      </c>
      <c r="G334" s="10" t="s">
        <v>27</v>
      </c>
      <c r="H334" s="10" t="s">
        <v>15</v>
      </c>
      <c r="I334" s="10">
        <v>5</v>
      </c>
      <c r="J334" s="10">
        <v>5</v>
      </c>
      <c r="K334" s="10">
        <v>0</v>
      </c>
      <c r="L334" s="10">
        <v>3.3</v>
      </c>
      <c r="M334" s="11">
        <f t="shared" si="16"/>
        <v>1</v>
      </c>
      <c r="N334" s="11">
        <f t="shared" si="17"/>
        <v>0</v>
      </c>
    </row>
    <row r="335" spans="1:14" x14ac:dyDescent="0.25">
      <c r="A335" s="12" t="s">
        <v>59</v>
      </c>
      <c r="B335" s="12">
        <f t="shared" si="15"/>
        <v>45170</v>
      </c>
      <c r="C335" s="12" t="str">
        <f>TEXT('Cleaned Datasets'!$B335,"MMMM")</f>
        <v>September</v>
      </c>
      <c r="D335" s="13" t="s">
        <v>56</v>
      </c>
      <c r="E335" s="13" t="s">
        <v>62</v>
      </c>
      <c r="F335" s="13" t="s">
        <v>13</v>
      </c>
      <c r="G335" s="13" t="s">
        <v>53</v>
      </c>
      <c r="H335" s="13" t="s">
        <v>19</v>
      </c>
      <c r="I335" s="13">
        <v>2</v>
      </c>
      <c r="J335" s="13">
        <v>1</v>
      </c>
      <c r="K335" s="13">
        <v>0</v>
      </c>
      <c r="L335" s="13">
        <v>3</v>
      </c>
      <c r="M335" s="14">
        <f t="shared" si="16"/>
        <v>0.5</v>
      </c>
      <c r="N335" s="14">
        <f t="shared" si="17"/>
        <v>0</v>
      </c>
    </row>
    <row r="336" spans="1:14" x14ac:dyDescent="0.25">
      <c r="A336" s="9" t="s">
        <v>23</v>
      </c>
      <c r="B336" s="9">
        <f t="shared" si="15"/>
        <v>45200</v>
      </c>
      <c r="C336" s="9" t="str">
        <f>TEXT('Cleaned Datasets'!$B336,"MMMM")</f>
        <v>October</v>
      </c>
      <c r="D336" s="10" t="s">
        <v>16</v>
      </c>
      <c r="E336" s="10" t="s">
        <v>60</v>
      </c>
      <c r="F336" s="10" t="s">
        <v>21</v>
      </c>
      <c r="G336" s="10" t="s">
        <v>27</v>
      </c>
      <c r="H336" s="10" t="s">
        <v>15</v>
      </c>
      <c r="I336" s="10">
        <v>6</v>
      </c>
      <c r="J336" s="10">
        <v>6</v>
      </c>
      <c r="K336" s="10">
        <v>0</v>
      </c>
      <c r="L336" s="10">
        <v>2.1</v>
      </c>
      <c r="M336" s="11">
        <f t="shared" si="16"/>
        <v>1</v>
      </c>
      <c r="N336" s="11">
        <f t="shared" si="17"/>
        <v>0</v>
      </c>
    </row>
    <row r="337" spans="1:14" x14ac:dyDescent="0.25">
      <c r="A337" s="12" t="s">
        <v>20</v>
      </c>
      <c r="B337" s="12">
        <f t="shared" si="15"/>
        <v>45078</v>
      </c>
      <c r="C337" s="12" t="str">
        <f>TEXT('Cleaned Datasets'!$B337,"MMMM")</f>
        <v>June</v>
      </c>
      <c r="D337" s="13" t="s">
        <v>46</v>
      </c>
      <c r="E337" s="13" t="s">
        <v>47</v>
      </c>
      <c r="F337" s="13" t="s">
        <v>40</v>
      </c>
      <c r="G337" s="13" t="s">
        <v>22</v>
      </c>
      <c r="H337" s="13" t="s">
        <v>15</v>
      </c>
      <c r="I337" s="13">
        <v>4</v>
      </c>
      <c r="J337" s="13">
        <v>2</v>
      </c>
      <c r="K337" s="13">
        <v>0</v>
      </c>
      <c r="L337" s="13">
        <v>2</v>
      </c>
      <c r="M337" s="14">
        <f t="shared" si="16"/>
        <v>0.5</v>
      </c>
      <c r="N337" s="14">
        <f t="shared" si="17"/>
        <v>0</v>
      </c>
    </row>
    <row r="338" spans="1:14" x14ac:dyDescent="0.25">
      <c r="A338" s="9" t="s">
        <v>43</v>
      </c>
      <c r="B338" s="9">
        <f t="shared" si="15"/>
        <v>44958</v>
      </c>
      <c r="C338" s="9" t="str">
        <f>TEXT('Cleaned Datasets'!$B338,"MMMM")</f>
        <v>February</v>
      </c>
      <c r="D338" s="10" t="s">
        <v>46</v>
      </c>
      <c r="E338" s="10" t="s">
        <v>54</v>
      </c>
      <c r="F338" s="10" t="s">
        <v>32</v>
      </c>
      <c r="G338" s="10" t="s">
        <v>18</v>
      </c>
      <c r="H338" s="10" t="s">
        <v>15</v>
      </c>
      <c r="I338" s="10">
        <v>4</v>
      </c>
      <c r="J338" s="10">
        <v>4</v>
      </c>
      <c r="K338" s="10">
        <v>1</v>
      </c>
      <c r="L338" s="10">
        <v>3.8</v>
      </c>
      <c r="M338" s="11">
        <f t="shared" si="16"/>
        <v>1</v>
      </c>
      <c r="N338" s="11">
        <f t="shared" si="17"/>
        <v>0.25</v>
      </c>
    </row>
    <row r="339" spans="1:14" x14ac:dyDescent="0.25">
      <c r="A339" s="12" t="s">
        <v>20</v>
      </c>
      <c r="B339" s="12">
        <f t="shared" si="15"/>
        <v>45078</v>
      </c>
      <c r="C339" s="12" t="str">
        <f>TEXT('Cleaned Datasets'!$B339,"MMMM")</f>
        <v>June</v>
      </c>
      <c r="D339" s="13" t="s">
        <v>41</v>
      </c>
      <c r="E339" s="13" t="s">
        <v>44</v>
      </c>
      <c r="F339" s="13" t="s">
        <v>26</v>
      </c>
      <c r="G339" s="13" t="s">
        <v>14</v>
      </c>
      <c r="H339" s="13" t="s">
        <v>19</v>
      </c>
      <c r="I339" s="13">
        <v>7</v>
      </c>
      <c r="J339" s="13">
        <v>7</v>
      </c>
      <c r="K339" s="13">
        <v>1</v>
      </c>
      <c r="L339" s="13">
        <v>1.9</v>
      </c>
      <c r="M339" s="14">
        <f t="shared" si="16"/>
        <v>1</v>
      </c>
      <c r="N339" s="14">
        <f t="shared" si="17"/>
        <v>0.14285714285714285</v>
      </c>
    </row>
    <row r="340" spans="1:14" x14ac:dyDescent="0.25">
      <c r="A340" s="9" t="s">
        <v>45</v>
      </c>
      <c r="B340" s="9">
        <f t="shared" si="15"/>
        <v>45047</v>
      </c>
      <c r="C340" s="9" t="str">
        <f>TEXT('Cleaned Datasets'!$B340,"MMMM")</f>
        <v>May</v>
      </c>
      <c r="D340" s="10" t="s">
        <v>56</v>
      </c>
      <c r="E340" s="10" t="s">
        <v>62</v>
      </c>
      <c r="F340" s="10" t="s">
        <v>21</v>
      </c>
      <c r="G340" s="10" t="s">
        <v>22</v>
      </c>
      <c r="H340" s="10" t="s">
        <v>19</v>
      </c>
      <c r="I340" s="10">
        <v>7</v>
      </c>
      <c r="J340" s="10">
        <v>6</v>
      </c>
      <c r="K340" s="10">
        <v>0</v>
      </c>
      <c r="L340" s="10">
        <v>3.6</v>
      </c>
      <c r="M340" s="11">
        <f t="shared" si="16"/>
        <v>0.8571428571428571</v>
      </c>
      <c r="N340" s="11">
        <f t="shared" si="17"/>
        <v>0</v>
      </c>
    </row>
    <row r="341" spans="1:14" x14ac:dyDescent="0.25">
      <c r="A341" s="12" t="s">
        <v>10</v>
      </c>
      <c r="B341" s="12">
        <f t="shared" si="15"/>
        <v>45017</v>
      </c>
      <c r="C341" s="12" t="str">
        <f>TEXT('Cleaned Datasets'!$B341,"MMMM")</f>
        <v>April</v>
      </c>
      <c r="D341" s="13" t="s">
        <v>34</v>
      </c>
      <c r="E341" s="13" t="s">
        <v>51</v>
      </c>
      <c r="F341" s="13" t="s">
        <v>40</v>
      </c>
      <c r="G341" s="13" t="s">
        <v>53</v>
      </c>
      <c r="H341" s="13" t="s">
        <v>19</v>
      </c>
      <c r="I341" s="13">
        <v>5</v>
      </c>
      <c r="J341" s="13">
        <v>5</v>
      </c>
      <c r="K341" s="13">
        <v>0</v>
      </c>
      <c r="L341" s="13">
        <v>2.9</v>
      </c>
      <c r="M341" s="14">
        <f t="shared" si="16"/>
        <v>1</v>
      </c>
      <c r="N341" s="14">
        <f t="shared" si="17"/>
        <v>0</v>
      </c>
    </row>
    <row r="342" spans="1:14" x14ac:dyDescent="0.25">
      <c r="A342" s="9" t="s">
        <v>55</v>
      </c>
      <c r="B342" s="9">
        <f t="shared" si="15"/>
        <v>45261</v>
      </c>
      <c r="C342" s="9" t="str">
        <f>TEXT('Cleaned Datasets'!$B342,"MMMM")</f>
        <v>December</v>
      </c>
      <c r="D342" s="10" t="s">
        <v>24</v>
      </c>
      <c r="E342" s="10" t="s">
        <v>25</v>
      </c>
      <c r="F342" s="10" t="s">
        <v>40</v>
      </c>
      <c r="G342" s="10" t="s">
        <v>22</v>
      </c>
      <c r="H342" s="10" t="s">
        <v>15</v>
      </c>
      <c r="I342" s="10">
        <v>5</v>
      </c>
      <c r="J342" s="10">
        <v>4</v>
      </c>
      <c r="K342" s="10">
        <v>0</v>
      </c>
      <c r="L342" s="10">
        <v>4.7</v>
      </c>
      <c r="M342" s="11">
        <f t="shared" si="16"/>
        <v>0.8</v>
      </c>
      <c r="N342" s="11">
        <f t="shared" si="17"/>
        <v>0</v>
      </c>
    </row>
    <row r="343" spans="1:14" x14ac:dyDescent="0.25">
      <c r="A343" s="12" t="s">
        <v>59</v>
      </c>
      <c r="B343" s="12">
        <f t="shared" si="15"/>
        <v>45170</v>
      </c>
      <c r="C343" s="12" t="str">
        <f>TEXT('Cleaned Datasets'!$B343,"MMMM")</f>
        <v>September</v>
      </c>
      <c r="D343" s="13" t="s">
        <v>16</v>
      </c>
      <c r="E343" s="13" t="s">
        <v>17</v>
      </c>
      <c r="F343" s="13" t="s">
        <v>13</v>
      </c>
      <c r="G343" s="13" t="s">
        <v>53</v>
      </c>
      <c r="H343" s="13" t="s">
        <v>15</v>
      </c>
      <c r="I343" s="13">
        <v>4</v>
      </c>
      <c r="J343" s="13">
        <v>3</v>
      </c>
      <c r="K343" s="13">
        <v>0</v>
      </c>
      <c r="L343" s="13">
        <v>4.4000000000000004</v>
      </c>
      <c r="M343" s="14">
        <f t="shared" si="16"/>
        <v>0.75</v>
      </c>
      <c r="N343" s="14">
        <f t="shared" si="17"/>
        <v>0</v>
      </c>
    </row>
    <row r="344" spans="1:14" x14ac:dyDescent="0.25">
      <c r="A344" s="9" t="s">
        <v>33</v>
      </c>
      <c r="B344" s="9">
        <f t="shared" si="15"/>
        <v>44927</v>
      </c>
      <c r="C344" s="9" t="str">
        <f>TEXT('Cleaned Datasets'!$B344,"MMMM")</f>
        <v>January</v>
      </c>
      <c r="D344" s="10" t="s">
        <v>24</v>
      </c>
      <c r="E344" s="10" t="s">
        <v>64</v>
      </c>
      <c r="F344" s="10" t="s">
        <v>13</v>
      </c>
      <c r="G344" s="10" t="s">
        <v>27</v>
      </c>
      <c r="H344" s="10" t="s">
        <v>15</v>
      </c>
      <c r="I344" s="10">
        <v>1</v>
      </c>
      <c r="J344" s="10">
        <v>1</v>
      </c>
      <c r="K344" s="10">
        <v>0</v>
      </c>
      <c r="L344" s="10">
        <v>4.7</v>
      </c>
      <c r="M344" s="11">
        <f t="shared" si="16"/>
        <v>1</v>
      </c>
      <c r="N344" s="11">
        <f t="shared" si="17"/>
        <v>0</v>
      </c>
    </row>
    <row r="345" spans="1:14" x14ac:dyDescent="0.25">
      <c r="A345" s="12" t="s">
        <v>50</v>
      </c>
      <c r="B345" s="12">
        <f t="shared" si="15"/>
        <v>45108</v>
      </c>
      <c r="C345" s="12" t="str">
        <f>TEXT('Cleaned Datasets'!$B345,"MMMM")</f>
        <v>July</v>
      </c>
      <c r="D345" s="13" t="s">
        <v>41</v>
      </c>
      <c r="E345" s="13" t="s">
        <v>42</v>
      </c>
      <c r="F345" s="13" t="s">
        <v>13</v>
      </c>
      <c r="G345" s="13" t="s">
        <v>53</v>
      </c>
      <c r="H345" s="13" t="s">
        <v>19</v>
      </c>
      <c r="I345" s="13">
        <v>9</v>
      </c>
      <c r="J345" s="13">
        <v>8</v>
      </c>
      <c r="K345" s="13">
        <v>1</v>
      </c>
      <c r="L345" s="13">
        <v>2.7</v>
      </c>
      <c r="M345" s="14">
        <f t="shared" si="16"/>
        <v>0.88888888888888884</v>
      </c>
      <c r="N345" s="14">
        <f t="shared" si="17"/>
        <v>0.1111111111111111</v>
      </c>
    </row>
    <row r="346" spans="1:14" x14ac:dyDescent="0.25">
      <c r="A346" s="9" t="s">
        <v>45</v>
      </c>
      <c r="B346" s="9">
        <f t="shared" si="15"/>
        <v>45047</v>
      </c>
      <c r="C346" s="9" t="str">
        <f>TEXT('Cleaned Datasets'!$B346,"MMMM")</f>
        <v>May</v>
      </c>
      <c r="D346" s="10" t="s">
        <v>11</v>
      </c>
      <c r="E346" s="10" t="s">
        <v>12</v>
      </c>
      <c r="F346" s="10" t="s">
        <v>40</v>
      </c>
      <c r="G346" s="10" t="s">
        <v>53</v>
      </c>
      <c r="H346" s="10" t="s">
        <v>19</v>
      </c>
      <c r="I346" s="10">
        <v>5</v>
      </c>
      <c r="J346" s="10">
        <v>5</v>
      </c>
      <c r="K346" s="10">
        <v>0</v>
      </c>
      <c r="L346" s="10">
        <v>3.8</v>
      </c>
      <c r="M346" s="11">
        <f t="shared" si="16"/>
        <v>1</v>
      </c>
      <c r="N346" s="11">
        <f t="shared" si="17"/>
        <v>0</v>
      </c>
    </row>
    <row r="347" spans="1:14" x14ac:dyDescent="0.25">
      <c r="A347" s="12" t="s">
        <v>33</v>
      </c>
      <c r="B347" s="12">
        <f t="shared" si="15"/>
        <v>44927</v>
      </c>
      <c r="C347" s="12" t="str">
        <f>TEXT('Cleaned Datasets'!$B347,"MMMM")</f>
        <v>January</v>
      </c>
      <c r="D347" s="13" t="s">
        <v>46</v>
      </c>
      <c r="E347" s="13" t="s">
        <v>47</v>
      </c>
      <c r="F347" s="13" t="s">
        <v>26</v>
      </c>
      <c r="G347" s="13" t="s">
        <v>27</v>
      </c>
      <c r="H347" s="13" t="s">
        <v>19</v>
      </c>
      <c r="I347" s="13">
        <v>7</v>
      </c>
      <c r="J347" s="13">
        <v>6</v>
      </c>
      <c r="K347" s="13">
        <v>1</v>
      </c>
      <c r="L347" s="13">
        <v>2.7</v>
      </c>
      <c r="M347" s="14">
        <f t="shared" si="16"/>
        <v>0.8571428571428571</v>
      </c>
      <c r="N347" s="14">
        <f t="shared" si="17"/>
        <v>0.14285714285714285</v>
      </c>
    </row>
    <row r="348" spans="1:14" x14ac:dyDescent="0.25">
      <c r="A348" s="9" t="s">
        <v>43</v>
      </c>
      <c r="B348" s="9">
        <f t="shared" si="15"/>
        <v>44958</v>
      </c>
      <c r="C348" s="9" t="str">
        <f>TEXT('Cleaned Datasets'!$B348,"MMMM")</f>
        <v>February</v>
      </c>
      <c r="D348" s="10" t="s">
        <v>24</v>
      </c>
      <c r="E348" s="10" t="s">
        <v>25</v>
      </c>
      <c r="F348" s="10" t="s">
        <v>21</v>
      </c>
      <c r="G348" s="10" t="s">
        <v>30</v>
      </c>
      <c r="H348" s="10" t="s">
        <v>19</v>
      </c>
      <c r="I348" s="10">
        <v>4</v>
      </c>
      <c r="J348" s="10">
        <v>4</v>
      </c>
      <c r="K348" s="10">
        <v>0</v>
      </c>
      <c r="L348" s="10">
        <v>3</v>
      </c>
      <c r="M348" s="11">
        <f t="shared" si="16"/>
        <v>1</v>
      </c>
      <c r="N348" s="11">
        <f t="shared" si="17"/>
        <v>0</v>
      </c>
    </row>
    <row r="349" spans="1:14" x14ac:dyDescent="0.25">
      <c r="A349" s="12" t="s">
        <v>33</v>
      </c>
      <c r="B349" s="12">
        <f t="shared" si="15"/>
        <v>44927</v>
      </c>
      <c r="C349" s="12" t="str">
        <f>TEXT('Cleaned Datasets'!$B349,"MMMM")</f>
        <v>January</v>
      </c>
      <c r="D349" s="13" t="s">
        <v>24</v>
      </c>
      <c r="E349" s="13" t="s">
        <v>25</v>
      </c>
      <c r="F349" s="13" t="s">
        <v>13</v>
      </c>
      <c r="G349" s="13" t="s">
        <v>22</v>
      </c>
      <c r="H349" s="13" t="s">
        <v>15</v>
      </c>
      <c r="I349" s="13">
        <v>5</v>
      </c>
      <c r="J349" s="13">
        <v>5</v>
      </c>
      <c r="K349" s="13">
        <v>0</v>
      </c>
      <c r="L349" s="13">
        <v>2.2999999999999998</v>
      </c>
      <c r="M349" s="14">
        <f t="shared" si="16"/>
        <v>1</v>
      </c>
      <c r="N349" s="14">
        <f t="shared" si="17"/>
        <v>0</v>
      </c>
    </row>
    <row r="350" spans="1:14" x14ac:dyDescent="0.25">
      <c r="A350" s="9" t="s">
        <v>10</v>
      </c>
      <c r="B350" s="9">
        <f t="shared" si="15"/>
        <v>45017</v>
      </c>
      <c r="C350" s="9" t="str">
        <f>TEXT('Cleaned Datasets'!$B350,"MMMM")</f>
        <v>April</v>
      </c>
      <c r="D350" s="10" t="s">
        <v>34</v>
      </c>
      <c r="E350" s="10" t="s">
        <v>51</v>
      </c>
      <c r="F350" s="10" t="s">
        <v>40</v>
      </c>
      <c r="G350" s="10" t="s">
        <v>53</v>
      </c>
      <c r="H350" s="10" t="s">
        <v>15</v>
      </c>
      <c r="I350" s="10">
        <v>4</v>
      </c>
      <c r="J350" s="10">
        <v>3</v>
      </c>
      <c r="K350" s="10">
        <v>0</v>
      </c>
      <c r="L350" s="10">
        <v>2</v>
      </c>
      <c r="M350" s="11">
        <f t="shared" si="16"/>
        <v>0.75</v>
      </c>
      <c r="N350" s="11">
        <f t="shared" si="17"/>
        <v>0</v>
      </c>
    </row>
    <row r="351" spans="1:14" x14ac:dyDescent="0.25">
      <c r="A351" s="12" t="s">
        <v>45</v>
      </c>
      <c r="B351" s="12">
        <f t="shared" si="15"/>
        <v>45047</v>
      </c>
      <c r="C351" s="12" t="str">
        <f>TEXT('Cleaned Datasets'!$B351,"MMMM")</f>
        <v>May</v>
      </c>
      <c r="D351" s="13" t="s">
        <v>11</v>
      </c>
      <c r="E351" s="13" t="s">
        <v>12</v>
      </c>
      <c r="F351" s="13" t="s">
        <v>40</v>
      </c>
      <c r="G351" s="13" t="s">
        <v>27</v>
      </c>
      <c r="H351" s="13" t="s">
        <v>15</v>
      </c>
      <c r="I351" s="13">
        <v>6</v>
      </c>
      <c r="J351" s="13">
        <v>6</v>
      </c>
      <c r="K351" s="13">
        <v>1</v>
      </c>
      <c r="L351" s="13">
        <v>1.9</v>
      </c>
      <c r="M351" s="14">
        <f t="shared" si="16"/>
        <v>1</v>
      </c>
      <c r="N351" s="14">
        <f t="shared" si="17"/>
        <v>0.16666666666666666</v>
      </c>
    </row>
    <row r="352" spans="1:14" x14ac:dyDescent="0.25">
      <c r="A352" s="9" t="s">
        <v>20</v>
      </c>
      <c r="B352" s="9">
        <f t="shared" si="15"/>
        <v>45078</v>
      </c>
      <c r="C352" s="9" t="str">
        <f>TEXT('Cleaned Datasets'!$B352,"MMMM")</f>
        <v>June</v>
      </c>
      <c r="D352" s="10" t="s">
        <v>41</v>
      </c>
      <c r="E352" s="10" t="s">
        <v>42</v>
      </c>
      <c r="F352" s="10" t="s">
        <v>22</v>
      </c>
      <c r="G352" s="10" t="s">
        <v>53</v>
      </c>
      <c r="H352" s="10" t="s">
        <v>19</v>
      </c>
      <c r="I352" s="10">
        <v>6</v>
      </c>
      <c r="J352" s="10">
        <v>6</v>
      </c>
      <c r="K352" s="10">
        <v>0</v>
      </c>
      <c r="L352" s="10">
        <v>1.6</v>
      </c>
      <c r="M352" s="11">
        <f t="shared" si="16"/>
        <v>1</v>
      </c>
      <c r="N352" s="11">
        <f t="shared" si="17"/>
        <v>0</v>
      </c>
    </row>
    <row r="353" spans="1:14" x14ac:dyDescent="0.25">
      <c r="A353" s="12" t="s">
        <v>50</v>
      </c>
      <c r="B353" s="12">
        <f t="shared" si="15"/>
        <v>45108</v>
      </c>
      <c r="C353" s="12" t="str">
        <f>TEXT('Cleaned Datasets'!$B353,"MMMM")</f>
        <v>July</v>
      </c>
      <c r="D353" s="13" t="s">
        <v>46</v>
      </c>
      <c r="E353" s="13" t="s">
        <v>47</v>
      </c>
      <c r="F353" s="13" t="s">
        <v>22</v>
      </c>
      <c r="G353" s="13" t="s">
        <v>22</v>
      </c>
      <c r="H353" s="13" t="s">
        <v>15</v>
      </c>
      <c r="I353" s="13">
        <v>9</v>
      </c>
      <c r="J353" s="13">
        <v>8</v>
      </c>
      <c r="K353" s="13">
        <v>0</v>
      </c>
      <c r="L353" s="13">
        <v>3</v>
      </c>
      <c r="M353" s="14">
        <f t="shared" si="16"/>
        <v>0.88888888888888884</v>
      </c>
      <c r="N353" s="14">
        <f t="shared" si="17"/>
        <v>0</v>
      </c>
    </row>
    <row r="354" spans="1:14" x14ac:dyDescent="0.25">
      <c r="A354" s="9" t="s">
        <v>10</v>
      </c>
      <c r="B354" s="9">
        <f t="shared" si="15"/>
        <v>45017</v>
      </c>
      <c r="C354" s="9" t="str">
        <f>TEXT('Cleaned Datasets'!$B354,"MMMM")</f>
        <v>April</v>
      </c>
      <c r="D354" s="10" t="s">
        <v>37</v>
      </c>
      <c r="E354" s="10" t="s">
        <v>38</v>
      </c>
      <c r="F354" s="10" t="s">
        <v>32</v>
      </c>
      <c r="G354" s="10" t="s">
        <v>22</v>
      </c>
      <c r="H354" s="10" t="s">
        <v>15</v>
      </c>
      <c r="I354" s="10">
        <v>2</v>
      </c>
      <c r="J354" s="10">
        <v>2</v>
      </c>
      <c r="K354" s="10">
        <v>0</v>
      </c>
      <c r="L354" s="10">
        <v>1.8</v>
      </c>
      <c r="M354" s="11">
        <f t="shared" si="16"/>
        <v>1</v>
      </c>
      <c r="N354" s="11">
        <f t="shared" si="17"/>
        <v>0</v>
      </c>
    </row>
    <row r="355" spans="1:14" x14ac:dyDescent="0.25">
      <c r="A355" s="12" t="s">
        <v>55</v>
      </c>
      <c r="B355" s="12">
        <f t="shared" si="15"/>
        <v>45261</v>
      </c>
      <c r="C355" s="12" t="str">
        <f>TEXT('Cleaned Datasets'!$B355,"MMMM")</f>
        <v>December</v>
      </c>
      <c r="D355" s="13" t="s">
        <v>11</v>
      </c>
      <c r="E355" s="13" t="s">
        <v>52</v>
      </c>
      <c r="F355" s="13" t="s">
        <v>26</v>
      </c>
      <c r="G355" s="13" t="s">
        <v>30</v>
      </c>
      <c r="H355" s="13" t="s">
        <v>19</v>
      </c>
      <c r="I355" s="13">
        <v>1</v>
      </c>
      <c r="J355" s="13">
        <v>1</v>
      </c>
      <c r="K355" s="13">
        <v>0</v>
      </c>
      <c r="L355" s="13">
        <v>3.1</v>
      </c>
      <c r="M355" s="14">
        <f t="shared" si="16"/>
        <v>1</v>
      </c>
      <c r="N355" s="14">
        <f t="shared" si="17"/>
        <v>0</v>
      </c>
    </row>
    <row r="356" spans="1:14" x14ac:dyDescent="0.25">
      <c r="A356" s="9" t="s">
        <v>45</v>
      </c>
      <c r="B356" s="9">
        <f t="shared" si="15"/>
        <v>45047</v>
      </c>
      <c r="C356" s="9" t="str">
        <f>TEXT('Cleaned Datasets'!$B356,"MMMM")</f>
        <v>May</v>
      </c>
      <c r="D356" s="10" t="s">
        <v>56</v>
      </c>
      <c r="E356" s="10" t="s">
        <v>57</v>
      </c>
      <c r="F356" s="10" t="s">
        <v>22</v>
      </c>
      <c r="G356" s="10" t="s">
        <v>22</v>
      </c>
      <c r="H356" s="10" t="s">
        <v>15</v>
      </c>
      <c r="I356" s="10">
        <v>3</v>
      </c>
      <c r="J356" s="10">
        <v>3</v>
      </c>
      <c r="K356" s="10">
        <v>0</v>
      </c>
      <c r="L356" s="10">
        <v>1.6</v>
      </c>
      <c r="M356" s="11">
        <f t="shared" si="16"/>
        <v>1</v>
      </c>
      <c r="N356" s="11">
        <f t="shared" si="17"/>
        <v>0</v>
      </c>
    </row>
    <row r="357" spans="1:14" x14ac:dyDescent="0.25">
      <c r="A357" s="12" t="s">
        <v>55</v>
      </c>
      <c r="B357" s="12">
        <f t="shared" si="15"/>
        <v>45261</v>
      </c>
      <c r="C357" s="12" t="str">
        <f>TEXT('Cleaned Datasets'!$B357,"MMMM")</f>
        <v>December</v>
      </c>
      <c r="D357" s="13" t="s">
        <v>37</v>
      </c>
      <c r="E357" s="13" t="s">
        <v>39</v>
      </c>
      <c r="F357" s="13" t="s">
        <v>40</v>
      </c>
      <c r="G357" s="13" t="s">
        <v>22</v>
      </c>
      <c r="H357" s="13" t="s">
        <v>15</v>
      </c>
      <c r="I357" s="13">
        <v>7</v>
      </c>
      <c r="J357" s="13">
        <v>6</v>
      </c>
      <c r="K357" s="13">
        <v>0</v>
      </c>
      <c r="L357" s="13">
        <v>2.4</v>
      </c>
      <c r="M357" s="14">
        <f t="shared" si="16"/>
        <v>0.8571428571428571</v>
      </c>
      <c r="N357" s="14">
        <f t="shared" si="17"/>
        <v>0</v>
      </c>
    </row>
    <row r="358" spans="1:14" x14ac:dyDescent="0.25">
      <c r="A358" s="9" t="s">
        <v>55</v>
      </c>
      <c r="B358" s="9">
        <f t="shared" si="15"/>
        <v>45261</v>
      </c>
      <c r="C358" s="9" t="str">
        <f>TEXT('Cleaned Datasets'!$B358,"MMMM")</f>
        <v>December</v>
      </c>
      <c r="D358" s="10" t="s">
        <v>46</v>
      </c>
      <c r="E358" s="10" t="s">
        <v>54</v>
      </c>
      <c r="F358" s="10" t="s">
        <v>22</v>
      </c>
      <c r="G358" s="10" t="s">
        <v>14</v>
      </c>
      <c r="H358" s="10" t="s">
        <v>15</v>
      </c>
      <c r="I358" s="10">
        <v>6</v>
      </c>
      <c r="J358" s="10">
        <v>6</v>
      </c>
      <c r="K358" s="10">
        <v>0</v>
      </c>
      <c r="L358" s="10">
        <v>3.4</v>
      </c>
      <c r="M358" s="11">
        <f t="shared" si="16"/>
        <v>1</v>
      </c>
      <c r="N358" s="11">
        <f t="shared" si="17"/>
        <v>0</v>
      </c>
    </row>
    <row r="359" spans="1:14" x14ac:dyDescent="0.25">
      <c r="A359" s="12" t="s">
        <v>33</v>
      </c>
      <c r="B359" s="12">
        <f t="shared" si="15"/>
        <v>44927</v>
      </c>
      <c r="C359" s="12" t="str">
        <f>TEXT('Cleaned Datasets'!$B359,"MMMM")</f>
        <v>January</v>
      </c>
      <c r="D359" s="13" t="s">
        <v>56</v>
      </c>
      <c r="E359" s="13" t="s">
        <v>62</v>
      </c>
      <c r="F359" s="13" t="s">
        <v>26</v>
      </c>
      <c r="G359" s="13" t="s">
        <v>18</v>
      </c>
      <c r="H359" s="13" t="s">
        <v>15</v>
      </c>
      <c r="I359" s="13">
        <v>5</v>
      </c>
      <c r="J359" s="13">
        <v>5</v>
      </c>
      <c r="K359" s="13">
        <v>1</v>
      </c>
      <c r="L359" s="13">
        <v>2.2000000000000002</v>
      </c>
      <c r="M359" s="14">
        <f t="shared" si="16"/>
        <v>1</v>
      </c>
      <c r="N359" s="14">
        <f t="shared" si="17"/>
        <v>0.2</v>
      </c>
    </row>
    <row r="360" spans="1:14" x14ac:dyDescent="0.25">
      <c r="A360" s="9" t="s">
        <v>20</v>
      </c>
      <c r="B360" s="9">
        <f t="shared" si="15"/>
        <v>45078</v>
      </c>
      <c r="C360" s="9" t="str">
        <f>TEXT('Cleaned Datasets'!$B360,"MMMM")</f>
        <v>June</v>
      </c>
      <c r="D360" s="10" t="s">
        <v>48</v>
      </c>
      <c r="E360" s="10" t="s">
        <v>49</v>
      </c>
      <c r="F360" s="10" t="s">
        <v>40</v>
      </c>
      <c r="G360" s="10" t="s">
        <v>53</v>
      </c>
      <c r="H360" s="10" t="s">
        <v>19</v>
      </c>
      <c r="I360" s="10">
        <v>5</v>
      </c>
      <c r="J360" s="10">
        <v>5</v>
      </c>
      <c r="K360" s="10">
        <v>0</v>
      </c>
      <c r="L360" s="10">
        <v>4.2</v>
      </c>
      <c r="M360" s="11">
        <f t="shared" si="16"/>
        <v>1</v>
      </c>
      <c r="N360" s="11">
        <f t="shared" si="17"/>
        <v>0</v>
      </c>
    </row>
    <row r="361" spans="1:14" x14ac:dyDescent="0.25">
      <c r="A361" s="12" t="s">
        <v>36</v>
      </c>
      <c r="B361" s="12">
        <f t="shared" si="15"/>
        <v>44986</v>
      </c>
      <c r="C361" s="12" t="str">
        <f>TEXT('Cleaned Datasets'!$B361,"MMMM")</f>
        <v>March</v>
      </c>
      <c r="D361" s="13" t="s">
        <v>56</v>
      </c>
      <c r="E361" s="13" t="s">
        <v>62</v>
      </c>
      <c r="F361" s="13" t="s">
        <v>13</v>
      </c>
      <c r="G361" s="13" t="s">
        <v>30</v>
      </c>
      <c r="H361" s="13" t="s">
        <v>15</v>
      </c>
      <c r="I361" s="13">
        <v>7</v>
      </c>
      <c r="J361" s="13">
        <v>5</v>
      </c>
      <c r="K361" s="13">
        <v>0</v>
      </c>
      <c r="L361" s="13">
        <v>3.1</v>
      </c>
      <c r="M361" s="14">
        <f t="shared" si="16"/>
        <v>0.7142857142857143</v>
      </c>
      <c r="N361" s="14">
        <f t="shared" si="17"/>
        <v>0</v>
      </c>
    </row>
    <row r="362" spans="1:14" x14ac:dyDescent="0.25">
      <c r="A362" s="9" t="s">
        <v>59</v>
      </c>
      <c r="B362" s="9">
        <f t="shared" si="15"/>
        <v>45170</v>
      </c>
      <c r="C362" s="9" t="str">
        <f>TEXT('Cleaned Datasets'!$B362,"MMMM")</f>
        <v>September</v>
      </c>
      <c r="D362" s="10" t="s">
        <v>28</v>
      </c>
      <c r="E362" s="10" t="s">
        <v>58</v>
      </c>
      <c r="F362" s="10" t="s">
        <v>13</v>
      </c>
      <c r="G362" s="10" t="s">
        <v>14</v>
      </c>
      <c r="H362" s="10" t="s">
        <v>19</v>
      </c>
      <c r="I362" s="10">
        <v>4</v>
      </c>
      <c r="J362" s="10">
        <v>4</v>
      </c>
      <c r="K362" s="10">
        <v>1</v>
      </c>
      <c r="L362" s="10">
        <v>3.8</v>
      </c>
      <c r="M362" s="11">
        <f t="shared" si="16"/>
        <v>1</v>
      </c>
      <c r="N362" s="11">
        <f t="shared" si="17"/>
        <v>0.25</v>
      </c>
    </row>
    <row r="363" spans="1:14" x14ac:dyDescent="0.25">
      <c r="A363" s="12" t="s">
        <v>45</v>
      </c>
      <c r="B363" s="12">
        <f t="shared" si="15"/>
        <v>45047</v>
      </c>
      <c r="C363" s="12" t="str">
        <f>TEXT('Cleaned Datasets'!$B363,"MMMM")</f>
        <v>May</v>
      </c>
      <c r="D363" s="13" t="s">
        <v>56</v>
      </c>
      <c r="E363" s="13" t="s">
        <v>62</v>
      </c>
      <c r="F363" s="13" t="s">
        <v>22</v>
      </c>
      <c r="G363" s="13" t="s">
        <v>22</v>
      </c>
      <c r="H363" s="13" t="s">
        <v>19</v>
      </c>
      <c r="I363" s="13">
        <v>3</v>
      </c>
      <c r="J363" s="13">
        <v>3</v>
      </c>
      <c r="K363" s="13">
        <v>0</v>
      </c>
      <c r="L363" s="13">
        <v>0.8</v>
      </c>
      <c r="M363" s="14">
        <f t="shared" si="16"/>
        <v>1</v>
      </c>
      <c r="N363" s="14">
        <f t="shared" si="17"/>
        <v>0</v>
      </c>
    </row>
    <row r="364" spans="1:14" x14ac:dyDescent="0.25">
      <c r="A364" s="9" t="s">
        <v>36</v>
      </c>
      <c r="B364" s="9">
        <f t="shared" si="15"/>
        <v>44986</v>
      </c>
      <c r="C364" s="9" t="str">
        <f>TEXT('Cleaned Datasets'!$B364,"MMMM")</f>
        <v>March</v>
      </c>
      <c r="D364" s="10" t="s">
        <v>28</v>
      </c>
      <c r="E364" s="10" t="s">
        <v>58</v>
      </c>
      <c r="F364" s="10" t="s">
        <v>21</v>
      </c>
      <c r="G364" s="10" t="s">
        <v>14</v>
      </c>
      <c r="H364" s="10" t="s">
        <v>19</v>
      </c>
      <c r="I364" s="10">
        <v>5</v>
      </c>
      <c r="J364" s="10">
        <v>5</v>
      </c>
      <c r="K364" s="10">
        <v>0</v>
      </c>
      <c r="L364" s="10">
        <v>2.4</v>
      </c>
      <c r="M364" s="11">
        <f t="shared" si="16"/>
        <v>1</v>
      </c>
      <c r="N364" s="11">
        <f t="shared" si="17"/>
        <v>0</v>
      </c>
    </row>
    <row r="365" spans="1:14" x14ac:dyDescent="0.25">
      <c r="A365" s="12" t="s">
        <v>61</v>
      </c>
      <c r="B365" s="12">
        <f t="shared" si="15"/>
        <v>45231</v>
      </c>
      <c r="C365" s="12" t="str">
        <f>TEXT('Cleaned Datasets'!$B365,"MMMM")</f>
        <v>November</v>
      </c>
      <c r="D365" s="13" t="s">
        <v>46</v>
      </c>
      <c r="E365" s="13" t="s">
        <v>54</v>
      </c>
      <c r="F365" s="13" t="s">
        <v>13</v>
      </c>
      <c r="G365" s="13" t="s">
        <v>18</v>
      </c>
      <c r="H365" s="13" t="s">
        <v>15</v>
      </c>
      <c r="I365" s="13">
        <v>3</v>
      </c>
      <c r="J365" s="13">
        <v>3</v>
      </c>
      <c r="K365" s="13">
        <v>0</v>
      </c>
      <c r="L365" s="13">
        <v>0.8</v>
      </c>
      <c r="M365" s="14">
        <f t="shared" si="16"/>
        <v>1</v>
      </c>
      <c r="N365" s="14">
        <f t="shared" si="17"/>
        <v>0</v>
      </c>
    </row>
    <row r="366" spans="1:14" x14ac:dyDescent="0.25">
      <c r="A366" s="9" t="s">
        <v>43</v>
      </c>
      <c r="B366" s="9">
        <f t="shared" si="15"/>
        <v>44958</v>
      </c>
      <c r="C366" s="9" t="str">
        <f>TEXT('Cleaned Datasets'!$B366,"MMMM")</f>
        <v>February</v>
      </c>
      <c r="D366" s="10" t="s">
        <v>37</v>
      </c>
      <c r="E366" s="10" t="s">
        <v>38</v>
      </c>
      <c r="F366" s="10" t="s">
        <v>40</v>
      </c>
      <c r="G366" s="10" t="s">
        <v>53</v>
      </c>
      <c r="H366" s="10" t="s">
        <v>19</v>
      </c>
      <c r="I366" s="10">
        <v>1</v>
      </c>
      <c r="J366" s="10">
        <v>1</v>
      </c>
      <c r="K366" s="10">
        <v>0</v>
      </c>
      <c r="L366" s="10">
        <v>2.2999999999999998</v>
      </c>
      <c r="M366" s="11">
        <f t="shared" si="16"/>
        <v>1</v>
      </c>
      <c r="N366" s="11">
        <f t="shared" si="17"/>
        <v>0</v>
      </c>
    </row>
    <row r="367" spans="1:14" x14ac:dyDescent="0.25">
      <c r="A367" s="12" t="s">
        <v>36</v>
      </c>
      <c r="B367" s="12">
        <f t="shared" si="15"/>
        <v>44986</v>
      </c>
      <c r="C367" s="12" t="str">
        <f>TEXT('Cleaned Datasets'!$B367,"MMMM")</f>
        <v>March</v>
      </c>
      <c r="D367" s="13" t="s">
        <v>11</v>
      </c>
      <c r="E367" s="13" t="s">
        <v>52</v>
      </c>
      <c r="F367" s="13" t="s">
        <v>26</v>
      </c>
      <c r="G367" s="13" t="s">
        <v>22</v>
      </c>
      <c r="H367" s="13" t="s">
        <v>19</v>
      </c>
      <c r="I367" s="13">
        <v>8</v>
      </c>
      <c r="J367" s="13">
        <v>7</v>
      </c>
      <c r="K367" s="13">
        <v>0</v>
      </c>
      <c r="L367" s="13">
        <v>3.1</v>
      </c>
      <c r="M367" s="14">
        <f t="shared" si="16"/>
        <v>0.875</v>
      </c>
      <c r="N367" s="14">
        <f t="shared" si="17"/>
        <v>0</v>
      </c>
    </row>
    <row r="368" spans="1:14" x14ac:dyDescent="0.25">
      <c r="A368" s="9" t="s">
        <v>50</v>
      </c>
      <c r="B368" s="9">
        <f t="shared" si="15"/>
        <v>45108</v>
      </c>
      <c r="C368" s="9" t="str">
        <f>TEXT('Cleaned Datasets'!$B368,"MMMM")</f>
        <v>July</v>
      </c>
      <c r="D368" s="10" t="s">
        <v>56</v>
      </c>
      <c r="E368" s="10" t="s">
        <v>62</v>
      </c>
      <c r="F368" s="10" t="s">
        <v>32</v>
      </c>
      <c r="G368" s="10" t="s">
        <v>14</v>
      </c>
      <c r="H368" s="10" t="s">
        <v>19</v>
      </c>
      <c r="I368" s="10">
        <v>10</v>
      </c>
      <c r="J368" s="10">
        <v>9</v>
      </c>
      <c r="K368" s="10">
        <v>1</v>
      </c>
      <c r="L368" s="10">
        <v>2.2000000000000002</v>
      </c>
      <c r="M368" s="11">
        <f t="shared" si="16"/>
        <v>0.9</v>
      </c>
      <c r="N368" s="11">
        <f t="shared" si="17"/>
        <v>0.1</v>
      </c>
    </row>
    <row r="369" spans="1:14" x14ac:dyDescent="0.25">
      <c r="A369" s="12" t="s">
        <v>33</v>
      </c>
      <c r="B369" s="12">
        <f t="shared" si="15"/>
        <v>44927</v>
      </c>
      <c r="C369" s="12" t="str">
        <f>TEXT('Cleaned Datasets'!$B369,"MMMM")</f>
        <v>January</v>
      </c>
      <c r="D369" s="13" t="s">
        <v>37</v>
      </c>
      <c r="E369" s="13" t="s">
        <v>38</v>
      </c>
      <c r="F369" s="13" t="s">
        <v>40</v>
      </c>
      <c r="G369" s="13" t="s">
        <v>22</v>
      </c>
      <c r="H369" s="13" t="s">
        <v>19</v>
      </c>
      <c r="I369" s="13">
        <v>4</v>
      </c>
      <c r="J369" s="13">
        <v>4</v>
      </c>
      <c r="K369" s="13">
        <v>0</v>
      </c>
      <c r="L369" s="13">
        <v>2.2999999999999998</v>
      </c>
      <c r="M369" s="14">
        <f t="shared" si="16"/>
        <v>1</v>
      </c>
      <c r="N369" s="14">
        <f t="shared" si="17"/>
        <v>0</v>
      </c>
    </row>
    <row r="370" spans="1:14" x14ac:dyDescent="0.25">
      <c r="A370" s="9" t="s">
        <v>43</v>
      </c>
      <c r="B370" s="9">
        <f t="shared" si="15"/>
        <v>44958</v>
      </c>
      <c r="C370" s="9" t="str">
        <f>TEXT('Cleaned Datasets'!$B370,"MMMM")</f>
        <v>February</v>
      </c>
      <c r="D370" s="10" t="s">
        <v>16</v>
      </c>
      <c r="E370" s="10" t="s">
        <v>60</v>
      </c>
      <c r="F370" s="10" t="s">
        <v>21</v>
      </c>
      <c r="G370" s="10" t="s">
        <v>14</v>
      </c>
      <c r="H370" s="10" t="s">
        <v>15</v>
      </c>
      <c r="I370" s="10">
        <v>6</v>
      </c>
      <c r="J370" s="10">
        <v>5</v>
      </c>
      <c r="K370" s="10">
        <v>0</v>
      </c>
      <c r="L370" s="10">
        <v>3.2</v>
      </c>
      <c r="M370" s="11">
        <f t="shared" si="16"/>
        <v>0.83333333333333337</v>
      </c>
      <c r="N370" s="11">
        <f t="shared" si="17"/>
        <v>0</v>
      </c>
    </row>
    <row r="371" spans="1:14" x14ac:dyDescent="0.25">
      <c r="A371" s="12" t="s">
        <v>10</v>
      </c>
      <c r="B371" s="12">
        <f t="shared" si="15"/>
        <v>45017</v>
      </c>
      <c r="C371" s="12" t="str">
        <f>TEXT('Cleaned Datasets'!$B371,"MMMM")</f>
        <v>April</v>
      </c>
      <c r="D371" s="13" t="s">
        <v>48</v>
      </c>
      <c r="E371" s="13" t="s">
        <v>49</v>
      </c>
      <c r="F371" s="13" t="s">
        <v>21</v>
      </c>
      <c r="G371" s="13" t="s">
        <v>18</v>
      </c>
      <c r="H371" s="13" t="s">
        <v>15</v>
      </c>
      <c r="I371" s="13">
        <v>4</v>
      </c>
      <c r="J371" s="13">
        <v>4</v>
      </c>
      <c r="K371" s="13">
        <v>0</v>
      </c>
      <c r="L371" s="13">
        <v>3.6</v>
      </c>
      <c r="M371" s="14">
        <f t="shared" si="16"/>
        <v>1</v>
      </c>
      <c r="N371" s="14">
        <f t="shared" si="17"/>
        <v>0</v>
      </c>
    </row>
    <row r="372" spans="1:14" x14ac:dyDescent="0.25">
      <c r="A372" s="9" t="s">
        <v>33</v>
      </c>
      <c r="B372" s="9">
        <f t="shared" si="15"/>
        <v>44927</v>
      </c>
      <c r="C372" s="9" t="str">
        <f>TEXT('Cleaned Datasets'!$B372,"MMMM")</f>
        <v>January</v>
      </c>
      <c r="D372" s="10" t="s">
        <v>24</v>
      </c>
      <c r="E372" s="10" t="s">
        <v>64</v>
      </c>
      <c r="F372" s="10" t="s">
        <v>40</v>
      </c>
      <c r="G372" s="10" t="s">
        <v>18</v>
      </c>
      <c r="H372" s="10" t="s">
        <v>19</v>
      </c>
      <c r="I372" s="10">
        <v>5</v>
      </c>
      <c r="J372" s="10">
        <v>4</v>
      </c>
      <c r="K372" s="10">
        <v>0</v>
      </c>
      <c r="L372" s="10">
        <v>2.5</v>
      </c>
      <c r="M372" s="11">
        <f t="shared" si="16"/>
        <v>0.8</v>
      </c>
      <c r="N372" s="11">
        <f t="shared" si="17"/>
        <v>0</v>
      </c>
    </row>
    <row r="373" spans="1:14" x14ac:dyDescent="0.25">
      <c r="A373" s="12" t="s">
        <v>23</v>
      </c>
      <c r="B373" s="12">
        <f t="shared" si="15"/>
        <v>45200</v>
      </c>
      <c r="C373" s="12" t="str">
        <f>TEXT('Cleaned Datasets'!$B373,"MMMM")</f>
        <v>October</v>
      </c>
      <c r="D373" s="13" t="s">
        <v>48</v>
      </c>
      <c r="E373" s="13" t="s">
        <v>63</v>
      </c>
      <c r="F373" s="13" t="s">
        <v>40</v>
      </c>
      <c r="G373" s="13" t="s">
        <v>14</v>
      </c>
      <c r="H373" s="13" t="s">
        <v>15</v>
      </c>
      <c r="I373" s="13">
        <v>3</v>
      </c>
      <c r="J373" s="13">
        <v>3</v>
      </c>
      <c r="K373" s="13">
        <v>0</v>
      </c>
      <c r="L373" s="13">
        <v>2.9</v>
      </c>
      <c r="M373" s="14">
        <f t="shared" si="16"/>
        <v>1</v>
      </c>
      <c r="N373" s="14">
        <f t="shared" si="17"/>
        <v>0</v>
      </c>
    </row>
    <row r="374" spans="1:14" x14ac:dyDescent="0.25">
      <c r="A374" s="9" t="s">
        <v>55</v>
      </c>
      <c r="B374" s="9">
        <f t="shared" si="15"/>
        <v>45261</v>
      </c>
      <c r="C374" s="9" t="str">
        <f>TEXT('Cleaned Datasets'!$B374,"MMMM")</f>
        <v>December</v>
      </c>
      <c r="D374" s="10" t="s">
        <v>46</v>
      </c>
      <c r="E374" s="10" t="s">
        <v>47</v>
      </c>
      <c r="F374" s="10" t="s">
        <v>22</v>
      </c>
      <c r="G374" s="10" t="s">
        <v>53</v>
      </c>
      <c r="H374" s="10" t="s">
        <v>19</v>
      </c>
      <c r="I374" s="10">
        <v>10</v>
      </c>
      <c r="J374" s="10">
        <v>10</v>
      </c>
      <c r="K374" s="10">
        <v>0</v>
      </c>
      <c r="L374" s="10">
        <v>3.8</v>
      </c>
      <c r="M374" s="11">
        <f t="shared" si="16"/>
        <v>1</v>
      </c>
      <c r="N374" s="11">
        <f t="shared" si="17"/>
        <v>0</v>
      </c>
    </row>
    <row r="375" spans="1:14" x14ac:dyDescent="0.25">
      <c r="A375" s="12" t="s">
        <v>61</v>
      </c>
      <c r="B375" s="12">
        <f t="shared" si="15"/>
        <v>45231</v>
      </c>
      <c r="C375" s="12" t="str">
        <f>TEXT('Cleaned Datasets'!$B375,"MMMM")</f>
        <v>November</v>
      </c>
      <c r="D375" s="13" t="s">
        <v>34</v>
      </c>
      <c r="E375" s="13" t="s">
        <v>51</v>
      </c>
      <c r="F375" s="13" t="s">
        <v>32</v>
      </c>
      <c r="G375" s="13" t="s">
        <v>30</v>
      </c>
      <c r="H375" s="13" t="s">
        <v>15</v>
      </c>
      <c r="I375" s="13">
        <v>4</v>
      </c>
      <c r="J375" s="13">
        <v>4</v>
      </c>
      <c r="K375" s="13">
        <v>0</v>
      </c>
      <c r="L375" s="13">
        <v>3.6</v>
      </c>
      <c r="M375" s="14">
        <f t="shared" si="16"/>
        <v>1</v>
      </c>
      <c r="N375" s="14">
        <f t="shared" si="17"/>
        <v>0</v>
      </c>
    </row>
    <row r="376" spans="1:14" x14ac:dyDescent="0.25">
      <c r="A376" s="9" t="s">
        <v>10</v>
      </c>
      <c r="B376" s="9">
        <f t="shared" si="15"/>
        <v>45017</v>
      </c>
      <c r="C376" s="9" t="str">
        <f>TEXT('Cleaned Datasets'!$B376,"MMMM")</f>
        <v>April</v>
      </c>
      <c r="D376" s="10" t="s">
        <v>16</v>
      </c>
      <c r="E376" s="10" t="s">
        <v>17</v>
      </c>
      <c r="F376" s="10" t="s">
        <v>32</v>
      </c>
      <c r="G376" s="10" t="s">
        <v>14</v>
      </c>
      <c r="H376" s="10" t="s">
        <v>19</v>
      </c>
      <c r="I376" s="10">
        <v>6</v>
      </c>
      <c r="J376" s="10">
        <v>5</v>
      </c>
      <c r="K376" s="10">
        <v>0</v>
      </c>
      <c r="L376" s="10">
        <v>3.4</v>
      </c>
      <c r="M376" s="11">
        <f t="shared" si="16"/>
        <v>0.83333333333333337</v>
      </c>
      <c r="N376" s="11">
        <f t="shared" si="17"/>
        <v>0</v>
      </c>
    </row>
    <row r="377" spans="1:14" x14ac:dyDescent="0.25">
      <c r="A377" s="12" t="s">
        <v>23</v>
      </c>
      <c r="B377" s="12">
        <f t="shared" si="15"/>
        <v>45200</v>
      </c>
      <c r="C377" s="12" t="str">
        <f>TEXT('Cleaned Datasets'!$B377,"MMMM")</f>
        <v>October</v>
      </c>
      <c r="D377" s="13" t="s">
        <v>28</v>
      </c>
      <c r="E377" s="13" t="s">
        <v>29</v>
      </c>
      <c r="F377" s="13" t="s">
        <v>13</v>
      </c>
      <c r="G377" s="13" t="s">
        <v>30</v>
      </c>
      <c r="H377" s="13" t="s">
        <v>15</v>
      </c>
      <c r="I377" s="13">
        <v>10</v>
      </c>
      <c r="J377" s="13">
        <v>9</v>
      </c>
      <c r="K377" s="13">
        <v>2</v>
      </c>
      <c r="L377" s="13">
        <v>4.0999999999999996</v>
      </c>
      <c r="M377" s="14">
        <f t="shared" si="16"/>
        <v>0.9</v>
      </c>
      <c r="N377" s="14">
        <f t="shared" si="17"/>
        <v>0.2</v>
      </c>
    </row>
    <row r="378" spans="1:14" x14ac:dyDescent="0.25">
      <c r="A378" s="9" t="s">
        <v>59</v>
      </c>
      <c r="B378" s="9">
        <f t="shared" si="15"/>
        <v>45170</v>
      </c>
      <c r="C378" s="9" t="str">
        <f>TEXT('Cleaned Datasets'!$B378,"MMMM")</f>
        <v>September</v>
      </c>
      <c r="D378" s="10" t="s">
        <v>24</v>
      </c>
      <c r="E378" s="10" t="s">
        <v>64</v>
      </c>
      <c r="F378" s="10" t="s">
        <v>22</v>
      </c>
      <c r="G378" s="10" t="s">
        <v>27</v>
      </c>
      <c r="H378" s="10" t="s">
        <v>15</v>
      </c>
      <c r="I378" s="10">
        <v>10</v>
      </c>
      <c r="J378" s="10">
        <v>9</v>
      </c>
      <c r="K378" s="10">
        <v>1</v>
      </c>
      <c r="L378" s="10">
        <v>1.9</v>
      </c>
      <c r="M378" s="11">
        <f t="shared" si="16"/>
        <v>0.9</v>
      </c>
      <c r="N378" s="11">
        <f t="shared" si="17"/>
        <v>0.1</v>
      </c>
    </row>
    <row r="379" spans="1:14" x14ac:dyDescent="0.25">
      <c r="A379" s="12" t="s">
        <v>20</v>
      </c>
      <c r="B379" s="12">
        <f t="shared" si="15"/>
        <v>45078</v>
      </c>
      <c r="C379" s="12" t="str">
        <f>TEXT('Cleaned Datasets'!$B379,"MMMM")</f>
        <v>June</v>
      </c>
      <c r="D379" s="13" t="s">
        <v>34</v>
      </c>
      <c r="E379" s="13" t="s">
        <v>35</v>
      </c>
      <c r="F379" s="13" t="s">
        <v>22</v>
      </c>
      <c r="G379" s="13" t="s">
        <v>18</v>
      </c>
      <c r="H379" s="13" t="s">
        <v>19</v>
      </c>
      <c r="I379" s="13">
        <v>7</v>
      </c>
      <c r="J379" s="13">
        <v>6</v>
      </c>
      <c r="K379" s="13">
        <v>0</v>
      </c>
      <c r="L379" s="13">
        <v>4.5</v>
      </c>
      <c r="M379" s="14">
        <f t="shared" si="16"/>
        <v>0.8571428571428571</v>
      </c>
      <c r="N379" s="14">
        <f t="shared" si="17"/>
        <v>0</v>
      </c>
    </row>
    <row r="380" spans="1:14" x14ac:dyDescent="0.25">
      <c r="A380" s="9" t="s">
        <v>36</v>
      </c>
      <c r="B380" s="9">
        <f t="shared" si="15"/>
        <v>44986</v>
      </c>
      <c r="C380" s="9" t="str">
        <f>TEXT('Cleaned Datasets'!$B380,"MMMM")</f>
        <v>March</v>
      </c>
      <c r="D380" s="10" t="s">
        <v>37</v>
      </c>
      <c r="E380" s="10" t="s">
        <v>38</v>
      </c>
      <c r="F380" s="10" t="s">
        <v>22</v>
      </c>
      <c r="G380" s="10" t="s">
        <v>22</v>
      </c>
      <c r="H380" s="10" t="s">
        <v>19</v>
      </c>
      <c r="I380" s="10">
        <v>5</v>
      </c>
      <c r="J380" s="10">
        <v>5</v>
      </c>
      <c r="K380" s="10">
        <v>1</v>
      </c>
      <c r="L380" s="10">
        <v>4.5999999999999996</v>
      </c>
      <c r="M380" s="11">
        <f t="shared" si="16"/>
        <v>1</v>
      </c>
      <c r="N380" s="11">
        <f t="shared" si="17"/>
        <v>0.2</v>
      </c>
    </row>
    <row r="381" spans="1:14" x14ac:dyDescent="0.25">
      <c r="A381" s="12" t="s">
        <v>59</v>
      </c>
      <c r="B381" s="12">
        <f t="shared" si="15"/>
        <v>45170</v>
      </c>
      <c r="C381" s="12" t="str">
        <f>TEXT('Cleaned Datasets'!$B381,"MMMM")</f>
        <v>September</v>
      </c>
      <c r="D381" s="13" t="s">
        <v>11</v>
      </c>
      <c r="E381" s="13" t="s">
        <v>52</v>
      </c>
      <c r="F381" s="13" t="s">
        <v>21</v>
      </c>
      <c r="G381" s="13" t="s">
        <v>30</v>
      </c>
      <c r="H381" s="13" t="s">
        <v>19</v>
      </c>
      <c r="I381" s="13">
        <v>7</v>
      </c>
      <c r="J381" s="13">
        <v>7</v>
      </c>
      <c r="K381" s="13">
        <v>1</v>
      </c>
      <c r="L381" s="13">
        <v>3.9</v>
      </c>
      <c r="M381" s="14">
        <f t="shared" si="16"/>
        <v>1</v>
      </c>
      <c r="N381" s="14">
        <f t="shared" si="17"/>
        <v>0.14285714285714285</v>
      </c>
    </row>
    <row r="382" spans="1:14" x14ac:dyDescent="0.25">
      <c r="A382" s="9" t="s">
        <v>23</v>
      </c>
      <c r="B382" s="9">
        <f t="shared" si="15"/>
        <v>45200</v>
      </c>
      <c r="C382" s="9" t="str">
        <f>TEXT('Cleaned Datasets'!$B382,"MMMM")</f>
        <v>October</v>
      </c>
      <c r="D382" s="10" t="s">
        <v>11</v>
      </c>
      <c r="E382" s="10" t="s">
        <v>52</v>
      </c>
      <c r="F382" s="10" t="s">
        <v>22</v>
      </c>
      <c r="G382" s="10" t="s">
        <v>53</v>
      </c>
      <c r="H382" s="10" t="s">
        <v>15</v>
      </c>
      <c r="I382" s="10">
        <v>3</v>
      </c>
      <c r="J382" s="10">
        <v>3</v>
      </c>
      <c r="K382" s="10">
        <v>0</v>
      </c>
      <c r="L382" s="10">
        <v>3.2</v>
      </c>
      <c r="M382" s="11">
        <f t="shared" si="16"/>
        <v>1</v>
      </c>
      <c r="N382" s="11">
        <f t="shared" si="17"/>
        <v>0</v>
      </c>
    </row>
    <row r="383" spans="1:14" x14ac:dyDescent="0.25">
      <c r="A383" s="12" t="s">
        <v>20</v>
      </c>
      <c r="B383" s="12">
        <f t="shared" si="15"/>
        <v>45078</v>
      </c>
      <c r="C383" s="12" t="str">
        <f>TEXT('Cleaned Datasets'!$B383,"MMMM")</f>
        <v>June</v>
      </c>
      <c r="D383" s="13" t="s">
        <v>48</v>
      </c>
      <c r="E383" s="13" t="s">
        <v>63</v>
      </c>
      <c r="F383" s="13" t="s">
        <v>26</v>
      </c>
      <c r="G383" s="13" t="s">
        <v>18</v>
      </c>
      <c r="H383" s="13" t="s">
        <v>15</v>
      </c>
      <c r="I383" s="13">
        <v>8</v>
      </c>
      <c r="J383" s="13">
        <v>7</v>
      </c>
      <c r="K383" s="13">
        <v>3</v>
      </c>
      <c r="L383" s="13">
        <v>2.2000000000000002</v>
      </c>
      <c r="M383" s="14">
        <f t="shared" si="16"/>
        <v>0.875</v>
      </c>
      <c r="N383" s="14">
        <f t="shared" si="17"/>
        <v>0.375</v>
      </c>
    </row>
    <row r="384" spans="1:14" x14ac:dyDescent="0.25">
      <c r="A384" s="9" t="s">
        <v>23</v>
      </c>
      <c r="B384" s="9">
        <f t="shared" si="15"/>
        <v>45200</v>
      </c>
      <c r="C384" s="9" t="str">
        <f>TEXT('Cleaned Datasets'!$B384,"MMMM")</f>
        <v>October</v>
      </c>
      <c r="D384" s="10" t="s">
        <v>34</v>
      </c>
      <c r="E384" s="10" t="s">
        <v>35</v>
      </c>
      <c r="F384" s="10" t="s">
        <v>32</v>
      </c>
      <c r="G384" s="10" t="s">
        <v>18</v>
      </c>
      <c r="H384" s="10" t="s">
        <v>15</v>
      </c>
      <c r="I384" s="10">
        <v>5</v>
      </c>
      <c r="J384" s="10">
        <v>5</v>
      </c>
      <c r="K384" s="10">
        <v>0</v>
      </c>
      <c r="L384" s="10">
        <v>3.3</v>
      </c>
      <c r="M384" s="11">
        <f t="shared" si="16"/>
        <v>1</v>
      </c>
      <c r="N384" s="11">
        <f t="shared" si="17"/>
        <v>0</v>
      </c>
    </row>
    <row r="385" spans="1:14" x14ac:dyDescent="0.25">
      <c r="A385" s="12" t="s">
        <v>59</v>
      </c>
      <c r="B385" s="12">
        <f t="shared" si="15"/>
        <v>45170</v>
      </c>
      <c r="C385" s="12" t="str">
        <f>TEXT('Cleaned Datasets'!$B385,"MMMM")</f>
        <v>September</v>
      </c>
      <c r="D385" s="13" t="s">
        <v>16</v>
      </c>
      <c r="E385" s="13" t="s">
        <v>17</v>
      </c>
      <c r="F385" s="13" t="s">
        <v>13</v>
      </c>
      <c r="G385" s="13" t="s">
        <v>18</v>
      </c>
      <c r="H385" s="13" t="s">
        <v>15</v>
      </c>
      <c r="I385" s="13">
        <v>3</v>
      </c>
      <c r="J385" s="13">
        <v>3</v>
      </c>
      <c r="K385" s="13">
        <v>0</v>
      </c>
      <c r="L385" s="13">
        <v>3.3</v>
      </c>
      <c r="M385" s="14">
        <f t="shared" si="16"/>
        <v>1</v>
      </c>
      <c r="N385" s="14">
        <f t="shared" si="17"/>
        <v>0</v>
      </c>
    </row>
    <row r="386" spans="1:14" x14ac:dyDescent="0.25">
      <c r="A386" s="9" t="s">
        <v>10</v>
      </c>
      <c r="B386" s="9">
        <f t="shared" si="15"/>
        <v>45017</v>
      </c>
      <c r="C386" s="9" t="str">
        <f>TEXT('Cleaned Datasets'!$B386,"MMMM")</f>
        <v>April</v>
      </c>
      <c r="D386" s="10" t="s">
        <v>11</v>
      </c>
      <c r="E386" s="10" t="s">
        <v>52</v>
      </c>
      <c r="F386" s="10" t="s">
        <v>32</v>
      </c>
      <c r="G386" s="10" t="s">
        <v>53</v>
      </c>
      <c r="H386" s="10" t="s">
        <v>15</v>
      </c>
      <c r="I386" s="10">
        <v>3</v>
      </c>
      <c r="J386" s="10">
        <v>3</v>
      </c>
      <c r="K386" s="10">
        <v>1</v>
      </c>
      <c r="L386" s="10">
        <v>1.3</v>
      </c>
      <c r="M386" s="11">
        <f t="shared" si="16"/>
        <v>1</v>
      </c>
      <c r="N386" s="11">
        <f t="shared" si="17"/>
        <v>0.33333333333333331</v>
      </c>
    </row>
    <row r="387" spans="1:14" x14ac:dyDescent="0.25">
      <c r="A387" s="12" t="s">
        <v>36</v>
      </c>
      <c r="B387" s="12">
        <f t="shared" ref="B387:B450" si="18">DATE(LEFT(A387,4), RIGHT(A387,2), 1)</f>
        <v>44986</v>
      </c>
      <c r="C387" s="12" t="str">
        <f>TEXT('Cleaned Datasets'!$B387,"MMMM")</f>
        <v>March</v>
      </c>
      <c r="D387" s="13" t="s">
        <v>48</v>
      </c>
      <c r="E387" s="13" t="s">
        <v>49</v>
      </c>
      <c r="F387" s="13" t="s">
        <v>40</v>
      </c>
      <c r="G387" s="13" t="s">
        <v>18</v>
      </c>
      <c r="H387" s="13" t="s">
        <v>19</v>
      </c>
      <c r="I387" s="13">
        <v>4</v>
      </c>
      <c r="J387" s="13">
        <v>4</v>
      </c>
      <c r="K387" s="13">
        <v>0</v>
      </c>
      <c r="L387" s="13">
        <v>2.5</v>
      </c>
      <c r="M387" s="14">
        <f t="shared" ref="M387:M450" si="19">IFERROR(J387/I387,0)</f>
        <v>1</v>
      </c>
      <c r="N387" s="14">
        <f t="shared" ref="N387:N450" si="20">IFERROR(K387/I387,0)</f>
        <v>0</v>
      </c>
    </row>
    <row r="388" spans="1:14" x14ac:dyDescent="0.25">
      <c r="A388" s="9" t="s">
        <v>36</v>
      </c>
      <c r="B388" s="9">
        <f t="shared" si="18"/>
        <v>44986</v>
      </c>
      <c r="C388" s="9" t="str">
        <f>TEXT('Cleaned Datasets'!$B388,"MMMM")</f>
        <v>March</v>
      </c>
      <c r="D388" s="10" t="s">
        <v>48</v>
      </c>
      <c r="E388" s="10" t="s">
        <v>63</v>
      </c>
      <c r="F388" s="10" t="s">
        <v>26</v>
      </c>
      <c r="G388" s="10" t="s">
        <v>22</v>
      </c>
      <c r="H388" s="10" t="s">
        <v>15</v>
      </c>
      <c r="I388" s="10">
        <v>4</v>
      </c>
      <c r="J388" s="10">
        <v>4</v>
      </c>
      <c r="K388" s="10">
        <v>1</v>
      </c>
      <c r="L388" s="10">
        <v>1.1000000000000001</v>
      </c>
      <c r="M388" s="11">
        <f t="shared" si="19"/>
        <v>1</v>
      </c>
      <c r="N388" s="11">
        <f t="shared" si="20"/>
        <v>0.25</v>
      </c>
    </row>
    <row r="389" spans="1:14" x14ac:dyDescent="0.25">
      <c r="A389" s="12" t="s">
        <v>43</v>
      </c>
      <c r="B389" s="12">
        <f t="shared" si="18"/>
        <v>44958</v>
      </c>
      <c r="C389" s="12" t="str">
        <f>TEXT('Cleaned Datasets'!$B389,"MMMM")</f>
        <v>February</v>
      </c>
      <c r="D389" s="13" t="s">
        <v>34</v>
      </c>
      <c r="E389" s="13" t="s">
        <v>35</v>
      </c>
      <c r="F389" s="13" t="s">
        <v>26</v>
      </c>
      <c r="G389" s="13" t="s">
        <v>30</v>
      </c>
      <c r="H389" s="13" t="s">
        <v>19</v>
      </c>
      <c r="I389" s="13">
        <v>5</v>
      </c>
      <c r="J389" s="13">
        <v>4</v>
      </c>
      <c r="K389" s="13">
        <v>0</v>
      </c>
      <c r="L389" s="13">
        <v>2.8</v>
      </c>
      <c r="M389" s="14">
        <f t="shared" si="19"/>
        <v>0.8</v>
      </c>
      <c r="N389" s="14">
        <f t="shared" si="20"/>
        <v>0</v>
      </c>
    </row>
    <row r="390" spans="1:14" x14ac:dyDescent="0.25">
      <c r="A390" s="9" t="s">
        <v>36</v>
      </c>
      <c r="B390" s="9">
        <f t="shared" si="18"/>
        <v>44986</v>
      </c>
      <c r="C390" s="9" t="str">
        <f>TEXT('Cleaned Datasets'!$B390,"MMMM")</f>
        <v>March</v>
      </c>
      <c r="D390" s="10" t="s">
        <v>11</v>
      </c>
      <c r="E390" s="10" t="s">
        <v>52</v>
      </c>
      <c r="F390" s="10" t="s">
        <v>22</v>
      </c>
      <c r="G390" s="10" t="s">
        <v>53</v>
      </c>
      <c r="H390" s="10" t="s">
        <v>15</v>
      </c>
      <c r="I390" s="10">
        <v>3</v>
      </c>
      <c r="J390" s="10">
        <v>2</v>
      </c>
      <c r="K390" s="10">
        <v>0</v>
      </c>
      <c r="L390" s="10">
        <v>1.8</v>
      </c>
      <c r="M390" s="11">
        <f t="shared" si="19"/>
        <v>0.66666666666666663</v>
      </c>
      <c r="N390" s="11">
        <f t="shared" si="20"/>
        <v>0</v>
      </c>
    </row>
    <row r="391" spans="1:14" x14ac:dyDescent="0.25">
      <c r="A391" s="12" t="s">
        <v>59</v>
      </c>
      <c r="B391" s="12">
        <f t="shared" si="18"/>
        <v>45170</v>
      </c>
      <c r="C391" s="12" t="str">
        <f>TEXT('Cleaned Datasets'!$B391,"MMMM")</f>
        <v>September</v>
      </c>
      <c r="D391" s="13" t="s">
        <v>37</v>
      </c>
      <c r="E391" s="13" t="s">
        <v>38</v>
      </c>
      <c r="F391" s="13" t="s">
        <v>22</v>
      </c>
      <c r="G391" s="13" t="s">
        <v>18</v>
      </c>
      <c r="H391" s="13" t="s">
        <v>19</v>
      </c>
      <c r="I391" s="13">
        <v>11</v>
      </c>
      <c r="J391" s="13">
        <v>10</v>
      </c>
      <c r="K391" s="13">
        <v>1</v>
      </c>
      <c r="L391" s="13">
        <v>0.7</v>
      </c>
      <c r="M391" s="14">
        <f t="shared" si="19"/>
        <v>0.90909090909090906</v>
      </c>
      <c r="N391" s="14">
        <f t="shared" si="20"/>
        <v>9.0909090909090912E-2</v>
      </c>
    </row>
    <row r="392" spans="1:14" x14ac:dyDescent="0.25">
      <c r="A392" s="9" t="s">
        <v>33</v>
      </c>
      <c r="B392" s="9">
        <f t="shared" si="18"/>
        <v>44927</v>
      </c>
      <c r="C392" s="9" t="str">
        <f>TEXT('Cleaned Datasets'!$B392,"MMMM")</f>
        <v>January</v>
      </c>
      <c r="D392" s="10" t="s">
        <v>48</v>
      </c>
      <c r="E392" s="10" t="s">
        <v>49</v>
      </c>
      <c r="F392" s="10" t="s">
        <v>26</v>
      </c>
      <c r="G392" s="10" t="s">
        <v>14</v>
      </c>
      <c r="H392" s="10" t="s">
        <v>19</v>
      </c>
      <c r="I392" s="10">
        <v>7</v>
      </c>
      <c r="J392" s="10">
        <v>6</v>
      </c>
      <c r="K392" s="10">
        <v>0</v>
      </c>
      <c r="L392" s="10">
        <v>3.3</v>
      </c>
      <c r="M392" s="11">
        <f t="shared" si="19"/>
        <v>0.8571428571428571</v>
      </c>
      <c r="N392" s="11">
        <f t="shared" si="20"/>
        <v>0</v>
      </c>
    </row>
    <row r="393" spans="1:14" x14ac:dyDescent="0.25">
      <c r="A393" s="12" t="s">
        <v>36</v>
      </c>
      <c r="B393" s="12">
        <f t="shared" si="18"/>
        <v>44986</v>
      </c>
      <c r="C393" s="12" t="str">
        <f>TEXT('Cleaned Datasets'!$B393,"MMMM")</f>
        <v>March</v>
      </c>
      <c r="D393" s="13" t="s">
        <v>48</v>
      </c>
      <c r="E393" s="13" t="s">
        <v>49</v>
      </c>
      <c r="F393" s="13" t="s">
        <v>13</v>
      </c>
      <c r="G393" s="13" t="s">
        <v>18</v>
      </c>
      <c r="H393" s="13" t="s">
        <v>19</v>
      </c>
      <c r="I393" s="13">
        <v>6</v>
      </c>
      <c r="J393" s="13">
        <v>6</v>
      </c>
      <c r="K393" s="13">
        <v>0</v>
      </c>
      <c r="L393" s="13">
        <v>1.7</v>
      </c>
      <c r="M393" s="14">
        <f t="shared" si="19"/>
        <v>1</v>
      </c>
      <c r="N393" s="14">
        <f t="shared" si="20"/>
        <v>0</v>
      </c>
    </row>
    <row r="394" spans="1:14" x14ac:dyDescent="0.25">
      <c r="A394" s="9" t="s">
        <v>55</v>
      </c>
      <c r="B394" s="9">
        <f t="shared" si="18"/>
        <v>45261</v>
      </c>
      <c r="C394" s="9" t="str">
        <f>TEXT('Cleaned Datasets'!$B394,"MMMM")</f>
        <v>December</v>
      </c>
      <c r="D394" s="10" t="s">
        <v>56</v>
      </c>
      <c r="E394" s="10" t="s">
        <v>62</v>
      </c>
      <c r="F394" s="10" t="s">
        <v>32</v>
      </c>
      <c r="G394" s="10" t="s">
        <v>22</v>
      </c>
      <c r="H394" s="10" t="s">
        <v>15</v>
      </c>
      <c r="I394" s="10">
        <v>3</v>
      </c>
      <c r="J394" s="10">
        <v>2</v>
      </c>
      <c r="K394" s="10">
        <v>0</v>
      </c>
      <c r="L394" s="10">
        <v>1.9</v>
      </c>
      <c r="M394" s="11">
        <f t="shared" si="19"/>
        <v>0.66666666666666663</v>
      </c>
      <c r="N394" s="11">
        <f t="shared" si="20"/>
        <v>0</v>
      </c>
    </row>
    <row r="395" spans="1:14" x14ac:dyDescent="0.25">
      <c r="A395" s="12" t="s">
        <v>36</v>
      </c>
      <c r="B395" s="12">
        <f t="shared" si="18"/>
        <v>44986</v>
      </c>
      <c r="C395" s="12" t="str">
        <f>TEXT('Cleaned Datasets'!$B395,"MMMM")</f>
        <v>March</v>
      </c>
      <c r="D395" s="13" t="s">
        <v>37</v>
      </c>
      <c r="E395" s="13" t="s">
        <v>38</v>
      </c>
      <c r="F395" s="13" t="s">
        <v>22</v>
      </c>
      <c r="G395" s="13" t="s">
        <v>18</v>
      </c>
      <c r="H395" s="13" t="s">
        <v>19</v>
      </c>
      <c r="I395" s="13">
        <v>4</v>
      </c>
      <c r="J395" s="13">
        <v>3</v>
      </c>
      <c r="K395" s="13">
        <v>0</v>
      </c>
      <c r="L395" s="13">
        <v>3.2</v>
      </c>
      <c r="M395" s="14">
        <f t="shared" si="19"/>
        <v>0.75</v>
      </c>
      <c r="N395" s="14">
        <f t="shared" si="20"/>
        <v>0</v>
      </c>
    </row>
    <row r="396" spans="1:14" x14ac:dyDescent="0.25">
      <c r="A396" s="9" t="s">
        <v>36</v>
      </c>
      <c r="B396" s="9">
        <f t="shared" si="18"/>
        <v>44986</v>
      </c>
      <c r="C396" s="9" t="str">
        <f>TEXT('Cleaned Datasets'!$B396,"MMMM")</f>
        <v>March</v>
      </c>
      <c r="D396" s="10" t="s">
        <v>37</v>
      </c>
      <c r="E396" s="10" t="s">
        <v>38</v>
      </c>
      <c r="F396" s="10" t="s">
        <v>26</v>
      </c>
      <c r="G396" s="10" t="s">
        <v>14</v>
      </c>
      <c r="H396" s="10" t="s">
        <v>19</v>
      </c>
      <c r="I396" s="10">
        <v>3</v>
      </c>
      <c r="J396" s="10">
        <v>2</v>
      </c>
      <c r="K396" s="10">
        <v>0</v>
      </c>
      <c r="L396" s="10">
        <v>3.3</v>
      </c>
      <c r="M396" s="11">
        <f t="shared" si="19"/>
        <v>0.66666666666666663</v>
      </c>
      <c r="N396" s="11">
        <f t="shared" si="20"/>
        <v>0</v>
      </c>
    </row>
    <row r="397" spans="1:14" x14ac:dyDescent="0.25">
      <c r="A397" s="12" t="s">
        <v>55</v>
      </c>
      <c r="B397" s="12">
        <f t="shared" si="18"/>
        <v>45261</v>
      </c>
      <c r="C397" s="12" t="str">
        <f>TEXT('Cleaned Datasets'!$B397,"MMMM")</f>
        <v>December</v>
      </c>
      <c r="D397" s="13" t="s">
        <v>28</v>
      </c>
      <c r="E397" s="13" t="s">
        <v>58</v>
      </c>
      <c r="F397" s="13" t="s">
        <v>32</v>
      </c>
      <c r="G397" s="13" t="s">
        <v>30</v>
      </c>
      <c r="H397" s="13" t="s">
        <v>15</v>
      </c>
      <c r="I397" s="13">
        <v>5</v>
      </c>
      <c r="J397" s="13">
        <v>5</v>
      </c>
      <c r="K397" s="13">
        <v>1</v>
      </c>
      <c r="L397" s="13">
        <v>3.4</v>
      </c>
      <c r="M397" s="14">
        <f t="shared" si="19"/>
        <v>1</v>
      </c>
      <c r="N397" s="14">
        <f t="shared" si="20"/>
        <v>0.2</v>
      </c>
    </row>
    <row r="398" spans="1:14" x14ac:dyDescent="0.25">
      <c r="A398" s="9" t="s">
        <v>36</v>
      </c>
      <c r="B398" s="9">
        <f t="shared" si="18"/>
        <v>44986</v>
      </c>
      <c r="C398" s="9" t="str">
        <f>TEXT('Cleaned Datasets'!$B398,"MMMM")</f>
        <v>March</v>
      </c>
      <c r="D398" s="10" t="s">
        <v>48</v>
      </c>
      <c r="E398" s="10" t="s">
        <v>49</v>
      </c>
      <c r="F398" s="10" t="s">
        <v>40</v>
      </c>
      <c r="G398" s="10" t="s">
        <v>30</v>
      </c>
      <c r="H398" s="10" t="s">
        <v>19</v>
      </c>
      <c r="I398" s="10">
        <v>2</v>
      </c>
      <c r="J398" s="10">
        <v>2</v>
      </c>
      <c r="K398" s="10">
        <v>1</v>
      </c>
      <c r="L398" s="10">
        <v>0.8</v>
      </c>
      <c r="M398" s="11">
        <f t="shared" si="19"/>
        <v>1</v>
      </c>
      <c r="N398" s="11">
        <f t="shared" si="20"/>
        <v>0.5</v>
      </c>
    </row>
    <row r="399" spans="1:14" x14ac:dyDescent="0.25">
      <c r="A399" s="12" t="s">
        <v>23</v>
      </c>
      <c r="B399" s="12">
        <f t="shared" si="18"/>
        <v>45200</v>
      </c>
      <c r="C399" s="12" t="str">
        <f>TEXT('Cleaned Datasets'!$B399,"MMMM")</f>
        <v>October</v>
      </c>
      <c r="D399" s="13" t="s">
        <v>16</v>
      </c>
      <c r="E399" s="13" t="s">
        <v>17</v>
      </c>
      <c r="F399" s="13" t="s">
        <v>26</v>
      </c>
      <c r="G399" s="13" t="s">
        <v>30</v>
      </c>
      <c r="H399" s="13" t="s">
        <v>19</v>
      </c>
      <c r="I399" s="13">
        <v>7</v>
      </c>
      <c r="J399" s="13">
        <v>6</v>
      </c>
      <c r="K399" s="13">
        <v>0</v>
      </c>
      <c r="L399" s="13">
        <v>0.9</v>
      </c>
      <c r="M399" s="14">
        <f t="shared" si="19"/>
        <v>0.8571428571428571</v>
      </c>
      <c r="N399" s="14">
        <f t="shared" si="20"/>
        <v>0</v>
      </c>
    </row>
    <row r="400" spans="1:14" x14ac:dyDescent="0.25">
      <c r="A400" s="9" t="s">
        <v>31</v>
      </c>
      <c r="B400" s="9">
        <f t="shared" si="18"/>
        <v>45139</v>
      </c>
      <c r="C400" s="9" t="str">
        <f>TEXT('Cleaned Datasets'!$B400,"MMMM")</f>
        <v>August</v>
      </c>
      <c r="D400" s="10" t="s">
        <v>46</v>
      </c>
      <c r="E400" s="10" t="s">
        <v>47</v>
      </c>
      <c r="F400" s="10" t="s">
        <v>21</v>
      </c>
      <c r="G400" s="10" t="s">
        <v>30</v>
      </c>
      <c r="H400" s="10" t="s">
        <v>15</v>
      </c>
      <c r="I400" s="10">
        <v>1</v>
      </c>
      <c r="J400" s="10">
        <v>1</v>
      </c>
      <c r="K400" s="10">
        <v>0</v>
      </c>
      <c r="L400" s="10">
        <v>3.8</v>
      </c>
      <c r="M400" s="11">
        <f t="shared" si="19"/>
        <v>1</v>
      </c>
      <c r="N400" s="11">
        <f t="shared" si="20"/>
        <v>0</v>
      </c>
    </row>
    <row r="401" spans="1:14" x14ac:dyDescent="0.25">
      <c r="A401" s="12" t="s">
        <v>61</v>
      </c>
      <c r="B401" s="12">
        <f t="shared" si="18"/>
        <v>45231</v>
      </c>
      <c r="C401" s="12" t="str">
        <f>TEXT('Cleaned Datasets'!$B401,"MMMM")</f>
        <v>November</v>
      </c>
      <c r="D401" s="13" t="s">
        <v>41</v>
      </c>
      <c r="E401" s="13" t="s">
        <v>44</v>
      </c>
      <c r="F401" s="13" t="s">
        <v>22</v>
      </c>
      <c r="G401" s="13" t="s">
        <v>22</v>
      </c>
      <c r="H401" s="13" t="s">
        <v>15</v>
      </c>
      <c r="I401" s="13">
        <v>3</v>
      </c>
      <c r="J401" s="13">
        <v>3</v>
      </c>
      <c r="K401" s="13">
        <v>0</v>
      </c>
      <c r="L401" s="13">
        <v>3.2</v>
      </c>
      <c r="M401" s="14">
        <f t="shared" si="19"/>
        <v>1</v>
      </c>
      <c r="N401" s="14">
        <f t="shared" si="20"/>
        <v>0</v>
      </c>
    </row>
    <row r="402" spans="1:14" x14ac:dyDescent="0.25">
      <c r="A402" s="9" t="s">
        <v>50</v>
      </c>
      <c r="B402" s="9">
        <f t="shared" si="18"/>
        <v>45108</v>
      </c>
      <c r="C402" s="9" t="str">
        <f>TEXT('Cleaned Datasets'!$B402,"MMMM")</f>
        <v>July</v>
      </c>
      <c r="D402" s="10" t="s">
        <v>48</v>
      </c>
      <c r="E402" s="10" t="s">
        <v>49</v>
      </c>
      <c r="F402" s="10" t="s">
        <v>32</v>
      </c>
      <c r="G402" s="10" t="s">
        <v>18</v>
      </c>
      <c r="H402" s="10" t="s">
        <v>15</v>
      </c>
      <c r="I402" s="10">
        <v>2</v>
      </c>
      <c r="J402" s="10">
        <v>2</v>
      </c>
      <c r="K402" s="10">
        <v>0</v>
      </c>
      <c r="L402" s="10">
        <v>3.2</v>
      </c>
      <c r="M402" s="11">
        <f t="shared" si="19"/>
        <v>1</v>
      </c>
      <c r="N402" s="11">
        <f t="shared" si="20"/>
        <v>0</v>
      </c>
    </row>
    <row r="403" spans="1:14" x14ac:dyDescent="0.25">
      <c r="A403" s="12" t="s">
        <v>45</v>
      </c>
      <c r="B403" s="12">
        <f t="shared" si="18"/>
        <v>45047</v>
      </c>
      <c r="C403" s="12" t="str">
        <f>TEXT('Cleaned Datasets'!$B403,"MMMM")</f>
        <v>May</v>
      </c>
      <c r="D403" s="13" t="s">
        <v>56</v>
      </c>
      <c r="E403" s="13" t="s">
        <v>62</v>
      </c>
      <c r="F403" s="13" t="s">
        <v>13</v>
      </c>
      <c r="G403" s="13" t="s">
        <v>22</v>
      </c>
      <c r="H403" s="13" t="s">
        <v>15</v>
      </c>
      <c r="I403" s="13">
        <v>4</v>
      </c>
      <c r="J403" s="13">
        <v>3</v>
      </c>
      <c r="K403" s="13">
        <v>0</v>
      </c>
      <c r="L403" s="13">
        <v>2.1</v>
      </c>
      <c r="M403" s="14">
        <f t="shared" si="19"/>
        <v>0.75</v>
      </c>
      <c r="N403" s="14">
        <f t="shared" si="20"/>
        <v>0</v>
      </c>
    </row>
    <row r="404" spans="1:14" x14ac:dyDescent="0.25">
      <c r="A404" s="9" t="s">
        <v>61</v>
      </c>
      <c r="B404" s="9">
        <f t="shared" si="18"/>
        <v>45231</v>
      </c>
      <c r="C404" s="9" t="str">
        <f>TEXT('Cleaned Datasets'!$B404,"MMMM")</f>
        <v>November</v>
      </c>
      <c r="D404" s="10" t="s">
        <v>34</v>
      </c>
      <c r="E404" s="10" t="s">
        <v>51</v>
      </c>
      <c r="F404" s="10" t="s">
        <v>40</v>
      </c>
      <c r="G404" s="10" t="s">
        <v>18</v>
      </c>
      <c r="H404" s="10" t="s">
        <v>15</v>
      </c>
      <c r="I404" s="10">
        <v>6</v>
      </c>
      <c r="J404" s="10">
        <v>6</v>
      </c>
      <c r="K404" s="10">
        <v>1</v>
      </c>
      <c r="L404" s="10">
        <v>4.5</v>
      </c>
      <c r="M404" s="11">
        <f t="shared" si="19"/>
        <v>1</v>
      </c>
      <c r="N404" s="11">
        <f t="shared" si="20"/>
        <v>0.16666666666666666</v>
      </c>
    </row>
    <row r="405" spans="1:14" x14ac:dyDescent="0.25">
      <c r="A405" s="12" t="s">
        <v>33</v>
      </c>
      <c r="B405" s="12">
        <f t="shared" si="18"/>
        <v>44927</v>
      </c>
      <c r="C405" s="12" t="str">
        <f>TEXT('Cleaned Datasets'!$B405,"MMMM")</f>
        <v>January</v>
      </c>
      <c r="D405" s="13" t="s">
        <v>37</v>
      </c>
      <c r="E405" s="13" t="s">
        <v>39</v>
      </c>
      <c r="F405" s="13" t="s">
        <v>13</v>
      </c>
      <c r="G405" s="13" t="s">
        <v>18</v>
      </c>
      <c r="H405" s="13" t="s">
        <v>15</v>
      </c>
      <c r="I405" s="13">
        <v>2</v>
      </c>
      <c r="J405" s="13">
        <v>1</v>
      </c>
      <c r="K405" s="13">
        <v>0</v>
      </c>
      <c r="L405" s="13">
        <v>3.1</v>
      </c>
      <c r="M405" s="14">
        <f t="shared" si="19"/>
        <v>0.5</v>
      </c>
      <c r="N405" s="14">
        <f t="shared" si="20"/>
        <v>0</v>
      </c>
    </row>
    <row r="406" spans="1:14" x14ac:dyDescent="0.25">
      <c r="A406" s="9" t="s">
        <v>33</v>
      </c>
      <c r="B406" s="9">
        <f t="shared" si="18"/>
        <v>44927</v>
      </c>
      <c r="C406" s="9" t="str">
        <f>TEXT('Cleaned Datasets'!$B406,"MMMM")</f>
        <v>January</v>
      </c>
      <c r="D406" s="10" t="s">
        <v>56</v>
      </c>
      <c r="E406" s="10" t="s">
        <v>57</v>
      </c>
      <c r="F406" s="10" t="s">
        <v>32</v>
      </c>
      <c r="G406" s="10" t="s">
        <v>22</v>
      </c>
      <c r="H406" s="10" t="s">
        <v>19</v>
      </c>
      <c r="I406" s="10">
        <v>9</v>
      </c>
      <c r="J406" s="10">
        <v>9</v>
      </c>
      <c r="K406" s="10">
        <v>2</v>
      </c>
      <c r="L406" s="10">
        <v>3.9</v>
      </c>
      <c r="M406" s="11">
        <f t="shared" si="19"/>
        <v>1</v>
      </c>
      <c r="N406" s="11">
        <f t="shared" si="20"/>
        <v>0.22222222222222221</v>
      </c>
    </row>
    <row r="407" spans="1:14" x14ac:dyDescent="0.25">
      <c r="A407" s="12" t="s">
        <v>59</v>
      </c>
      <c r="B407" s="12">
        <f t="shared" si="18"/>
        <v>45170</v>
      </c>
      <c r="C407" s="12" t="str">
        <f>TEXT('Cleaned Datasets'!$B407,"MMMM")</f>
        <v>September</v>
      </c>
      <c r="D407" s="13" t="s">
        <v>16</v>
      </c>
      <c r="E407" s="13" t="s">
        <v>60</v>
      </c>
      <c r="F407" s="13" t="s">
        <v>13</v>
      </c>
      <c r="G407" s="13" t="s">
        <v>22</v>
      </c>
      <c r="H407" s="13" t="s">
        <v>15</v>
      </c>
      <c r="I407" s="13">
        <v>4</v>
      </c>
      <c r="J407" s="13">
        <v>4</v>
      </c>
      <c r="K407" s="13">
        <v>0</v>
      </c>
      <c r="L407" s="13">
        <v>4.5</v>
      </c>
      <c r="M407" s="14">
        <f t="shared" si="19"/>
        <v>1</v>
      </c>
      <c r="N407" s="14">
        <f t="shared" si="20"/>
        <v>0</v>
      </c>
    </row>
    <row r="408" spans="1:14" x14ac:dyDescent="0.25">
      <c r="A408" s="9" t="s">
        <v>43</v>
      </c>
      <c r="B408" s="9">
        <f t="shared" si="18"/>
        <v>44958</v>
      </c>
      <c r="C408" s="9" t="str">
        <f>TEXT('Cleaned Datasets'!$B408,"MMMM")</f>
        <v>February</v>
      </c>
      <c r="D408" s="10" t="s">
        <v>37</v>
      </c>
      <c r="E408" s="10" t="s">
        <v>38</v>
      </c>
      <c r="F408" s="10" t="s">
        <v>13</v>
      </c>
      <c r="G408" s="10" t="s">
        <v>22</v>
      </c>
      <c r="H408" s="10" t="s">
        <v>19</v>
      </c>
      <c r="I408" s="10">
        <v>5</v>
      </c>
      <c r="J408" s="10">
        <v>5</v>
      </c>
      <c r="K408" s="10">
        <v>0</v>
      </c>
      <c r="L408" s="10">
        <v>1.9</v>
      </c>
      <c r="M408" s="11">
        <f t="shared" si="19"/>
        <v>1</v>
      </c>
      <c r="N408" s="11">
        <f t="shared" si="20"/>
        <v>0</v>
      </c>
    </row>
    <row r="409" spans="1:14" x14ac:dyDescent="0.25">
      <c r="A409" s="12" t="s">
        <v>55</v>
      </c>
      <c r="B409" s="12">
        <f t="shared" si="18"/>
        <v>45261</v>
      </c>
      <c r="C409" s="12" t="str">
        <f>TEXT('Cleaned Datasets'!$B409,"MMMM")</f>
        <v>December</v>
      </c>
      <c r="D409" s="13" t="s">
        <v>37</v>
      </c>
      <c r="E409" s="13" t="s">
        <v>39</v>
      </c>
      <c r="F409" s="13" t="s">
        <v>40</v>
      </c>
      <c r="G409" s="13" t="s">
        <v>53</v>
      </c>
      <c r="H409" s="13" t="s">
        <v>19</v>
      </c>
      <c r="I409" s="13">
        <v>8</v>
      </c>
      <c r="J409" s="13">
        <v>6</v>
      </c>
      <c r="K409" s="13">
        <v>1</v>
      </c>
      <c r="L409" s="13">
        <v>3.3</v>
      </c>
      <c r="M409" s="14">
        <f t="shared" si="19"/>
        <v>0.75</v>
      </c>
      <c r="N409" s="14">
        <f t="shared" si="20"/>
        <v>0.125</v>
      </c>
    </row>
    <row r="410" spans="1:14" x14ac:dyDescent="0.25">
      <c r="A410" s="9" t="s">
        <v>10</v>
      </c>
      <c r="B410" s="9">
        <f t="shared" si="18"/>
        <v>45017</v>
      </c>
      <c r="C410" s="9" t="str">
        <f>TEXT('Cleaned Datasets'!$B410,"MMMM")</f>
        <v>April</v>
      </c>
      <c r="D410" s="10" t="s">
        <v>46</v>
      </c>
      <c r="E410" s="10" t="s">
        <v>54</v>
      </c>
      <c r="F410" s="10" t="s">
        <v>22</v>
      </c>
      <c r="G410" s="10" t="s">
        <v>53</v>
      </c>
      <c r="H410" s="10" t="s">
        <v>15</v>
      </c>
      <c r="I410" s="10">
        <v>2</v>
      </c>
      <c r="J410" s="10">
        <v>2</v>
      </c>
      <c r="K410" s="10">
        <v>0</v>
      </c>
      <c r="L410" s="10">
        <v>1.3</v>
      </c>
      <c r="M410" s="11">
        <f t="shared" si="19"/>
        <v>1</v>
      </c>
      <c r="N410" s="11">
        <f t="shared" si="20"/>
        <v>0</v>
      </c>
    </row>
    <row r="411" spans="1:14" x14ac:dyDescent="0.25">
      <c r="A411" s="12" t="s">
        <v>23</v>
      </c>
      <c r="B411" s="12">
        <f t="shared" si="18"/>
        <v>45200</v>
      </c>
      <c r="C411" s="12" t="str">
        <f>TEXT('Cleaned Datasets'!$B411,"MMMM")</f>
        <v>October</v>
      </c>
      <c r="D411" s="13" t="s">
        <v>24</v>
      </c>
      <c r="E411" s="13" t="s">
        <v>64</v>
      </c>
      <c r="F411" s="13" t="s">
        <v>22</v>
      </c>
      <c r="G411" s="13" t="s">
        <v>53</v>
      </c>
      <c r="H411" s="13" t="s">
        <v>15</v>
      </c>
      <c r="I411" s="13">
        <v>7</v>
      </c>
      <c r="J411" s="13">
        <v>7</v>
      </c>
      <c r="K411" s="13">
        <v>0</v>
      </c>
      <c r="L411" s="13">
        <v>1.4</v>
      </c>
      <c r="M411" s="14">
        <f t="shared" si="19"/>
        <v>1</v>
      </c>
      <c r="N411" s="14">
        <f t="shared" si="20"/>
        <v>0</v>
      </c>
    </row>
    <row r="412" spans="1:14" x14ac:dyDescent="0.25">
      <c r="A412" s="9" t="s">
        <v>61</v>
      </c>
      <c r="B412" s="9">
        <f t="shared" si="18"/>
        <v>45231</v>
      </c>
      <c r="C412" s="9" t="str">
        <f>TEXT('Cleaned Datasets'!$B412,"MMMM")</f>
        <v>November</v>
      </c>
      <c r="D412" s="10" t="s">
        <v>56</v>
      </c>
      <c r="E412" s="10" t="s">
        <v>57</v>
      </c>
      <c r="F412" s="10" t="s">
        <v>22</v>
      </c>
      <c r="G412" s="10" t="s">
        <v>53</v>
      </c>
      <c r="H412" s="10" t="s">
        <v>19</v>
      </c>
      <c r="I412" s="10">
        <v>5</v>
      </c>
      <c r="J412" s="10">
        <v>5</v>
      </c>
      <c r="K412" s="10">
        <v>0</v>
      </c>
      <c r="L412" s="10">
        <v>1.8</v>
      </c>
      <c r="M412" s="11">
        <f t="shared" si="19"/>
        <v>1</v>
      </c>
      <c r="N412" s="11">
        <f t="shared" si="20"/>
        <v>0</v>
      </c>
    </row>
    <row r="413" spans="1:14" x14ac:dyDescent="0.25">
      <c r="A413" s="12" t="s">
        <v>20</v>
      </c>
      <c r="B413" s="12">
        <f t="shared" si="18"/>
        <v>45078</v>
      </c>
      <c r="C413" s="12" t="str">
        <f>TEXT('Cleaned Datasets'!$B413,"MMMM")</f>
        <v>June</v>
      </c>
      <c r="D413" s="13" t="s">
        <v>34</v>
      </c>
      <c r="E413" s="13" t="s">
        <v>35</v>
      </c>
      <c r="F413" s="13" t="s">
        <v>13</v>
      </c>
      <c r="G413" s="13" t="s">
        <v>27</v>
      </c>
      <c r="H413" s="13" t="s">
        <v>15</v>
      </c>
      <c r="I413" s="13">
        <v>8</v>
      </c>
      <c r="J413" s="13">
        <v>7</v>
      </c>
      <c r="K413" s="13">
        <v>1</v>
      </c>
      <c r="L413" s="13">
        <v>2.8</v>
      </c>
      <c r="M413" s="14">
        <f t="shared" si="19"/>
        <v>0.875</v>
      </c>
      <c r="N413" s="14">
        <f t="shared" si="20"/>
        <v>0.125</v>
      </c>
    </row>
    <row r="414" spans="1:14" x14ac:dyDescent="0.25">
      <c r="A414" s="9" t="s">
        <v>61</v>
      </c>
      <c r="B414" s="9">
        <f t="shared" si="18"/>
        <v>45231</v>
      </c>
      <c r="C414" s="9" t="str">
        <f>TEXT('Cleaned Datasets'!$B414,"MMMM")</f>
        <v>November</v>
      </c>
      <c r="D414" s="10" t="s">
        <v>41</v>
      </c>
      <c r="E414" s="10" t="s">
        <v>42</v>
      </c>
      <c r="F414" s="10" t="s">
        <v>40</v>
      </c>
      <c r="G414" s="10" t="s">
        <v>22</v>
      </c>
      <c r="H414" s="10" t="s">
        <v>15</v>
      </c>
      <c r="I414" s="10">
        <v>2</v>
      </c>
      <c r="J414" s="10">
        <v>1</v>
      </c>
      <c r="K414" s="10">
        <v>0</v>
      </c>
      <c r="L414" s="10">
        <v>3.2</v>
      </c>
      <c r="M414" s="11">
        <f t="shared" si="19"/>
        <v>0.5</v>
      </c>
      <c r="N414" s="11">
        <f t="shared" si="20"/>
        <v>0</v>
      </c>
    </row>
    <row r="415" spans="1:14" x14ac:dyDescent="0.25">
      <c r="A415" s="12" t="s">
        <v>43</v>
      </c>
      <c r="B415" s="12">
        <f t="shared" si="18"/>
        <v>44958</v>
      </c>
      <c r="C415" s="12" t="str">
        <f>TEXT('Cleaned Datasets'!$B415,"MMMM")</f>
        <v>February</v>
      </c>
      <c r="D415" s="13" t="s">
        <v>16</v>
      </c>
      <c r="E415" s="13" t="s">
        <v>17</v>
      </c>
      <c r="F415" s="13" t="s">
        <v>13</v>
      </c>
      <c r="G415" s="13" t="s">
        <v>22</v>
      </c>
      <c r="H415" s="13" t="s">
        <v>15</v>
      </c>
      <c r="I415" s="13">
        <v>4</v>
      </c>
      <c r="J415" s="13">
        <v>4</v>
      </c>
      <c r="K415" s="13">
        <v>0</v>
      </c>
      <c r="L415" s="13">
        <v>2.1</v>
      </c>
      <c r="M415" s="14">
        <f t="shared" si="19"/>
        <v>1</v>
      </c>
      <c r="N415" s="14">
        <f t="shared" si="20"/>
        <v>0</v>
      </c>
    </row>
    <row r="416" spans="1:14" x14ac:dyDescent="0.25">
      <c r="A416" s="9" t="s">
        <v>20</v>
      </c>
      <c r="B416" s="9">
        <f t="shared" si="18"/>
        <v>45078</v>
      </c>
      <c r="C416" s="9" t="str">
        <f>TEXT('Cleaned Datasets'!$B416,"MMMM")</f>
        <v>June</v>
      </c>
      <c r="D416" s="10" t="s">
        <v>41</v>
      </c>
      <c r="E416" s="10" t="s">
        <v>44</v>
      </c>
      <c r="F416" s="10" t="s">
        <v>32</v>
      </c>
      <c r="G416" s="10" t="s">
        <v>30</v>
      </c>
      <c r="H416" s="10" t="s">
        <v>15</v>
      </c>
      <c r="I416" s="10">
        <v>3</v>
      </c>
      <c r="J416" s="10">
        <v>3</v>
      </c>
      <c r="K416" s="10">
        <v>0</v>
      </c>
      <c r="L416" s="10">
        <v>3.3</v>
      </c>
      <c r="M416" s="11">
        <f t="shared" si="19"/>
        <v>1</v>
      </c>
      <c r="N416" s="11">
        <f t="shared" si="20"/>
        <v>0</v>
      </c>
    </row>
    <row r="417" spans="1:14" x14ac:dyDescent="0.25">
      <c r="A417" s="12" t="s">
        <v>33</v>
      </c>
      <c r="B417" s="12">
        <f t="shared" si="18"/>
        <v>44927</v>
      </c>
      <c r="C417" s="12" t="str">
        <f>TEXT('Cleaned Datasets'!$B417,"MMMM")</f>
        <v>January</v>
      </c>
      <c r="D417" s="13" t="s">
        <v>24</v>
      </c>
      <c r="E417" s="13" t="s">
        <v>25</v>
      </c>
      <c r="F417" s="13" t="s">
        <v>22</v>
      </c>
      <c r="G417" s="13" t="s">
        <v>22</v>
      </c>
      <c r="H417" s="13" t="s">
        <v>19</v>
      </c>
      <c r="I417" s="13">
        <v>6</v>
      </c>
      <c r="J417" s="13">
        <v>6</v>
      </c>
      <c r="K417" s="13">
        <v>0</v>
      </c>
      <c r="L417" s="13">
        <v>2.8</v>
      </c>
      <c r="M417" s="14">
        <f t="shared" si="19"/>
        <v>1</v>
      </c>
      <c r="N417" s="14">
        <f t="shared" si="20"/>
        <v>0</v>
      </c>
    </row>
    <row r="418" spans="1:14" x14ac:dyDescent="0.25">
      <c r="A418" s="9" t="s">
        <v>61</v>
      </c>
      <c r="B418" s="9">
        <f t="shared" si="18"/>
        <v>45231</v>
      </c>
      <c r="C418" s="9" t="str">
        <f>TEXT('Cleaned Datasets'!$B418,"MMMM")</f>
        <v>November</v>
      </c>
      <c r="D418" s="10" t="s">
        <v>16</v>
      </c>
      <c r="E418" s="10" t="s">
        <v>17</v>
      </c>
      <c r="F418" s="10" t="s">
        <v>22</v>
      </c>
      <c r="G418" s="10" t="s">
        <v>30</v>
      </c>
      <c r="H418" s="10" t="s">
        <v>15</v>
      </c>
      <c r="I418" s="10">
        <v>5</v>
      </c>
      <c r="J418" s="10">
        <v>4</v>
      </c>
      <c r="K418" s="10">
        <v>1</v>
      </c>
      <c r="L418" s="10">
        <v>0.8</v>
      </c>
      <c r="M418" s="11">
        <f t="shared" si="19"/>
        <v>0.8</v>
      </c>
      <c r="N418" s="11">
        <f t="shared" si="20"/>
        <v>0.2</v>
      </c>
    </row>
    <row r="419" spans="1:14" x14ac:dyDescent="0.25">
      <c r="A419" s="12" t="s">
        <v>10</v>
      </c>
      <c r="B419" s="12">
        <f t="shared" si="18"/>
        <v>45017</v>
      </c>
      <c r="C419" s="12" t="str">
        <f>TEXT('Cleaned Datasets'!$B419,"MMMM")</f>
        <v>April</v>
      </c>
      <c r="D419" s="13" t="s">
        <v>56</v>
      </c>
      <c r="E419" s="13" t="s">
        <v>57</v>
      </c>
      <c r="F419" s="13" t="s">
        <v>26</v>
      </c>
      <c r="G419" s="13" t="s">
        <v>30</v>
      </c>
      <c r="H419" s="13" t="s">
        <v>15</v>
      </c>
      <c r="I419" s="13">
        <v>4</v>
      </c>
      <c r="J419" s="13">
        <v>4</v>
      </c>
      <c r="K419" s="13">
        <v>0</v>
      </c>
      <c r="L419" s="13">
        <v>2.7</v>
      </c>
      <c r="M419" s="14">
        <f t="shared" si="19"/>
        <v>1</v>
      </c>
      <c r="N419" s="14">
        <f t="shared" si="20"/>
        <v>0</v>
      </c>
    </row>
    <row r="420" spans="1:14" x14ac:dyDescent="0.25">
      <c r="A420" s="9" t="s">
        <v>20</v>
      </c>
      <c r="B420" s="9">
        <f t="shared" si="18"/>
        <v>45078</v>
      </c>
      <c r="C420" s="9" t="str">
        <f>TEXT('Cleaned Datasets'!$B420,"MMMM")</f>
        <v>June</v>
      </c>
      <c r="D420" s="10" t="s">
        <v>37</v>
      </c>
      <c r="E420" s="10" t="s">
        <v>38</v>
      </c>
      <c r="F420" s="10" t="s">
        <v>21</v>
      </c>
      <c r="G420" s="10" t="s">
        <v>18</v>
      </c>
      <c r="H420" s="10" t="s">
        <v>19</v>
      </c>
      <c r="I420" s="10">
        <v>7</v>
      </c>
      <c r="J420" s="10">
        <v>5</v>
      </c>
      <c r="K420" s="10">
        <v>0</v>
      </c>
      <c r="L420" s="10">
        <v>3.2</v>
      </c>
      <c r="M420" s="11">
        <f t="shared" si="19"/>
        <v>0.7142857142857143</v>
      </c>
      <c r="N420" s="11">
        <f t="shared" si="20"/>
        <v>0</v>
      </c>
    </row>
    <row r="421" spans="1:14" x14ac:dyDescent="0.25">
      <c r="A421" s="12" t="s">
        <v>20</v>
      </c>
      <c r="B421" s="12">
        <f t="shared" si="18"/>
        <v>45078</v>
      </c>
      <c r="C421" s="12" t="str">
        <f>TEXT('Cleaned Datasets'!$B421,"MMMM")</f>
        <v>June</v>
      </c>
      <c r="D421" s="13" t="s">
        <v>46</v>
      </c>
      <c r="E421" s="13" t="s">
        <v>54</v>
      </c>
      <c r="F421" s="13" t="s">
        <v>40</v>
      </c>
      <c r="G421" s="13" t="s">
        <v>27</v>
      </c>
      <c r="H421" s="13" t="s">
        <v>15</v>
      </c>
      <c r="I421" s="13">
        <v>3</v>
      </c>
      <c r="J421" s="13">
        <v>3</v>
      </c>
      <c r="K421" s="13">
        <v>0</v>
      </c>
      <c r="L421" s="13">
        <v>3.4</v>
      </c>
      <c r="M421" s="14">
        <f t="shared" si="19"/>
        <v>1</v>
      </c>
      <c r="N421" s="14">
        <f t="shared" si="20"/>
        <v>0</v>
      </c>
    </row>
    <row r="422" spans="1:14" x14ac:dyDescent="0.25">
      <c r="A422" s="9" t="s">
        <v>36</v>
      </c>
      <c r="B422" s="9">
        <f t="shared" si="18"/>
        <v>44986</v>
      </c>
      <c r="C422" s="9" t="str">
        <f>TEXT('Cleaned Datasets'!$B422,"MMMM")</f>
        <v>March</v>
      </c>
      <c r="D422" s="10" t="s">
        <v>41</v>
      </c>
      <c r="E422" s="10" t="s">
        <v>42</v>
      </c>
      <c r="F422" s="10" t="s">
        <v>26</v>
      </c>
      <c r="G422" s="10" t="s">
        <v>18</v>
      </c>
      <c r="H422" s="10" t="s">
        <v>15</v>
      </c>
      <c r="I422" s="10">
        <v>5</v>
      </c>
      <c r="J422" s="10">
        <v>4</v>
      </c>
      <c r="K422" s="10">
        <v>1</v>
      </c>
      <c r="L422" s="10">
        <v>2.4</v>
      </c>
      <c r="M422" s="11">
        <f t="shared" si="19"/>
        <v>0.8</v>
      </c>
      <c r="N422" s="11">
        <f t="shared" si="20"/>
        <v>0.2</v>
      </c>
    </row>
    <row r="423" spans="1:14" x14ac:dyDescent="0.25">
      <c r="A423" s="12" t="s">
        <v>23</v>
      </c>
      <c r="B423" s="12">
        <f t="shared" si="18"/>
        <v>45200</v>
      </c>
      <c r="C423" s="12" t="str">
        <f>TEXT('Cleaned Datasets'!$B423,"MMMM")</f>
        <v>October</v>
      </c>
      <c r="D423" s="13" t="s">
        <v>46</v>
      </c>
      <c r="E423" s="13" t="s">
        <v>54</v>
      </c>
      <c r="F423" s="13" t="s">
        <v>13</v>
      </c>
      <c r="G423" s="13" t="s">
        <v>14</v>
      </c>
      <c r="H423" s="13" t="s">
        <v>19</v>
      </c>
      <c r="I423" s="13">
        <v>7</v>
      </c>
      <c r="J423" s="13">
        <v>7</v>
      </c>
      <c r="K423" s="13">
        <v>0</v>
      </c>
      <c r="L423" s="13">
        <v>3.2</v>
      </c>
      <c r="M423" s="14">
        <f t="shared" si="19"/>
        <v>1</v>
      </c>
      <c r="N423" s="14">
        <f t="shared" si="20"/>
        <v>0</v>
      </c>
    </row>
    <row r="424" spans="1:14" x14ac:dyDescent="0.25">
      <c r="A424" s="9" t="s">
        <v>55</v>
      </c>
      <c r="B424" s="9">
        <f t="shared" si="18"/>
        <v>45261</v>
      </c>
      <c r="C424" s="9" t="str">
        <f>TEXT('Cleaned Datasets'!$B424,"MMMM")</f>
        <v>December</v>
      </c>
      <c r="D424" s="10" t="s">
        <v>48</v>
      </c>
      <c r="E424" s="10" t="s">
        <v>63</v>
      </c>
      <c r="F424" s="10" t="s">
        <v>13</v>
      </c>
      <c r="G424" s="10" t="s">
        <v>18</v>
      </c>
      <c r="H424" s="10" t="s">
        <v>15</v>
      </c>
      <c r="I424" s="10">
        <v>4</v>
      </c>
      <c r="J424" s="10">
        <v>4</v>
      </c>
      <c r="K424" s="10">
        <v>0</v>
      </c>
      <c r="L424" s="10">
        <v>1.8</v>
      </c>
      <c r="M424" s="11">
        <f t="shared" si="19"/>
        <v>1</v>
      </c>
      <c r="N424" s="11">
        <f t="shared" si="20"/>
        <v>0</v>
      </c>
    </row>
    <row r="425" spans="1:14" x14ac:dyDescent="0.25">
      <c r="A425" s="12" t="s">
        <v>45</v>
      </c>
      <c r="B425" s="12">
        <f t="shared" si="18"/>
        <v>45047</v>
      </c>
      <c r="C425" s="12" t="str">
        <f>TEXT('Cleaned Datasets'!$B425,"MMMM")</f>
        <v>May</v>
      </c>
      <c r="D425" s="13" t="s">
        <v>56</v>
      </c>
      <c r="E425" s="13" t="s">
        <v>57</v>
      </c>
      <c r="F425" s="13" t="s">
        <v>22</v>
      </c>
      <c r="G425" s="13" t="s">
        <v>22</v>
      </c>
      <c r="H425" s="13" t="s">
        <v>19</v>
      </c>
      <c r="I425" s="13">
        <v>9</v>
      </c>
      <c r="J425" s="13">
        <v>8</v>
      </c>
      <c r="K425" s="13">
        <v>0</v>
      </c>
      <c r="L425" s="13">
        <v>2.7</v>
      </c>
      <c r="M425" s="14">
        <f t="shared" si="19"/>
        <v>0.88888888888888884</v>
      </c>
      <c r="N425" s="14">
        <f t="shared" si="20"/>
        <v>0</v>
      </c>
    </row>
    <row r="426" spans="1:14" x14ac:dyDescent="0.25">
      <c r="A426" s="9" t="s">
        <v>23</v>
      </c>
      <c r="B426" s="9">
        <f t="shared" si="18"/>
        <v>45200</v>
      </c>
      <c r="C426" s="9" t="str">
        <f>TEXT('Cleaned Datasets'!$B426,"MMMM")</f>
        <v>October</v>
      </c>
      <c r="D426" s="10" t="s">
        <v>34</v>
      </c>
      <c r="E426" s="10" t="s">
        <v>35</v>
      </c>
      <c r="F426" s="10" t="s">
        <v>22</v>
      </c>
      <c r="G426" s="10" t="s">
        <v>30</v>
      </c>
      <c r="H426" s="10" t="s">
        <v>19</v>
      </c>
      <c r="I426" s="10">
        <v>7</v>
      </c>
      <c r="J426" s="10">
        <v>6</v>
      </c>
      <c r="K426" s="10">
        <v>0</v>
      </c>
      <c r="L426" s="10">
        <v>2.8</v>
      </c>
      <c r="M426" s="11">
        <f t="shared" si="19"/>
        <v>0.8571428571428571</v>
      </c>
      <c r="N426" s="11">
        <f t="shared" si="20"/>
        <v>0</v>
      </c>
    </row>
    <row r="427" spans="1:14" x14ac:dyDescent="0.25">
      <c r="A427" s="12" t="s">
        <v>10</v>
      </c>
      <c r="B427" s="12">
        <f t="shared" si="18"/>
        <v>45017</v>
      </c>
      <c r="C427" s="12" t="str">
        <f>TEXT('Cleaned Datasets'!$B427,"MMMM")</f>
        <v>April</v>
      </c>
      <c r="D427" s="13" t="s">
        <v>37</v>
      </c>
      <c r="E427" s="13" t="s">
        <v>38</v>
      </c>
      <c r="F427" s="13" t="s">
        <v>40</v>
      </c>
      <c r="G427" s="13" t="s">
        <v>18</v>
      </c>
      <c r="H427" s="13" t="s">
        <v>19</v>
      </c>
      <c r="I427" s="13">
        <v>6</v>
      </c>
      <c r="J427" s="13">
        <v>5</v>
      </c>
      <c r="K427" s="13">
        <v>0</v>
      </c>
      <c r="L427" s="13">
        <v>4.2</v>
      </c>
      <c r="M427" s="14">
        <f t="shared" si="19"/>
        <v>0.83333333333333337</v>
      </c>
      <c r="N427" s="14">
        <f t="shared" si="20"/>
        <v>0</v>
      </c>
    </row>
    <row r="428" spans="1:14" x14ac:dyDescent="0.25">
      <c r="A428" s="9" t="s">
        <v>43</v>
      </c>
      <c r="B428" s="9">
        <f t="shared" si="18"/>
        <v>44958</v>
      </c>
      <c r="C428" s="9" t="str">
        <f>TEXT('Cleaned Datasets'!$B428,"MMMM")</f>
        <v>February</v>
      </c>
      <c r="D428" s="10" t="s">
        <v>24</v>
      </c>
      <c r="E428" s="10" t="s">
        <v>25</v>
      </c>
      <c r="F428" s="10" t="s">
        <v>13</v>
      </c>
      <c r="G428" s="10" t="s">
        <v>53</v>
      </c>
      <c r="H428" s="10" t="s">
        <v>15</v>
      </c>
      <c r="I428" s="10">
        <v>2</v>
      </c>
      <c r="J428" s="10">
        <v>1</v>
      </c>
      <c r="K428" s="10">
        <v>1</v>
      </c>
      <c r="L428" s="10">
        <v>4.5</v>
      </c>
      <c r="M428" s="11">
        <f t="shared" si="19"/>
        <v>0.5</v>
      </c>
      <c r="N428" s="11">
        <f t="shared" si="20"/>
        <v>0.5</v>
      </c>
    </row>
    <row r="429" spans="1:14" x14ac:dyDescent="0.25">
      <c r="A429" s="12" t="s">
        <v>33</v>
      </c>
      <c r="B429" s="12">
        <f t="shared" si="18"/>
        <v>44927</v>
      </c>
      <c r="C429" s="12" t="str">
        <f>TEXT('Cleaned Datasets'!$B429,"MMMM")</f>
        <v>January</v>
      </c>
      <c r="D429" s="13" t="s">
        <v>41</v>
      </c>
      <c r="E429" s="13" t="s">
        <v>44</v>
      </c>
      <c r="F429" s="13" t="s">
        <v>32</v>
      </c>
      <c r="G429" s="13" t="s">
        <v>27</v>
      </c>
      <c r="H429" s="13" t="s">
        <v>19</v>
      </c>
      <c r="I429" s="13">
        <v>8</v>
      </c>
      <c r="J429" s="13">
        <v>7</v>
      </c>
      <c r="K429" s="13">
        <v>0</v>
      </c>
      <c r="L429" s="13">
        <v>2.2999999999999998</v>
      </c>
      <c r="M429" s="14">
        <f t="shared" si="19"/>
        <v>0.875</v>
      </c>
      <c r="N429" s="14">
        <f t="shared" si="20"/>
        <v>0</v>
      </c>
    </row>
    <row r="430" spans="1:14" x14ac:dyDescent="0.25">
      <c r="A430" s="9" t="s">
        <v>43</v>
      </c>
      <c r="B430" s="9">
        <f t="shared" si="18"/>
        <v>44958</v>
      </c>
      <c r="C430" s="9" t="str">
        <f>TEXT('Cleaned Datasets'!$B430,"MMMM")</f>
        <v>February</v>
      </c>
      <c r="D430" s="10" t="s">
        <v>46</v>
      </c>
      <c r="E430" s="10" t="s">
        <v>54</v>
      </c>
      <c r="F430" s="10" t="s">
        <v>13</v>
      </c>
      <c r="G430" s="10" t="s">
        <v>53</v>
      </c>
      <c r="H430" s="10" t="s">
        <v>15</v>
      </c>
      <c r="I430" s="10">
        <v>5</v>
      </c>
      <c r="J430" s="10">
        <v>5</v>
      </c>
      <c r="K430" s="10">
        <v>0</v>
      </c>
      <c r="L430" s="10">
        <v>1.8</v>
      </c>
      <c r="M430" s="11">
        <f t="shared" si="19"/>
        <v>1</v>
      </c>
      <c r="N430" s="11">
        <f t="shared" si="20"/>
        <v>0</v>
      </c>
    </row>
    <row r="431" spans="1:14" x14ac:dyDescent="0.25">
      <c r="A431" s="12" t="s">
        <v>45</v>
      </c>
      <c r="B431" s="12">
        <f t="shared" si="18"/>
        <v>45047</v>
      </c>
      <c r="C431" s="12" t="str">
        <f>TEXT('Cleaned Datasets'!$B431,"MMMM")</f>
        <v>May</v>
      </c>
      <c r="D431" s="13" t="s">
        <v>34</v>
      </c>
      <c r="E431" s="13" t="s">
        <v>51</v>
      </c>
      <c r="F431" s="13" t="s">
        <v>21</v>
      </c>
      <c r="G431" s="13" t="s">
        <v>30</v>
      </c>
      <c r="H431" s="13" t="s">
        <v>19</v>
      </c>
      <c r="I431" s="13">
        <v>4</v>
      </c>
      <c r="J431" s="13">
        <v>4</v>
      </c>
      <c r="K431" s="13">
        <v>0</v>
      </c>
      <c r="L431" s="13">
        <v>2.7</v>
      </c>
      <c r="M431" s="14">
        <f t="shared" si="19"/>
        <v>1</v>
      </c>
      <c r="N431" s="14">
        <f t="shared" si="20"/>
        <v>0</v>
      </c>
    </row>
    <row r="432" spans="1:14" x14ac:dyDescent="0.25">
      <c r="A432" s="9" t="s">
        <v>50</v>
      </c>
      <c r="B432" s="9">
        <f t="shared" si="18"/>
        <v>45108</v>
      </c>
      <c r="C432" s="9" t="str">
        <f>TEXT('Cleaned Datasets'!$B432,"MMMM")</f>
        <v>July</v>
      </c>
      <c r="D432" s="10" t="s">
        <v>24</v>
      </c>
      <c r="E432" s="10" t="s">
        <v>25</v>
      </c>
      <c r="F432" s="10" t="s">
        <v>13</v>
      </c>
      <c r="G432" s="10" t="s">
        <v>18</v>
      </c>
      <c r="H432" s="10" t="s">
        <v>19</v>
      </c>
      <c r="I432" s="10">
        <v>2</v>
      </c>
      <c r="J432" s="10">
        <v>2</v>
      </c>
      <c r="K432" s="10">
        <v>0</v>
      </c>
      <c r="L432" s="10">
        <v>3.5</v>
      </c>
      <c r="M432" s="11">
        <f t="shared" si="19"/>
        <v>1</v>
      </c>
      <c r="N432" s="11">
        <f t="shared" si="20"/>
        <v>0</v>
      </c>
    </row>
    <row r="433" spans="1:14" x14ac:dyDescent="0.25">
      <c r="A433" s="12" t="s">
        <v>36</v>
      </c>
      <c r="B433" s="12">
        <f t="shared" si="18"/>
        <v>44986</v>
      </c>
      <c r="C433" s="12" t="str">
        <f>TEXT('Cleaned Datasets'!$B433,"MMMM")</f>
        <v>March</v>
      </c>
      <c r="D433" s="13" t="s">
        <v>56</v>
      </c>
      <c r="E433" s="13" t="s">
        <v>62</v>
      </c>
      <c r="F433" s="13" t="s">
        <v>13</v>
      </c>
      <c r="G433" s="13" t="s">
        <v>22</v>
      </c>
      <c r="H433" s="13" t="s">
        <v>19</v>
      </c>
      <c r="I433" s="13">
        <v>3</v>
      </c>
      <c r="J433" s="13">
        <v>3</v>
      </c>
      <c r="K433" s="13">
        <v>0</v>
      </c>
      <c r="L433" s="13">
        <v>2.6</v>
      </c>
      <c r="M433" s="14">
        <f t="shared" si="19"/>
        <v>1</v>
      </c>
      <c r="N433" s="14">
        <f t="shared" si="20"/>
        <v>0</v>
      </c>
    </row>
    <row r="434" spans="1:14" x14ac:dyDescent="0.25">
      <c r="A434" s="9" t="s">
        <v>43</v>
      </c>
      <c r="B434" s="9">
        <f t="shared" si="18"/>
        <v>44958</v>
      </c>
      <c r="C434" s="9" t="str">
        <f>TEXT('Cleaned Datasets'!$B434,"MMMM")</f>
        <v>February</v>
      </c>
      <c r="D434" s="10" t="s">
        <v>46</v>
      </c>
      <c r="E434" s="10" t="s">
        <v>47</v>
      </c>
      <c r="F434" s="10" t="s">
        <v>32</v>
      </c>
      <c r="G434" s="10" t="s">
        <v>18</v>
      </c>
      <c r="H434" s="10" t="s">
        <v>15</v>
      </c>
      <c r="I434" s="10">
        <v>2</v>
      </c>
      <c r="J434" s="10">
        <v>2</v>
      </c>
      <c r="K434" s="10">
        <v>0</v>
      </c>
      <c r="L434" s="10">
        <v>3.1</v>
      </c>
      <c r="M434" s="11">
        <f t="shared" si="19"/>
        <v>1</v>
      </c>
      <c r="N434" s="11">
        <f t="shared" si="20"/>
        <v>0</v>
      </c>
    </row>
    <row r="435" spans="1:14" x14ac:dyDescent="0.25">
      <c r="A435" s="12" t="s">
        <v>59</v>
      </c>
      <c r="B435" s="12">
        <f t="shared" si="18"/>
        <v>45170</v>
      </c>
      <c r="C435" s="12" t="str">
        <f>TEXT('Cleaned Datasets'!$B435,"MMMM")</f>
        <v>September</v>
      </c>
      <c r="D435" s="13" t="s">
        <v>37</v>
      </c>
      <c r="E435" s="13" t="s">
        <v>39</v>
      </c>
      <c r="F435" s="13" t="s">
        <v>21</v>
      </c>
      <c r="G435" s="13" t="s">
        <v>53</v>
      </c>
      <c r="H435" s="13" t="s">
        <v>15</v>
      </c>
      <c r="I435" s="13">
        <v>7</v>
      </c>
      <c r="J435" s="13">
        <v>6</v>
      </c>
      <c r="K435" s="13">
        <v>0</v>
      </c>
      <c r="L435" s="13">
        <v>2.5</v>
      </c>
      <c r="M435" s="14">
        <f t="shared" si="19"/>
        <v>0.8571428571428571</v>
      </c>
      <c r="N435" s="14">
        <f t="shared" si="20"/>
        <v>0</v>
      </c>
    </row>
    <row r="436" spans="1:14" x14ac:dyDescent="0.25">
      <c r="A436" s="9" t="s">
        <v>43</v>
      </c>
      <c r="B436" s="9">
        <f t="shared" si="18"/>
        <v>44958</v>
      </c>
      <c r="C436" s="9" t="str">
        <f>TEXT('Cleaned Datasets'!$B436,"MMMM")</f>
        <v>February</v>
      </c>
      <c r="D436" s="10" t="s">
        <v>56</v>
      </c>
      <c r="E436" s="10" t="s">
        <v>62</v>
      </c>
      <c r="F436" s="10" t="s">
        <v>32</v>
      </c>
      <c r="G436" s="10" t="s">
        <v>27</v>
      </c>
      <c r="H436" s="10" t="s">
        <v>15</v>
      </c>
      <c r="I436" s="10">
        <v>7</v>
      </c>
      <c r="J436" s="10">
        <v>7</v>
      </c>
      <c r="K436" s="10">
        <v>0</v>
      </c>
      <c r="L436" s="10">
        <v>3.7</v>
      </c>
      <c r="M436" s="11">
        <f t="shared" si="19"/>
        <v>1</v>
      </c>
      <c r="N436" s="11">
        <f t="shared" si="20"/>
        <v>0</v>
      </c>
    </row>
    <row r="437" spans="1:14" x14ac:dyDescent="0.25">
      <c r="A437" s="12" t="s">
        <v>43</v>
      </c>
      <c r="B437" s="12">
        <f t="shared" si="18"/>
        <v>44958</v>
      </c>
      <c r="C437" s="12" t="str">
        <f>TEXT('Cleaned Datasets'!$B437,"MMMM")</f>
        <v>February</v>
      </c>
      <c r="D437" s="13" t="s">
        <v>37</v>
      </c>
      <c r="E437" s="13" t="s">
        <v>39</v>
      </c>
      <c r="F437" s="13" t="s">
        <v>26</v>
      </c>
      <c r="G437" s="13" t="s">
        <v>30</v>
      </c>
      <c r="H437" s="13" t="s">
        <v>19</v>
      </c>
      <c r="I437" s="13">
        <v>3</v>
      </c>
      <c r="J437" s="13">
        <v>3</v>
      </c>
      <c r="K437" s="13">
        <v>0</v>
      </c>
      <c r="L437" s="13">
        <v>2.2000000000000002</v>
      </c>
      <c r="M437" s="14">
        <f t="shared" si="19"/>
        <v>1</v>
      </c>
      <c r="N437" s="14">
        <f t="shared" si="20"/>
        <v>0</v>
      </c>
    </row>
    <row r="438" spans="1:14" x14ac:dyDescent="0.25">
      <c r="A438" s="9" t="s">
        <v>36</v>
      </c>
      <c r="B438" s="9">
        <f t="shared" si="18"/>
        <v>44986</v>
      </c>
      <c r="C438" s="9" t="str">
        <f>TEXT('Cleaned Datasets'!$B438,"MMMM")</f>
        <v>March</v>
      </c>
      <c r="D438" s="10" t="s">
        <v>28</v>
      </c>
      <c r="E438" s="10" t="s">
        <v>58</v>
      </c>
      <c r="F438" s="10" t="s">
        <v>40</v>
      </c>
      <c r="G438" s="10" t="s">
        <v>22</v>
      </c>
      <c r="H438" s="10" t="s">
        <v>15</v>
      </c>
      <c r="I438" s="10">
        <v>5</v>
      </c>
      <c r="J438" s="10">
        <v>5</v>
      </c>
      <c r="K438" s="10">
        <v>0</v>
      </c>
      <c r="L438" s="10">
        <v>4.7</v>
      </c>
      <c r="M438" s="11">
        <f t="shared" si="19"/>
        <v>1</v>
      </c>
      <c r="N438" s="11">
        <f t="shared" si="20"/>
        <v>0</v>
      </c>
    </row>
    <row r="439" spans="1:14" x14ac:dyDescent="0.25">
      <c r="A439" s="12" t="s">
        <v>23</v>
      </c>
      <c r="B439" s="12">
        <f t="shared" si="18"/>
        <v>45200</v>
      </c>
      <c r="C439" s="12" t="str">
        <f>TEXT('Cleaned Datasets'!$B439,"MMMM")</f>
        <v>October</v>
      </c>
      <c r="D439" s="13" t="s">
        <v>16</v>
      </c>
      <c r="E439" s="13" t="s">
        <v>17</v>
      </c>
      <c r="F439" s="13" t="s">
        <v>32</v>
      </c>
      <c r="G439" s="13" t="s">
        <v>30</v>
      </c>
      <c r="H439" s="13" t="s">
        <v>19</v>
      </c>
      <c r="I439" s="13">
        <v>1</v>
      </c>
      <c r="J439" s="13">
        <v>1</v>
      </c>
      <c r="K439" s="13">
        <v>0</v>
      </c>
      <c r="L439" s="13">
        <v>2.1</v>
      </c>
      <c r="M439" s="14">
        <f t="shared" si="19"/>
        <v>1</v>
      </c>
      <c r="N439" s="14">
        <f t="shared" si="20"/>
        <v>0</v>
      </c>
    </row>
    <row r="440" spans="1:14" x14ac:dyDescent="0.25">
      <c r="A440" s="9" t="s">
        <v>43</v>
      </c>
      <c r="B440" s="9">
        <f t="shared" si="18"/>
        <v>44958</v>
      </c>
      <c r="C440" s="9" t="str">
        <f>TEXT('Cleaned Datasets'!$B440,"MMMM")</f>
        <v>February</v>
      </c>
      <c r="D440" s="10" t="s">
        <v>48</v>
      </c>
      <c r="E440" s="10" t="s">
        <v>49</v>
      </c>
      <c r="F440" s="10" t="s">
        <v>32</v>
      </c>
      <c r="G440" s="10" t="s">
        <v>53</v>
      </c>
      <c r="H440" s="10" t="s">
        <v>15</v>
      </c>
      <c r="I440" s="10">
        <v>6</v>
      </c>
      <c r="J440" s="10">
        <v>6</v>
      </c>
      <c r="K440" s="10">
        <v>0</v>
      </c>
      <c r="L440" s="10">
        <v>4</v>
      </c>
      <c r="M440" s="11">
        <f t="shared" si="19"/>
        <v>1</v>
      </c>
      <c r="N440" s="11">
        <f t="shared" si="20"/>
        <v>0</v>
      </c>
    </row>
    <row r="441" spans="1:14" x14ac:dyDescent="0.25">
      <c r="A441" s="12" t="s">
        <v>10</v>
      </c>
      <c r="B441" s="12">
        <f t="shared" si="18"/>
        <v>45017</v>
      </c>
      <c r="C441" s="12" t="str">
        <f>TEXT('Cleaned Datasets'!$B441,"MMMM")</f>
        <v>April</v>
      </c>
      <c r="D441" s="13" t="s">
        <v>41</v>
      </c>
      <c r="E441" s="13" t="s">
        <v>44</v>
      </c>
      <c r="F441" s="13" t="s">
        <v>26</v>
      </c>
      <c r="G441" s="13" t="s">
        <v>22</v>
      </c>
      <c r="H441" s="13" t="s">
        <v>19</v>
      </c>
      <c r="I441" s="13">
        <v>6</v>
      </c>
      <c r="J441" s="13">
        <v>6</v>
      </c>
      <c r="K441" s="13">
        <v>0</v>
      </c>
      <c r="L441" s="13">
        <v>3.5</v>
      </c>
      <c r="M441" s="14">
        <f t="shared" si="19"/>
        <v>1</v>
      </c>
      <c r="N441" s="14">
        <f t="shared" si="20"/>
        <v>0</v>
      </c>
    </row>
    <row r="442" spans="1:14" x14ac:dyDescent="0.25">
      <c r="A442" s="9" t="s">
        <v>23</v>
      </c>
      <c r="B442" s="9">
        <f t="shared" si="18"/>
        <v>45200</v>
      </c>
      <c r="C442" s="9" t="str">
        <f>TEXT('Cleaned Datasets'!$B442,"MMMM")</f>
        <v>October</v>
      </c>
      <c r="D442" s="10" t="s">
        <v>56</v>
      </c>
      <c r="E442" s="10" t="s">
        <v>62</v>
      </c>
      <c r="F442" s="10" t="s">
        <v>32</v>
      </c>
      <c r="G442" s="10" t="s">
        <v>18</v>
      </c>
      <c r="H442" s="10" t="s">
        <v>15</v>
      </c>
      <c r="I442" s="10">
        <v>9</v>
      </c>
      <c r="J442" s="10">
        <v>8</v>
      </c>
      <c r="K442" s="10">
        <v>0</v>
      </c>
      <c r="L442" s="10">
        <v>1.2</v>
      </c>
      <c r="M442" s="11">
        <f t="shared" si="19"/>
        <v>0.88888888888888884</v>
      </c>
      <c r="N442" s="11">
        <f t="shared" si="20"/>
        <v>0</v>
      </c>
    </row>
    <row r="443" spans="1:14" x14ac:dyDescent="0.25">
      <c r="A443" s="12" t="s">
        <v>36</v>
      </c>
      <c r="B443" s="12">
        <f t="shared" si="18"/>
        <v>44986</v>
      </c>
      <c r="C443" s="12" t="str">
        <f>TEXT('Cleaned Datasets'!$B443,"MMMM")</f>
        <v>March</v>
      </c>
      <c r="D443" s="13" t="s">
        <v>41</v>
      </c>
      <c r="E443" s="13" t="s">
        <v>44</v>
      </c>
      <c r="F443" s="13" t="s">
        <v>26</v>
      </c>
      <c r="G443" s="13" t="s">
        <v>14</v>
      </c>
      <c r="H443" s="13" t="s">
        <v>15</v>
      </c>
      <c r="I443" s="13">
        <v>8</v>
      </c>
      <c r="J443" s="13">
        <v>6</v>
      </c>
      <c r="K443" s="13">
        <v>0</v>
      </c>
      <c r="L443" s="13">
        <v>2.2000000000000002</v>
      </c>
      <c r="M443" s="14">
        <f t="shared" si="19"/>
        <v>0.75</v>
      </c>
      <c r="N443" s="14">
        <f t="shared" si="20"/>
        <v>0</v>
      </c>
    </row>
    <row r="444" spans="1:14" x14ac:dyDescent="0.25">
      <c r="A444" s="9" t="s">
        <v>45</v>
      </c>
      <c r="B444" s="9">
        <f t="shared" si="18"/>
        <v>45047</v>
      </c>
      <c r="C444" s="9" t="str">
        <f>TEXT('Cleaned Datasets'!$B444,"MMMM")</f>
        <v>May</v>
      </c>
      <c r="D444" s="10" t="s">
        <v>48</v>
      </c>
      <c r="E444" s="10" t="s">
        <v>63</v>
      </c>
      <c r="F444" s="10" t="s">
        <v>26</v>
      </c>
      <c r="G444" s="10" t="s">
        <v>53</v>
      </c>
      <c r="H444" s="10" t="s">
        <v>19</v>
      </c>
      <c r="I444" s="10">
        <v>7</v>
      </c>
      <c r="J444" s="10">
        <v>7</v>
      </c>
      <c r="K444" s="10">
        <v>2</v>
      </c>
      <c r="L444" s="10">
        <v>3.9</v>
      </c>
      <c r="M444" s="11">
        <f t="shared" si="19"/>
        <v>1</v>
      </c>
      <c r="N444" s="11">
        <f t="shared" si="20"/>
        <v>0.2857142857142857</v>
      </c>
    </row>
    <row r="445" spans="1:14" x14ac:dyDescent="0.25">
      <c r="A445" s="12" t="s">
        <v>45</v>
      </c>
      <c r="B445" s="12">
        <f t="shared" si="18"/>
        <v>45047</v>
      </c>
      <c r="C445" s="12" t="str">
        <f>TEXT('Cleaned Datasets'!$B445,"MMMM")</f>
        <v>May</v>
      </c>
      <c r="D445" s="13" t="s">
        <v>16</v>
      </c>
      <c r="E445" s="13" t="s">
        <v>17</v>
      </c>
      <c r="F445" s="13" t="s">
        <v>40</v>
      </c>
      <c r="G445" s="13" t="s">
        <v>27</v>
      </c>
      <c r="H445" s="13" t="s">
        <v>19</v>
      </c>
      <c r="I445" s="13">
        <v>7</v>
      </c>
      <c r="J445" s="13">
        <v>6</v>
      </c>
      <c r="K445" s="13">
        <v>0</v>
      </c>
      <c r="L445" s="13">
        <v>3.5</v>
      </c>
      <c r="M445" s="14">
        <f t="shared" si="19"/>
        <v>0.8571428571428571</v>
      </c>
      <c r="N445" s="14">
        <f t="shared" si="20"/>
        <v>0</v>
      </c>
    </row>
    <row r="446" spans="1:14" x14ac:dyDescent="0.25">
      <c r="A446" s="9" t="s">
        <v>36</v>
      </c>
      <c r="B446" s="9">
        <f t="shared" si="18"/>
        <v>44986</v>
      </c>
      <c r="C446" s="9" t="str">
        <f>TEXT('Cleaned Datasets'!$B446,"MMMM")</f>
        <v>March</v>
      </c>
      <c r="D446" s="10" t="s">
        <v>48</v>
      </c>
      <c r="E446" s="10" t="s">
        <v>63</v>
      </c>
      <c r="F446" s="10" t="s">
        <v>13</v>
      </c>
      <c r="G446" s="10" t="s">
        <v>53</v>
      </c>
      <c r="H446" s="10" t="s">
        <v>19</v>
      </c>
      <c r="I446" s="10">
        <v>5</v>
      </c>
      <c r="J446" s="10">
        <v>5</v>
      </c>
      <c r="K446" s="10">
        <v>0</v>
      </c>
      <c r="L446" s="10">
        <v>2.2000000000000002</v>
      </c>
      <c r="M446" s="11">
        <f t="shared" si="19"/>
        <v>1</v>
      </c>
      <c r="N446" s="11">
        <f t="shared" si="20"/>
        <v>0</v>
      </c>
    </row>
    <row r="447" spans="1:14" x14ac:dyDescent="0.25">
      <c r="A447" s="12" t="s">
        <v>33</v>
      </c>
      <c r="B447" s="12">
        <f t="shared" si="18"/>
        <v>44927</v>
      </c>
      <c r="C447" s="12" t="str">
        <f>TEXT('Cleaned Datasets'!$B447,"MMMM")</f>
        <v>January</v>
      </c>
      <c r="D447" s="13" t="s">
        <v>11</v>
      </c>
      <c r="E447" s="13" t="s">
        <v>52</v>
      </c>
      <c r="F447" s="13" t="s">
        <v>21</v>
      </c>
      <c r="G447" s="13" t="s">
        <v>30</v>
      </c>
      <c r="H447" s="13" t="s">
        <v>15</v>
      </c>
      <c r="I447" s="13">
        <v>4</v>
      </c>
      <c r="J447" s="13">
        <v>4</v>
      </c>
      <c r="K447" s="13">
        <v>0</v>
      </c>
      <c r="L447" s="13">
        <v>4.2</v>
      </c>
      <c r="M447" s="14">
        <f t="shared" si="19"/>
        <v>1</v>
      </c>
      <c r="N447" s="14">
        <f t="shared" si="20"/>
        <v>0</v>
      </c>
    </row>
    <row r="448" spans="1:14" x14ac:dyDescent="0.25">
      <c r="A448" s="9" t="s">
        <v>20</v>
      </c>
      <c r="B448" s="9">
        <f t="shared" si="18"/>
        <v>45078</v>
      </c>
      <c r="C448" s="9" t="str">
        <f>TEXT('Cleaned Datasets'!$B448,"MMMM")</f>
        <v>June</v>
      </c>
      <c r="D448" s="10" t="s">
        <v>48</v>
      </c>
      <c r="E448" s="10" t="s">
        <v>49</v>
      </c>
      <c r="F448" s="10" t="s">
        <v>26</v>
      </c>
      <c r="G448" s="10" t="s">
        <v>22</v>
      </c>
      <c r="H448" s="10" t="s">
        <v>15</v>
      </c>
      <c r="I448" s="10">
        <v>3</v>
      </c>
      <c r="J448" s="10">
        <v>3</v>
      </c>
      <c r="K448" s="10">
        <v>0</v>
      </c>
      <c r="L448" s="10">
        <v>3.2</v>
      </c>
      <c r="M448" s="11">
        <f t="shared" si="19"/>
        <v>1</v>
      </c>
      <c r="N448" s="11">
        <f t="shared" si="20"/>
        <v>0</v>
      </c>
    </row>
    <row r="449" spans="1:14" x14ac:dyDescent="0.25">
      <c r="A449" s="12" t="s">
        <v>36</v>
      </c>
      <c r="B449" s="12">
        <f t="shared" si="18"/>
        <v>44986</v>
      </c>
      <c r="C449" s="12" t="str">
        <f>TEXT('Cleaned Datasets'!$B449,"MMMM")</f>
        <v>March</v>
      </c>
      <c r="D449" s="13" t="s">
        <v>28</v>
      </c>
      <c r="E449" s="13" t="s">
        <v>29</v>
      </c>
      <c r="F449" s="13" t="s">
        <v>26</v>
      </c>
      <c r="G449" s="13" t="s">
        <v>22</v>
      </c>
      <c r="H449" s="13" t="s">
        <v>15</v>
      </c>
      <c r="I449" s="13">
        <v>5</v>
      </c>
      <c r="J449" s="13">
        <v>5</v>
      </c>
      <c r="K449" s="13">
        <v>0</v>
      </c>
      <c r="L449" s="13">
        <v>3.1</v>
      </c>
      <c r="M449" s="14">
        <f t="shared" si="19"/>
        <v>1</v>
      </c>
      <c r="N449" s="14">
        <f t="shared" si="20"/>
        <v>0</v>
      </c>
    </row>
    <row r="450" spans="1:14" x14ac:dyDescent="0.25">
      <c r="A450" s="9" t="s">
        <v>50</v>
      </c>
      <c r="B450" s="9">
        <f t="shared" si="18"/>
        <v>45108</v>
      </c>
      <c r="C450" s="9" t="str">
        <f>TEXT('Cleaned Datasets'!$B450,"MMMM")</f>
        <v>July</v>
      </c>
      <c r="D450" s="10" t="s">
        <v>34</v>
      </c>
      <c r="E450" s="10" t="s">
        <v>35</v>
      </c>
      <c r="F450" s="10" t="s">
        <v>26</v>
      </c>
      <c r="G450" s="10" t="s">
        <v>27</v>
      </c>
      <c r="H450" s="10" t="s">
        <v>15</v>
      </c>
      <c r="I450" s="10">
        <v>5</v>
      </c>
      <c r="J450" s="10">
        <v>5</v>
      </c>
      <c r="K450" s="10">
        <v>0</v>
      </c>
      <c r="L450" s="10">
        <v>3.1</v>
      </c>
      <c r="M450" s="11">
        <f t="shared" si="19"/>
        <v>1</v>
      </c>
      <c r="N450" s="11">
        <f t="shared" si="20"/>
        <v>0</v>
      </c>
    </row>
    <row r="451" spans="1:14" x14ac:dyDescent="0.25">
      <c r="A451" s="12" t="s">
        <v>31</v>
      </c>
      <c r="B451" s="12">
        <f t="shared" ref="B451:B514" si="21">DATE(LEFT(A451,4), RIGHT(A451,2), 1)</f>
        <v>45139</v>
      </c>
      <c r="C451" s="12" t="str">
        <f>TEXT('Cleaned Datasets'!$B451,"MMMM")</f>
        <v>August</v>
      </c>
      <c r="D451" s="13" t="s">
        <v>46</v>
      </c>
      <c r="E451" s="13" t="s">
        <v>47</v>
      </c>
      <c r="F451" s="13" t="s">
        <v>21</v>
      </c>
      <c r="G451" s="13" t="s">
        <v>22</v>
      </c>
      <c r="H451" s="13" t="s">
        <v>19</v>
      </c>
      <c r="I451" s="13">
        <v>4</v>
      </c>
      <c r="J451" s="13">
        <v>4</v>
      </c>
      <c r="K451" s="13">
        <v>0</v>
      </c>
      <c r="L451" s="13">
        <v>3.2</v>
      </c>
      <c r="M451" s="14">
        <f t="shared" ref="M451:M514" si="22">IFERROR(J451/I451,0)</f>
        <v>1</v>
      </c>
      <c r="N451" s="14">
        <f t="shared" ref="N451:N514" si="23">IFERROR(K451/I451,0)</f>
        <v>0</v>
      </c>
    </row>
    <row r="452" spans="1:14" x14ac:dyDescent="0.25">
      <c r="A452" s="9" t="s">
        <v>33</v>
      </c>
      <c r="B452" s="9">
        <f t="shared" si="21"/>
        <v>44927</v>
      </c>
      <c r="C452" s="9" t="str">
        <f>TEXT('Cleaned Datasets'!$B452,"MMMM")</f>
        <v>January</v>
      </c>
      <c r="D452" s="10" t="s">
        <v>28</v>
      </c>
      <c r="E452" s="10" t="s">
        <v>29</v>
      </c>
      <c r="F452" s="10" t="s">
        <v>32</v>
      </c>
      <c r="G452" s="10" t="s">
        <v>22</v>
      </c>
      <c r="H452" s="10" t="s">
        <v>19</v>
      </c>
      <c r="I452" s="10">
        <v>3</v>
      </c>
      <c r="J452" s="10">
        <v>3</v>
      </c>
      <c r="K452" s="10">
        <v>0</v>
      </c>
      <c r="L452" s="10">
        <v>3.7</v>
      </c>
      <c r="M452" s="11">
        <f t="shared" si="22"/>
        <v>1</v>
      </c>
      <c r="N452" s="11">
        <f t="shared" si="23"/>
        <v>0</v>
      </c>
    </row>
    <row r="453" spans="1:14" x14ac:dyDescent="0.25">
      <c r="A453" s="12" t="s">
        <v>23</v>
      </c>
      <c r="B453" s="12">
        <f t="shared" si="21"/>
        <v>45200</v>
      </c>
      <c r="C453" s="12" t="str">
        <f>TEXT('Cleaned Datasets'!$B453,"MMMM")</f>
        <v>October</v>
      </c>
      <c r="D453" s="13" t="s">
        <v>37</v>
      </c>
      <c r="E453" s="13" t="s">
        <v>38</v>
      </c>
      <c r="F453" s="13" t="s">
        <v>21</v>
      </c>
      <c r="G453" s="13" t="s">
        <v>22</v>
      </c>
      <c r="H453" s="13" t="s">
        <v>15</v>
      </c>
      <c r="I453" s="13">
        <v>2</v>
      </c>
      <c r="J453" s="13">
        <v>1</v>
      </c>
      <c r="K453" s="13">
        <v>1</v>
      </c>
      <c r="L453" s="13">
        <v>4.9000000000000004</v>
      </c>
      <c r="M453" s="14">
        <f t="shared" si="22"/>
        <v>0.5</v>
      </c>
      <c r="N453" s="14">
        <f t="shared" si="23"/>
        <v>0.5</v>
      </c>
    </row>
    <row r="454" spans="1:14" x14ac:dyDescent="0.25">
      <c r="A454" s="9" t="s">
        <v>23</v>
      </c>
      <c r="B454" s="9">
        <f t="shared" si="21"/>
        <v>45200</v>
      </c>
      <c r="C454" s="9" t="str">
        <f>TEXT('Cleaned Datasets'!$B454,"MMMM")</f>
        <v>October</v>
      </c>
      <c r="D454" s="10" t="s">
        <v>34</v>
      </c>
      <c r="E454" s="10" t="s">
        <v>51</v>
      </c>
      <c r="F454" s="10" t="s">
        <v>26</v>
      </c>
      <c r="G454" s="10" t="s">
        <v>27</v>
      </c>
      <c r="H454" s="10" t="s">
        <v>15</v>
      </c>
      <c r="I454" s="10">
        <v>5</v>
      </c>
      <c r="J454" s="10">
        <v>5</v>
      </c>
      <c r="K454" s="10">
        <v>0</v>
      </c>
      <c r="L454" s="10">
        <v>1.7</v>
      </c>
      <c r="M454" s="11">
        <f t="shared" si="22"/>
        <v>1</v>
      </c>
      <c r="N454" s="11">
        <f t="shared" si="23"/>
        <v>0</v>
      </c>
    </row>
    <row r="455" spans="1:14" x14ac:dyDescent="0.25">
      <c r="A455" s="12" t="s">
        <v>43</v>
      </c>
      <c r="B455" s="12">
        <f t="shared" si="21"/>
        <v>44958</v>
      </c>
      <c r="C455" s="12" t="str">
        <f>TEXT('Cleaned Datasets'!$B455,"MMMM")</f>
        <v>February</v>
      </c>
      <c r="D455" s="13" t="s">
        <v>11</v>
      </c>
      <c r="E455" s="13" t="s">
        <v>12</v>
      </c>
      <c r="F455" s="13" t="s">
        <v>26</v>
      </c>
      <c r="G455" s="13" t="s">
        <v>53</v>
      </c>
      <c r="H455" s="13" t="s">
        <v>15</v>
      </c>
      <c r="I455" s="13">
        <v>2</v>
      </c>
      <c r="J455" s="13">
        <v>1</v>
      </c>
      <c r="K455" s="13">
        <v>0</v>
      </c>
      <c r="L455" s="13">
        <v>2.2000000000000002</v>
      </c>
      <c r="M455" s="14">
        <f t="shared" si="22"/>
        <v>0.5</v>
      </c>
      <c r="N455" s="14">
        <f t="shared" si="23"/>
        <v>0</v>
      </c>
    </row>
    <row r="456" spans="1:14" x14ac:dyDescent="0.25">
      <c r="A456" s="9" t="s">
        <v>61</v>
      </c>
      <c r="B456" s="9">
        <f t="shared" si="21"/>
        <v>45231</v>
      </c>
      <c r="C456" s="9" t="str">
        <f>TEXT('Cleaned Datasets'!$B456,"MMMM")</f>
        <v>November</v>
      </c>
      <c r="D456" s="10" t="s">
        <v>46</v>
      </c>
      <c r="E456" s="10" t="s">
        <v>54</v>
      </c>
      <c r="F456" s="10" t="s">
        <v>13</v>
      </c>
      <c r="G456" s="10" t="s">
        <v>27</v>
      </c>
      <c r="H456" s="10" t="s">
        <v>15</v>
      </c>
      <c r="I456" s="10">
        <v>4</v>
      </c>
      <c r="J456" s="10">
        <v>4</v>
      </c>
      <c r="K456" s="10">
        <v>0</v>
      </c>
      <c r="L456" s="10">
        <v>2.7</v>
      </c>
      <c r="M456" s="11">
        <f t="shared" si="22"/>
        <v>1</v>
      </c>
      <c r="N456" s="11">
        <f t="shared" si="23"/>
        <v>0</v>
      </c>
    </row>
    <row r="457" spans="1:14" x14ac:dyDescent="0.25">
      <c r="A457" s="12" t="s">
        <v>59</v>
      </c>
      <c r="B457" s="12">
        <f t="shared" si="21"/>
        <v>45170</v>
      </c>
      <c r="C457" s="12" t="str">
        <f>TEXT('Cleaned Datasets'!$B457,"MMMM")</f>
        <v>September</v>
      </c>
      <c r="D457" s="13" t="s">
        <v>34</v>
      </c>
      <c r="E457" s="13" t="s">
        <v>51</v>
      </c>
      <c r="F457" s="13" t="s">
        <v>13</v>
      </c>
      <c r="G457" s="13" t="s">
        <v>27</v>
      </c>
      <c r="H457" s="13" t="s">
        <v>19</v>
      </c>
      <c r="I457" s="13">
        <v>4</v>
      </c>
      <c r="J457" s="13">
        <v>3</v>
      </c>
      <c r="K457" s="13">
        <v>2</v>
      </c>
      <c r="L457" s="13">
        <v>2.4</v>
      </c>
      <c r="M457" s="14">
        <f t="shared" si="22"/>
        <v>0.75</v>
      </c>
      <c r="N457" s="14">
        <f t="shared" si="23"/>
        <v>0.5</v>
      </c>
    </row>
    <row r="458" spans="1:14" x14ac:dyDescent="0.25">
      <c r="A458" s="9" t="s">
        <v>50</v>
      </c>
      <c r="B458" s="9">
        <f t="shared" si="21"/>
        <v>45108</v>
      </c>
      <c r="C458" s="9" t="str">
        <f>TEXT('Cleaned Datasets'!$B458,"MMMM")</f>
        <v>July</v>
      </c>
      <c r="D458" s="10" t="s">
        <v>34</v>
      </c>
      <c r="E458" s="10" t="s">
        <v>35</v>
      </c>
      <c r="F458" s="10" t="s">
        <v>13</v>
      </c>
      <c r="G458" s="10" t="s">
        <v>14</v>
      </c>
      <c r="H458" s="10" t="s">
        <v>15</v>
      </c>
      <c r="I458" s="10">
        <v>7</v>
      </c>
      <c r="J458" s="10">
        <v>7</v>
      </c>
      <c r="K458" s="10">
        <v>0</v>
      </c>
      <c r="L458" s="10">
        <v>3.2</v>
      </c>
      <c r="M458" s="11">
        <f t="shared" si="22"/>
        <v>1</v>
      </c>
      <c r="N458" s="11">
        <f t="shared" si="23"/>
        <v>0</v>
      </c>
    </row>
    <row r="459" spans="1:14" x14ac:dyDescent="0.25">
      <c r="A459" s="12" t="s">
        <v>59</v>
      </c>
      <c r="B459" s="12">
        <f t="shared" si="21"/>
        <v>45170</v>
      </c>
      <c r="C459" s="12" t="str">
        <f>TEXT('Cleaned Datasets'!$B459,"MMMM")</f>
        <v>September</v>
      </c>
      <c r="D459" s="13" t="s">
        <v>11</v>
      </c>
      <c r="E459" s="13" t="s">
        <v>52</v>
      </c>
      <c r="F459" s="13" t="s">
        <v>13</v>
      </c>
      <c r="G459" s="13" t="s">
        <v>22</v>
      </c>
      <c r="H459" s="13" t="s">
        <v>15</v>
      </c>
      <c r="I459" s="13">
        <v>8</v>
      </c>
      <c r="J459" s="13">
        <v>8</v>
      </c>
      <c r="K459" s="13">
        <v>0</v>
      </c>
      <c r="L459" s="13">
        <v>2</v>
      </c>
      <c r="M459" s="14">
        <f t="shared" si="22"/>
        <v>1</v>
      </c>
      <c r="N459" s="14">
        <f t="shared" si="23"/>
        <v>0</v>
      </c>
    </row>
    <row r="460" spans="1:14" x14ac:dyDescent="0.25">
      <c r="A460" s="9" t="s">
        <v>31</v>
      </c>
      <c r="B460" s="9">
        <f t="shared" si="21"/>
        <v>45139</v>
      </c>
      <c r="C460" s="9" t="str">
        <f>TEXT('Cleaned Datasets'!$B460,"MMMM")</f>
        <v>August</v>
      </c>
      <c r="D460" s="10" t="s">
        <v>34</v>
      </c>
      <c r="E460" s="10" t="s">
        <v>51</v>
      </c>
      <c r="F460" s="10" t="s">
        <v>26</v>
      </c>
      <c r="G460" s="10" t="s">
        <v>27</v>
      </c>
      <c r="H460" s="10" t="s">
        <v>19</v>
      </c>
      <c r="I460" s="10">
        <v>5</v>
      </c>
      <c r="J460" s="10">
        <v>5</v>
      </c>
      <c r="K460" s="10">
        <v>0</v>
      </c>
      <c r="L460" s="10">
        <v>2.1</v>
      </c>
      <c r="M460" s="11">
        <f t="shared" si="22"/>
        <v>1</v>
      </c>
      <c r="N460" s="11">
        <f t="shared" si="23"/>
        <v>0</v>
      </c>
    </row>
    <row r="461" spans="1:14" x14ac:dyDescent="0.25">
      <c r="A461" s="12" t="s">
        <v>33</v>
      </c>
      <c r="B461" s="12">
        <f t="shared" si="21"/>
        <v>44927</v>
      </c>
      <c r="C461" s="12" t="str">
        <f>TEXT('Cleaned Datasets'!$B461,"MMMM")</f>
        <v>January</v>
      </c>
      <c r="D461" s="13" t="s">
        <v>37</v>
      </c>
      <c r="E461" s="13" t="s">
        <v>38</v>
      </c>
      <c r="F461" s="13" t="s">
        <v>21</v>
      </c>
      <c r="G461" s="13" t="s">
        <v>18</v>
      </c>
      <c r="H461" s="13" t="s">
        <v>19</v>
      </c>
      <c r="I461" s="13">
        <v>1</v>
      </c>
      <c r="J461" s="13">
        <v>1</v>
      </c>
      <c r="K461" s="13">
        <v>0</v>
      </c>
      <c r="L461" s="13">
        <v>3.1</v>
      </c>
      <c r="M461" s="14">
        <f t="shared" si="22"/>
        <v>1</v>
      </c>
      <c r="N461" s="14">
        <f t="shared" si="23"/>
        <v>0</v>
      </c>
    </row>
    <row r="462" spans="1:14" x14ac:dyDescent="0.25">
      <c r="A462" s="9" t="s">
        <v>50</v>
      </c>
      <c r="B462" s="9">
        <f t="shared" si="21"/>
        <v>45108</v>
      </c>
      <c r="C462" s="9" t="str">
        <f>TEXT('Cleaned Datasets'!$B462,"MMMM")</f>
        <v>July</v>
      </c>
      <c r="D462" s="10" t="s">
        <v>11</v>
      </c>
      <c r="E462" s="10" t="s">
        <v>12</v>
      </c>
      <c r="F462" s="10" t="s">
        <v>21</v>
      </c>
      <c r="G462" s="10" t="s">
        <v>18</v>
      </c>
      <c r="H462" s="10" t="s">
        <v>19</v>
      </c>
      <c r="I462" s="10">
        <v>3</v>
      </c>
      <c r="J462" s="10">
        <v>3</v>
      </c>
      <c r="K462" s="10">
        <v>0</v>
      </c>
      <c r="L462" s="10">
        <v>2.2000000000000002</v>
      </c>
      <c r="M462" s="11">
        <f t="shared" si="22"/>
        <v>1</v>
      </c>
      <c r="N462" s="11">
        <f t="shared" si="23"/>
        <v>0</v>
      </c>
    </row>
    <row r="463" spans="1:14" x14ac:dyDescent="0.25">
      <c r="A463" s="12" t="s">
        <v>10</v>
      </c>
      <c r="B463" s="12">
        <f t="shared" si="21"/>
        <v>45017</v>
      </c>
      <c r="C463" s="12" t="str">
        <f>TEXT('Cleaned Datasets'!$B463,"MMMM")</f>
        <v>April</v>
      </c>
      <c r="D463" s="13" t="s">
        <v>34</v>
      </c>
      <c r="E463" s="13" t="s">
        <v>35</v>
      </c>
      <c r="F463" s="13" t="s">
        <v>26</v>
      </c>
      <c r="G463" s="13" t="s">
        <v>18</v>
      </c>
      <c r="H463" s="13" t="s">
        <v>19</v>
      </c>
      <c r="I463" s="13">
        <v>8</v>
      </c>
      <c r="J463" s="13">
        <v>7</v>
      </c>
      <c r="K463" s="13">
        <v>0</v>
      </c>
      <c r="L463" s="13">
        <v>1.9</v>
      </c>
      <c r="M463" s="14">
        <f t="shared" si="22"/>
        <v>0.875</v>
      </c>
      <c r="N463" s="14">
        <f t="shared" si="23"/>
        <v>0</v>
      </c>
    </row>
    <row r="464" spans="1:14" x14ac:dyDescent="0.25">
      <c r="A464" s="9" t="s">
        <v>33</v>
      </c>
      <c r="B464" s="9">
        <f t="shared" si="21"/>
        <v>44927</v>
      </c>
      <c r="C464" s="9" t="str">
        <f>TEXT('Cleaned Datasets'!$B464,"MMMM")</f>
        <v>January</v>
      </c>
      <c r="D464" s="10" t="s">
        <v>46</v>
      </c>
      <c r="E464" s="10" t="s">
        <v>47</v>
      </c>
      <c r="F464" s="10" t="s">
        <v>40</v>
      </c>
      <c r="G464" s="10" t="s">
        <v>22</v>
      </c>
      <c r="H464" s="10" t="s">
        <v>15</v>
      </c>
      <c r="I464" s="10">
        <v>3</v>
      </c>
      <c r="J464" s="10">
        <v>3</v>
      </c>
      <c r="K464" s="10">
        <v>0</v>
      </c>
      <c r="L464" s="10">
        <v>2</v>
      </c>
      <c r="M464" s="11">
        <f t="shared" si="22"/>
        <v>1</v>
      </c>
      <c r="N464" s="11">
        <f t="shared" si="23"/>
        <v>0</v>
      </c>
    </row>
    <row r="465" spans="1:14" x14ac:dyDescent="0.25">
      <c r="A465" s="12" t="s">
        <v>50</v>
      </c>
      <c r="B465" s="12">
        <f t="shared" si="21"/>
        <v>45108</v>
      </c>
      <c r="C465" s="12" t="str">
        <f>TEXT('Cleaned Datasets'!$B465,"MMMM")</f>
        <v>July</v>
      </c>
      <c r="D465" s="13" t="s">
        <v>56</v>
      </c>
      <c r="E465" s="13" t="s">
        <v>62</v>
      </c>
      <c r="F465" s="13" t="s">
        <v>40</v>
      </c>
      <c r="G465" s="13" t="s">
        <v>27</v>
      </c>
      <c r="H465" s="13" t="s">
        <v>19</v>
      </c>
      <c r="I465" s="13">
        <v>7</v>
      </c>
      <c r="J465" s="13">
        <v>6</v>
      </c>
      <c r="K465" s="13">
        <v>2</v>
      </c>
      <c r="L465" s="13">
        <v>4.2</v>
      </c>
      <c r="M465" s="14">
        <f t="shared" si="22"/>
        <v>0.8571428571428571</v>
      </c>
      <c r="N465" s="14">
        <f t="shared" si="23"/>
        <v>0.2857142857142857</v>
      </c>
    </row>
    <row r="466" spans="1:14" x14ac:dyDescent="0.25">
      <c r="A466" s="9" t="s">
        <v>43</v>
      </c>
      <c r="B466" s="9">
        <f t="shared" si="21"/>
        <v>44958</v>
      </c>
      <c r="C466" s="9" t="str">
        <f>TEXT('Cleaned Datasets'!$B466,"MMMM")</f>
        <v>February</v>
      </c>
      <c r="D466" s="10" t="s">
        <v>41</v>
      </c>
      <c r="E466" s="10" t="s">
        <v>44</v>
      </c>
      <c r="F466" s="10" t="s">
        <v>32</v>
      </c>
      <c r="G466" s="10" t="s">
        <v>30</v>
      </c>
      <c r="H466" s="10" t="s">
        <v>15</v>
      </c>
      <c r="I466" s="10">
        <v>3</v>
      </c>
      <c r="J466" s="10">
        <v>3</v>
      </c>
      <c r="K466" s="10">
        <v>0</v>
      </c>
      <c r="L466" s="10">
        <v>1.8</v>
      </c>
      <c r="M466" s="11">
        <f t="shared" si="22"/>
        <v>1</v>
      </c>
      <c r="N466" s="11">
        <f t="shared" si="23"/>
        <v>0</v>
      </c>
    </row>
    <row r="467" spans="1:14" x14ac:dyDescent="0.25">
      <c r="A467" s="12" t="s">
        <v>50</v>
      </c>
      <c r="B467" s="12">
        <f t="shared" si="21"/>
        <v>45108</v>
      </c>
      <c r="C467" s="12" t="str">
        <f>TEXT('Cleaned Datasets'!$B467,"MMMM")</f>
        <v>July</v>
      </c>
      <c r="D467" s="13" t="s">
        <v>46</v>
      </c>
      <c r="E467" s="13" t="s">
        <v>54</v>
      </c>
      <c r="F467" s="13" t="s">
        <v>40</v>
      </c>
      <c r="G467" s="13" t="s">
        <v>53</v>
      </c>
      <c r="H467" s="13" t="s">
        <v>19</v>
      </c>
      <c r="I467" s="13">
        <v>5</v>
      </c>
      <c r="J467" s="13">
        <v>4</v>
      </c>
      <c r="K467" s="13">
        <v>0</v>
      </c>
      <c r="L467" s="13">
        <v>1.3</v>
      </c>
      <c r="M467" s="14">
        <f t="shared" si="22"/>
        <v>0.8</v>
      </c>
      <c r="N467" s="14">
        <f t="shared" si="23"/>
        <v>0</v>
      </c>
    </row>
    <row r="468" spans="1:14" x14ac:dyDescent="0.25">
      <c r="A468" s="9" t="s">
        <v>31</v>
      </c>
      <c r="B468" s="9">
        <f t="shared" si="21"/>
        <v>45139</v>
      </c>
      <c r="C468" s="9" t="str">
        <f>TEXT('Cleaned Datasets'!$B468,"MMMM")</f>
        <v>August</v>
      </c>
      <c r="D468" s="10" t="s">
        <v>34</v>
      </c>
      <c r="E468" s="10" t="s">
        <v>51</v>
      </c>
      <c r="F468" s="10" t="s">
        <v>40</v>
      </c>
      <c r="G468" s="10" t="s">
        <v>18</v>
      </c>
      <c r="H468" s="10" t="s">
        <v>15</v>
      </c>
      <c r="I468" s="10">
        <v>8</v>
      </c>
      <c r="J468" s="10">
        <v>8</v>
      </c>
      <c r="K468" s="10">
        <v>0</v>
      </c>
      <c r="L468" s="10">
        <v>1.9</v>
      </c>
      <c r="M468" s="11">
        <f t="shared" si="22"/>
        <v>1</v>
      </c>
      <c r="N468" s="11">
        <f t="shared" si="23"/>
        <v>0</v>
      </c>
    </row>
    <row r="469" spans="1:14" x14ac:dyDescent="0.25">
      <c r="A469" s="12" t="s">
        <v>61</v>
      </c>
      <c r="B469" s="12">
        <f t="shared" si="21"/>
        <v>45231</v>
      </c>
      <c r="C469" s="12" t="str">
        <f>TEXT('Cleaned Datasets'!$B469,"MMMM")</f>
        <v>November</v>
      </c>
      <c r="D469" s="13" t="s">
        <v>48</v>
      </c>
      <c r="E469" s="13" t="s">
        <v>49</v>
      </c>
      <c r="F469" s="13" t="s">
        <v>21</v>
      </c>
      <c r="G469" s="13" t="s">
        <v>53</v>
      </c>
      <c r="H469" s="13" t="s">
        <v>15</v>
      </c>
      <c r="I469" s="13">
        <v>3</v>
      </c>
      <c r="J469" s="13">
        <v>3</v>
      </c>
      <c r="K469" s="13">
        <v>1</v>
      </c>
      <c r="L469" s="13">
        <v>2.6</v>
      </c>
      <c r="M469" s="14">
        <f t="shared" si="22"/>
        <v>1</v>
      </c>
      <c r="N469" s="14">
        <f t="shared" si="23"/>
        <v>0.33333333333333331</v>
      </c>
    </row>
    <row r="470" spans="1:14" x14ac:dyDescent="0.25">
      <c r="A470" s="9" t="s">
        <v>20</v>
      </c>
      <c r="B470" s="9">
        <f t="shared" si="21"/>
        <v>45078</v>
      </c>
      <c r="C470" s="9" t="str">
        <f>TEXT('Cleaned Datasets'!$B470,"MMMM")</f>
        <v>June</v>
      </c>
      <c r="D470" s="10" t="s">
        <v>48</v>
      </c>
      <c r="E470" s="10" t="s">
        <v>49</v>
      </c>
      <c r="F470" s="10" t="s">
        <v>40</v>
      </c>
      <c r="G470" s="10" t="s">
        <v>53</v>
      </c>
      <c r="H470" s="10" t="s">
        <v>19</v>
      </c>
      <c r="I470" s="10">
        <v>5</v>
      </c>
      <c r="J470" s="10">
        <v>4</v>
      </c>
      <c r="K470" s="10">
        <v>0</v>
      </c>
      <c r="L470" s="10">
        <v>2.2000000000000002</v>
      </c>
      <c r="M470" s="11">
        <f t="shared" si="22"/>
        <v>0.8</v>
      </c>
      <c r="N470" s="11">
        <f t="shared" si="23"/>
        <v>0</v>
      </c>
    </row>
    <row r="471" spans="1:14" x14ac:dyDescent="0.25">
      <c r="A471" s="12" t="s">
        <v>59</v>
      </c>
      <c r="B471" s="12">
        <f t="shared" si="21"/>
        <v>45170</v>
      </c>
      <c r="C471" s="12" t="str">
        <f>TEXT('Cleaned Datasets'!$B471,"MMMM")</f>
        <v>September</v>
      </c>
      <c r="D471" s="13" t="s">
        <v>48</v>
      </c>
      <c r="E471" s="13" t="s">
        <v>63</v>
      </c>
      <c r="F471" s="13" t="s">
        <v>21</v>
      </c>
      <c r="G471" s="13" t="s">
        <v>53</v>
      </c>
      <c r="H471" s="13" t="s">
        <v>15</v>
      </c>
      <c r="I471" s="13">
        <v>3</v>
      </c>
      <c r="J471" s="13">
        <v>2</v>
      </c>
      <c r="K471" s="13">
        <v>0</v>
      </c>
      <c r="L471" s="13">
        <v>2.6</v>
      </c>
      <c r="M471" s="14">
        <f t="shared" si="22"/>
        <v>0.66666666666666663</v>
      </c>
      <c r="N471" s="14">
        <f t="shared" si="23"/>
        <v>0</v>
      </c>
    </row>
    <row r="472" spans="1:14" x14ac:dyDescent="0.25">
      <c r="A472" s="9" t="s">
        <v>23</v>
      </c>
      <c r="B472" s="9">
        <f t="shared" si="21"/>
        <v>45200</v>
      </c>
      <c r="C472" s="9" t="str">
        <f>TEXT('Cleaned Datasets'!$B472,"MMMM")</f>
        <v>October</v>
      </c>
      <c r="D472" s="10" t="s">
        <v>34</v>
      </c>
      <c r="E472" s="10" t="s">
        <v>35</v>
      </c>
      <c r="F472" s="10" t="s">
        <v>40</v>
      </c>
      <c r="G472" s="10" t="s">
        <v>18</v>
      </c>
      <c r="H472" s="10" t="s">
        <v>15</v>
      </c>
      <c r="I472" s="10">
        <v>7</v>
      </c>
      <c r="J472" s="10">
        <v>5</v>
      </c>
      <c r="K472" s="10">
        <v>0</v>
      </c>
      <c r="L472" s="10">
        <v>3.6</v>
      </c>
      <c r="M472" s="11">
        <f t="shared" si="22"/>
        <v>0.7142857142857143</v>
      </c>
      <c r="N472" s="11">
        <f t="shared" si="23"/>
        <v>0</v>
      </c>
    </row>
    <row r="473" spans="1:14" x14ac:dyDescent="0.25">
      <c r="A473" s="12" t="s">
        <v>33</v>
      </c>
      <c r="B473" s="12">
        <f t="shared" si="21"/>
        <v>44927</v>
      </c>
      <c r="C473" s="12" t="str">
        <f>TEXT('Cleaned Datasets'!$B473,"MMMM")</f>
        <v>January</v>
      </c>
      <c r="D473" s="13" t="s">
        <v>56</v>
      </c>
      <c r="E473" s="13" t="s">
        <v>57</v>
      </c>
      <c r="F473" s="13" t="s">
        <v>13</v>
      </c>
      <c r="G473" s="13" t="s">
        <v>27</v>
      </c>
      <c r="H473" s="13" t="s">
        <v>19</v>
      </c>
      <c r="I473" s="13">
        <v>3</v>
      </c>
      <c r="J473" s="13">
        <v>2</v>
      </c>
      <c r="K473" s="13">
        <v>0</v>
      </c>
      <c r="L473" s="13">
        <v>2.2000000000000002</v>
      </c>
      <c r="M473" s="14">
        <f t="shared" si="22"/>
        <v>0.66666666666666663</v>
      </c>
      <c r="N473" s="14">
        <f t="shared" si="23"/>
        <v>0</v>
      </c>
    </row>
    <row r="474" spans="1:14" x14ac:dyDescent="0.25">
      <c r="A474" s="9" t="s">
        <v>23</v>
      </c>
      <c r="B474" s="9">
        <f t="shared" si="21"/>
        <v>45200</v>
      </c>
      <c r="C474" s="9" t="str">
        <f>TEXT('Cleaned Datasets'!$B474,"MMMM")</f>
        <v>October</v>
      </c>
      <c r="D474" s="10" t="s">
        <v>46</v>
      </c>
      <c r="E474" s="10" t="s">
        <v>47</v>
      </c>
      <c r="F474" s="10" t="s">
        <v>26</v>
      </c>
      <c r="G474" s="10" t="s">
        <v>22</v>
      </c>
      <c r="H474" s="10" t="s">
        <v>19</v>
      </c>
      <c r="I474" s="10">
        <v>5</v>
      </c>
      <c r="J474" s="10">
        <v>4</v>
      </c>
      <c r="K474" s="10">
        <v>0</v>
      </c>
      <c r="L474" s="10">
        <v>2.8</v>
      </c>
      <c r="M474" s="11">
        <f t="shared" si="22"/>
        <v>0.8</v>
      </c>
      <c r="N474" s="11">
        <f t="shared" si="23"/>
        <v>0</v>
      </c>
    </row>
    <row r="475" spans="1:14" x14ac:dyDescent="0.25">
      <c r="A475" s="12" t="s">
        <v>43</v>
      </c>
      <c r="B475" s="12">
        <f t="shared" si="21"/>
        <v>44958</v>
      </c>
      <c r="C475" s="12" t="str">
        <f>TEXT('Cleaned Datasets'!$B475,"MMMM")</f>
        <v>February</v>
      </c>
      <c r="D475" s="13" t="s">
        <v>37</v>
      </c>
      <c r="E475" s="13" t="s">
        <v>38</v>
      </c>
      <c r="F475" s="13" t="s">
        <v>26</v>
      </c>
      <c r="G475" s="13" t="s">
        <v>22</v>
      </c>
      <c r="H475" s="13" t="s">
        <v>19</v>
      </c>
      <c r="I475" s="13">
        <v>5</v>
      </c>
      <c r="J475" s="13">
        <v>5</v>
      </c>
      <c r="K475" s="13">
        <v>0</v>
      </c>
      <c r="L475" s="13">
        <v>1.9</v>
      </c>
      <c r="M475" s="14">
        <f t="shared" si="22"/>
        <v>1</v>
      </c>
      <c r="N475" s="14">
        <f t="shared" si="23"/>
        <v>0</v>
      </c>
    </row>
    <row r="476" spans="1:14" x14ac:dyDescent="0.25">
      <c r="A476" s="9" t="s">
        <v>45</v>
      </c>
      <c r="B476" s="9">
        <f t="shared" si="21"/>
        <v>45047</v>
      </c>
      <c r="C476" s="9" t="str">
        <f>TEXT('Cleaned Datasets'!$B476,"MMMM")</f>
        <v>May</v>
      </c>
      <c r="D476" s="10" t="s">
        <v>37</v>
      </c>
      <c r="E476" s="10" t="s">
        <v>39</v>
      </c>
      <c r="F476" s="10" t="s">
        <v>21</v>
      </c>
      <c r="G476" s="10" t="s">
        <v>30</v>
      </c>
      <c r="H476" s="10" t="s">
        <v>15</v>
      </c>
      <c r="I476" s="10">
        <v>5</v>
      </c>
      <c r="J476" s="10">
        <v>5</v>
      </c>
      <c r="K476" s="10">
        <v>1</v>
      </c>
      <c r="L476" s="10">
        <v>4.2</v>
      </c>
      <c r="M476" s="11">
        <f t="shared" si="22"/>
        <v>1</v>
      </c>
      <c r="N476" s="11">
        <f t="shared" si="23"/>
        <v>0.2</v>
      </c>
    </row>
    <row r="477" spans="1:14" x14ac:dyDescent="0.25">
      <c r="A477" s="12" t="s">
        <v>36</v>
      </c>
      <c r="B477" s="12">
        <f t="shared" si="21"/>
        <v>44986</v>
      </c>
      <c r="C477" s="12" t="str">
        <f>TEXT('Cleaned Datasets'!$B477,"MMMM")</f>
        <v>March</v>
      </c>
      <c r="D477" s="13" t="s">
        <v>56</v>
      </c>
      <c r="E477" s="13" t="s">
        <v>57</v>
      </c>
      <c r="F477" s="13" t="s">
        <v>13</v>
      </c>
      <c r="G477" s="13" t="s">
        <v>27</v>
      </c>
      <c r="H477" s="13" t="s">
        <v>15</v>
      </c>
      <c r="I477" s="13">
        <v>7</v>
      </c>
      <c r="J477" s="13">
        <v>7</v>
      </c>
      <c r="K477" s="13">
        <v>0</v>
      </c>
      <c r="L477" s="13">
        <v>3.6</v>
      </c>
      <c r="M477" s="14">
        <f t="shared" si="22"/>
        <v>1</v>
      </c>
      <c r="N477" s="14">
        <f t="shared" si="23"/>
        <v>0</v>
      </c>
    </row>
    <row r="478" spans="1:14" x14ac:dyDescent="0.25">
      <c r="A478" s="9" t="s">
        <v>55</v>
      </c>
      <c r="B478" s="9">
        <f t="shared" si="21"/>
        <v>45261</v>
      </c>
      <c r="C478" s="9" t="str">
        <f>TEXT('Cleaned Datasets'!$B478,"MMMM")</f>
        <v>December</v>
      </c>
      <c r="D478" s="10" t="s">
        <v>11</v>
      </c>
      <c r="E478" s="10" t="s">
        <v>52</v>
      </c>
      <c r="F478" s="10" t="s">
        <v>21</v>
      </c>
      <c r="G478" s="10" t="s">
        <v>18</v>
      </c>
      <c r="H478" s="10" t="s">
        <v>15</v>
      </c>
      <c r="I478" s="10">
        <v>5</v>
      </c>
      <c r="J478" s="10">
        <v>5</v>
      </c>
      <c r="K478" s="10">
        <v>0</v>
      </c>
      <c r="L478" s="10">
        <v>2.5</v>
      </c>
      <c r="M478" s="11">
        <f t="shared" si="22"/>
        <v>1</v>
      </c>
      <c r="N478" s="11">
        <f t="shared" si="23"/>
        <v>0</v>
      </c>
    </row>
    <row r="479" spans="1:14" x14ac:dyDescent="0.25">
      <c r="A479" s="12" t="s">
        <v>45</v>
      </c>
      <c r="B479" s="12">
        <f t="shared" si="21"/>
        <v>45047</v>
      </c>
      <c r="C479" s="12" t="str">
        <f>TEXT('Cleaned Datasets'!$B479,"MMMM")</f>
        <v>May</v>
      </c>
      <c r="D479" s="13" t="s">
        <v>37</v>
      </c>
      <c r="E479" s="13" t="s">
        <v>38</v>
      </c>
      <c r="F479" s="13" t="s">
        <v>40</v>
      </c>
      <c r="G479" s="13" t="s">
        <v>27</v>
      </c>
      <c r="H479" s="13" t="s">
        <v>19</v>
      </c>
      <c r="I479" s="13">
        <v>3</v>
      </c>
      <c r="J479" s="13">
        <v>3</v>
      </c>
      <c r="K479" s="13">
        <v>0</v>
      </c>
      <c r="L479" s="13">
        <v>2.5</v>
      </c>
      <c r="M479" s="14">
        <f t="shared" si="22"/>
        <v>1</v>
      </c>
      <c r="N479" s="14">
        <f t="shared" si="23"/>
        <v>0</v>
      </c>
    </row>
    <row r="480" spans="1:14" x14ac:dyDescent="0.25">
      <c r="A480" s="9" t="s">
        <v>43</v>
      </c>
      <c r="B480" s="9">
        <f t="shared" si="21"/>
        <v>44958</v>
      </c>
      <c r="C480" s="9" t="str">
        <f>TEXT('Cleaned Datasets'!$B480,"MMMM")</f>
        <v>February</v>
      </c>
      <c r="D480" s="10" t="s">
        <v>37</v>
      </c>
      <c r="E480" s="10" t="s">
        <v>38</v>
      </c>
      <c r="F480" s="10" t="s">
        <v>13</v>
      </c>
      <c r="G480" s="10" t="s">
        <v>22</v>
      </c>
      <c r="H480" s="10" t="s">
        <v>15</v>
      </c>
      <c r="I480" s="10">
        <v>3</v>
      </c>
      <c r="J480" s="10">
        <v>3</v>
      </c>
      <c r="K480" s="10">
        <v>0</v>
      </c>
      <c r="L480" s="10">
        <v>4</v>
      </c>
      <c r="M480" s="11">
        <f t="shared" si="22"/>
        <v>1</v>
      </c>
      <c r="N480" s="11">
        <f t="shared" si="23"/>
        <v>0</v>
      </c>
    </row>
    <row r="481" spans="1:14" x14ac:dyDescent="0.25">
      <c r="A481" s="12" t="s">
        <v>43</v>
      </c>
      <c r="B481" s="12">
        <f t="shared" si="21"/>
        <v>44958</v>
      </c>
      <c r="C481" s="12" t="str">
        <f>TEXT('Cleaned Datasets'!$B481,"MMMM")</f>
        <v>February</v>
      </c>
      <c r="D481" s="13" t="s">
        <v>56</v>
      </c>
      <c r="E481" s="13" t="s">
        <v>57</v>
      </c>
      <c r="F481" s="13" t="s">
        <v>32</v>
      </c>
      <c r="G481" s="13" t="s">
        <v>53</v>
      </c>
      <c r="H481" s="13" t="s">
        <v>15</v>
      </c>
      <c r="I481" s="13">
        <v>3</v>
      </c>
      <c r="J481" s="13">
        <v>3</v>
      </c>
      <c r="K481" s="13">
        <v>0</v>
      </c>
      <c r="L481" s="13">
        <v>3.2</v>
      </c>
      <c r="M481" s="14">
        <f t="shared" si="22"/>
        <v>1</v>
      </c>
      <c r="N481" s="14">
        <f t="shared" si="23"/>
        <v>0</v>
      </c>
    </row>
    <row r="482" spans="1:14" x14ac:dyDescent="0.25">
      <c r="A482" s="9" t="s">
        <v>45</v>
      </c>
      <c r="B482" s="9">
        <f t="shared" si="21"/>
        <v>45047</v>
      </c>
      <c r="C482" s="9" t="str">
        <f>TEXT('Cleaned Datasets'!$B482,"MMMM")</f>
        <v>May</v>
      </c>
      <c r="D482" s="10" t="s">
        <v>16</v>
      </c>
      <c r="E482" s="10" t="s">
        <v>17</v>
      </c>
      <c r="F482" s="10" t="s">
        <v>32</v>
      </c>
      <c r="G482" s="10" t="s">
        <v>53</v>
      </c>
      <c r="H482" s="10" t="s">
        <v>15</v>
      </c>
      <c r="I482" s="10">
        <v>5</v>
      </c>
      <c r="J482" s="10">
        <v>5</v>
      </c>
      <c r="K482" s="10">
        <v>0</v>
      </c>
      <c r="L482" s="10">
        <v>1.4</v>
      </c>
      <c r="M482" s="11">
        <f t="shared" si="22"/>
        <v>1</v>
      </c>
      <c r="N482" s="11">
        <f t="shared" si="23"/>
        <v>0</v>
      </c>
    </row>
    <row r="483" spans="1:14" x14ac:dyDescent="0.25">
      <c r="A483" s="12" t="s">
        <v>31</v>
      </c>
      <c r="B483" s="12">
        <f t="shared" si="21"/>
        <v>45139</v>
      </c>
      <c r="C483" s="12" t="str">
        <f>TEXT('Cleaned Datasets'!$B483,"MMMM")</f>
        <v>August</v>
      </c>
      <c r="D483" s="13" t="s">
        <v>48</v>
      </c>
      <c r="E483" s="13" t="s">
        <v>49</v>
      </c>
      <c r="F483" s="13" t="s">
        <v>13</v>
      </c>
      <c r="G483" s="13" t="s">
        <v>22</v>
      </c>
      <c r="H483" s="13" t="s">
        <v>19</v>
      </c>
      <c r="I483" s="13">
        <v>7</v>
      </c>
      <c r="J483" s="13">
        <v>7</v>
      </c>
      <c r="K483" s="13">
        <v>0</v>
      </c>
      <c r="L483" s="13">
        <v>3.1</v>
      </c>
      <c r="M483" s="14">
        <f t="shared" si="22"/>
        <v>1</v>
      </c>
      <c r="N483" s="14">
        <f t="shared" si="23"/>
        <v>0</v>
      </c>
    </row>
    <row r="484" spans="1:14" x14ac:dyDescent="0.25">
      <c r="A484" s="9" t="s">
        <v>31</v>
      </c>
      <c r="B484" s="9">
        <f t="shared" si="21"/>
        <v>45139</v>
      </c>
      <c r="C484" s="9" t="str">
        <f>TEXT('Cleaned Datasets'!$B484,"MMMM")</f>
        <v>August</v>
      </c>
      <c r="D484" s="10" t="s">
        <v>48</v>
      </c>
      <c r="E484" s="10" t="s">
        <v>49</v>
      </c>
      <c r="F484" s="10" t="s">
        <v>21</v>
      </c>
      <c r="G484" s="10" t="s">
        <v>30</v>
      </c>
      <c r="H484" s="10" t="s">
        <v>15</v>
      </c>
      <c r="I484" s="10">
        <v>4</v>
      </c>
      <c r="J484" s="10">
        <v>4</v>
      </c>
      <c r="K484" s="10">
        <v>0</v>
      </c>
      <c r="L484" s="10">
        <v>4.5</v>
      </c>
      <c r="M484" s="11">
        <f t="shared" si="22"/>
        <v>1</v>
      </c>
      <c r="N484" s="11">
        <f t="shared" si="23"/>
        <v>0</v>
      </c>
    </row>
    <row r="485" spans="1:14" x14ac:dyDescent="0.25">
      <c r="A485" s="12" t="s">
        <v>61</v>
      </c>
      <c r="B485" s="12">
        <f t="shared" si="21"/>
        <v>45231</v>
      </c>
      <c r="C485" s="12" t="str">
        <f>TEXT('Cleaned Datasets'!$B485,"MMMM")</f>
        <v>November</v>
      </c>
      <c r="D485" s="13" t="s">
        <v>37</v>
      </c>
      <c r="E485" s="13" t="s">
        <v>38</v>
      </c>
      <c r="F485" s="13" t="s">
        <v>21</v>
      </c>
      <c r="G485" s="13" t="s">
        <v>53</v>
      </c>
      <c r="H485" s="13" t="s">
        <v>15</v>
      </c>
      <c r="I485" s="13">
        <v>3</v>
      </c>
      <c r="J485" s="13">
        <v>3</v>
      </c>
      <c r="K485" s="13">
        <v>0</v>
      </c>
      <c r="L485" s="13">
        <v>3.7</v>
      </c>
      <c r="M485" s="14">
        <f t="shared" si="22"/>
        <v>1</v>
      </c>
      <c r="N485" s="14">
        <f t="shared" si="23"/>
        <v>0</v>
      </c>
    </row>
    <row r="486" spans="1:14" x14ac:dyDescent="0.25">
      <c r="A486" s="9" t="s">
        <v>20</v>
      </c>
      <c r="B486" s="9">
        <f t="shared" si="21"/>
        <v>45078</v>
      </c>
      <c r="C486" s="9" t="str">
        <f>TEXT('Cleaned Datasets'!$B486,"MMMM")</f>
        <v>June</v>
      </c>
      <c r="D486" s="10" t="s">
        <v>48</v>
      </c>
      <c r="E486" s="10" t="s">
        <v>63</v>
      </c>
      <c r="F486" s="10" t="s">
        <v>32</v>
      </c>
      <c r="G486" s="10" t="s">
        <v>30</v>
      </c>
      <c r="H486" s="10" t="s">
        <v>15</v>
      </c>
      <c r="I486" s="10">
        <v>5</v>
      </c>
      <c r="J486" s="10">
        <v>5</v>
      </c>
      <c r="K486" s="10">
        <v>1</v>
      </c>
      <c r="L486" s="10">
        <v>3</v>
      </c>
      <c r="M486" s="11">
        <f t="shared" si="22"/>
        <v>1</v>
      </c>
      <c r="N486" s="11">
        <f t="shared" si="23"/>
        <v>0.2</v>
      </c>
    </row>
    <row r="487" spans="1:14" x14ac:dyDescent="0.25">
      <c r="A487" s="12" t="s">
        <v>45</v>
      </c>
      <c r="B487" s="12">
        <f t="shared" si="21"/>
        <v>45047</v>
      </c>
      <c r="C487" s="12" t="str">
        <f>TEXT('Cleaned Datasets'!$B487,"MMMM")</f>
        <v>May</v>
      </c>
      <c r="D487" s="13" t="s">
        <v>46</v>
      </c>
      <c r="E487" s="13" t="s">
        <v>47</v>
      </c>
      <c r="F487" s="13" t="s">
        <v>32</v>
      </c>
      <c r="G487" s="13" t="s">
        <v>14</v>
      </c>
      <c r="H487" s="13" t="s">
        <v>19</v>
      </c>
      <c r="I487" s="13">
        <v>4</v>
      </c>
      <c r="J487" s="13">
        <v>3</v>
      </c>
      <c r="K487" s="13">
        <v>0</v>
      </c>
      <c r="L487" s="13">
        <v>3.1</v>
      </c>
      <c r="M487" s="14">
        <f t="shared" si="22"/>
        <v>0.75</v>
      </c>
      <c r="N487" s="14">
        <f t="shared" si="23"/>
        <v>0</v>
      </c>
    </row>
    <row r="488" spans="1:14" x14ac:dyDescent="0.25">
      <c r="A488" s="9" t="s">
        <v>59</v>
      </c>
      <c r="B488" s="9">
        <f t="shared" si="21"/>
        <v>45170</v>
      </c>
      <c r="C488" s="9" t="str">
        <f>TEXT('Cleaned Datasets'!$B488,"MMMM")</f>
        <v>September</v>
      </c>
      <c r="D488" s="10" t="s">
        <v>24</v>
      </c>
      <c r="E488" s="10" t="s">
        <v>64</v>
      </c>
      <c r="F488" s="10" t="s">
        <v>13</v>
      </c>
      <c r="G488" s="10" t="s">
        <v>18</v>
      </c>
      <c r="H488" s="10" t="s">
        <v>15</v>
      </c>
      <c r="I488" s="10">
        <v>6</v>
      </c>
      <c r="J488" s="10">
        <v>5</v>
      </c>
      <c r="K488" s="10">
        <v>0</v>
      </c>
      <c r="L488" s="10">
        <v>4.3</v>
      </c>
      <c r="M488" s="11">
        <f t="shared" si="22"/>
        <v>0.83333333333333337</v>
      </c>
      <c r="N488" s="11">
        <f t="shared" si="23"/>
        <v>0</v>
      </c>
    </row>
    <row r="489" spans="1:14" x14ac:dyDescent="0.25">
      <c r="A489" s="12" t="s">
        <v>61</v>
      </c>
      <c r="B489" s="12">
        <f t="shared" si="21"/>
        <v>45231</v>
      </c>
      <c r="C489" s="12" t="str">
        <f>TEXT('Cleaned Datasets'!$B489,"MMMM")</f>
        <v>November</v>
      </c>
      <c r="D489" s="13" t="s">
        <v>11</v>
      </c>
      <c r="E489" s="13" t="s">
        <v>52</v>
      </c>
      <c r="F489" s="13" t="s">
        <v>22</v>
      </c>
      <c r="G489" s="13" t="s">
        <v>14</v>
      </c>
      <c r="H489" s="13" t="s">
        <v>15</v>
      </c>
      <c r="I489" s="13">
        <v>6</v>
      </c>
      <c r="J489" s="13">
        <v>6</v>
      </c>
      <c r="K489" s="13">
        <v>1</v>
      </c>
      <c r="L489" s="13">
        <v>0.8</v>
      </c>
      <c r="M489" s="14">
        <f t="shared" si="22"/>
        <v>1</v>
      </c>
      <c r="N489" s="14">
        <f t="shared" si="23"/>
        <v>0.16666666666666666</v>
      </c>
    </row>
    <row r="490" spans="1:14" x14ac:dyDescent="0.25">
      <c r="A490" s="9" t="s">
        <v>36</v>
      </c>
      <c r="B490" s="9">
        <f t="shared" si="21"/>
        <v>44986</v>
      </c>
      <c r="C490" s="9" t="str">
        <f>TEXT('Cleaned Datasets'!$B490,"MMMM")</f>
        <v>March</v>
      </c>
      <c r="D490" s="10" t="s">
        <v>48</v>
      </c>
      <c r="E490" s="10" t="s">
        <v>49</v>
      </c>
      <c r="F490" s="10" t="s">
        <v>13</v>
      </c>
      <c r="G490" s="10" t="s">
        <v>53</v>
      </c>
      <c r="H490" s="10" t="s">
        <v>15</v>
      </c>
      <c r="I490" s="10">
        <v>8</v>
      </c>
      <c r="J490" s="10">
        <v>7</v>
      </c>
      <c r="K490" s="10">
        <v>0</v>
      </c>
      <c r="L490" s="10">
        <v>2.9</v>
      </c>
      <c r="M490" s="11">
        <f t="shared" si="22"/>
        <v>0.875</v>
      </c>
      <c r="N490" s="11">
        <f t="shared" si="23"/>
        <v>0</v>
      </c>
    </row>
    <row r="491" spans="1:14" x14ac:dyDescent="0.25">
      <c r="A491" s="12" t="s">
        <v>55</v>
      </c>
      <c r="B491" s="12">
        <f t="shared" si="21"/>
        <v>45261</v>
      </c>
      <c r="C491" s="12" t="str">
        <f>TEXT('Cleaned Datasets'!$B491,"MMMM")</f>
        <v>December</v>
      </c>
      <c r="D491" s="13" t="s">
        <v>46</v>
      </c>
      <c r="E491" s="13" t="s">
        <v>47</v>
      </c>
      <c r="F491" s="13" t="s">
        <v>40</v>
      </c>
      <c r="G491" s="13" t="s">
        <v>22</v>
      </c>
      <c r="H491" s="13" t="s">
        <v>19</v>
      </c>
      <c r="I491" s="13">
        <v>4</v>
      </c>
      <c r="J491" s="13">
        <v>4</v>
      </c>
      <c r="K491" s="13">
        <v>0</v>
      </c>
      <c r="L491" s="13">
        <v>1.8</v>
      </c>
      <c r="M491" s="14">
        <f t="shared" si="22"/>
        <v>1</v>
      </c>
      <c r="N491" s="14">
        <f t="shared" si="23"/>
        <v>0</v>
      </c>
    </row>
    <row r="492" spans="1:14" x14ac:dyDescent="0.25">
      <c r="A492" s="9" t="s">
        <v>36</v>
      </c>
      <c r="B492" s="9">
        <f t="shared" si="21"/>
        <v>44986</v>
      </c>
      <c r="C492" s="9" t="str">
        <f>TEXT('Cleaned Datasets'!$B492,"MMMM")</f>
        <v>March</v>
      </c>
      <c r="D492" s="10" t="s">
        <v>24</v>
      </c>
      <c r="E492" s="10" t="s">
        <v>64</v>
      </c>
      <c r="F492" s="10" t="s">
        <v>22</v>
      </c>
      <c r="G492" s="10" t="s">
        <v>30</v>
      </c>
      <c r="H492" s="10" t="s">
        <v>15</v>
      </c>
      <c r="I492" s="10">
        <v>8</v>
      </c>
      <c r="J492" s="10">
        <v>8</v>
      </c>
      <c r="K492" s="10">
        <v>0</v>
      </c>
      <c r="L492" s="10">
        <v>3.3</v>
      </c>
      <c r="M492" s="11">
        <f t="shared" si="22"/>
        <v>1</v>
      </c>
      <c r="N492" s="11">
        <f t="shared" si="23"/>
        <v>0</v>
      </c>
    </row>
    <row r="493" spans="1:14" x14ac:dyDescent="0.25">
      <c r="A493" s="12" t="s">
        <v>61</v>
      </c>
      <c r="B493" s="12">
        <f t="shared" si="21"/>
        <v>45231</v>
      </c>
      <c r="C493" s="12" t="str">
        <f>TEXT('Cleaned Datasets'!$B493,"MMMM")</f>
        <v>November</v>
      </c>
      <c r="D493" s="13" t="s">
        <v>16</v>
      </c>
      <c r="E493" s="13" t="s">
        <v>17</v>
      </c>
      <c r="F493" s="13" t="s">
        <v>26</v>
      </c>
      <c r="G493" s="13" t="s">
        <v>18</v>
      </c>
      <c r="H493" s="13" t="s">
        <v>19</v>
      </c>
      <c r="I493" s="13">
        <v>1</v>
      </c>
      <c r="J493" s="13">
        <v>1</v>
      </c>
      <c r="K493" s="13">
        <v>0</v>
      </c>
      <c r="L493" s="13">
        <v>5.5</v>
      </c>
      <c r="M493" s="14">
        <f t="shared" si="22"/>
        <v>1</v>
      </c>
      <c r="N493" s="14">
        <f t="shared" si="23"/>
        <v>0</v>
      </c>
    </row>
    <row r="494" spans="1:14" x14ac:dyDescent="0.25">
      <c r="A494" s="9" t="s">
        <v>31</v>
      </c>
      <c r="B494" s="9">
        <f t="shared" si="21"/>
        <v>45139</v>
      </c>
      <c r="C494" s="9" t="str">
        <f>TEXT('Cleaned Datasets'!$B494,"MMMM")</f>
        <v>August</v>
      </c>
      <c r="D494" s="10" t="s">
        <v>16</v>
      </c>
      <c r="E494" s="10" t="s">
        <v>17</v>
      </c>
      <c r="F494" s="10" t="s">
        <v>40</v>
      </c>
      <c r="G494" s="10" t="s">
        <v>14</v>
      </c>
      <c r="H494" s="10" t="s">
        <v>15</v>
      </c>
      <c r="I494" s="10">
        <v>4</v>
      </c>
      <c r="J494" s="10">
        <v>4</v>
      </c>
      <c r="K494" s="10">
        <v>0</v>
      </c>
      <c r="L494" s="10">
        <v>3.9</v>
      </c>
      <c r="M494" s="11">
        <f t="shared" si="22"/>
        <v>1</v>
      </c>
      <c r="N494" s="11">
        <f t="shared" si="23"/>
        <v>0</v>
      </c>
    </row>
    <row r="495" spans="1:14" x14ac:dyDescent="0.25">
      <c r="A495" s="12" t="s">
        <v>23</v>
      </c>
      <c r="B495" s="12">
        <f t="shared" si="21"/>
        <v>45200</v>
      </c>
      <c r="C495" s="12" t="str">
        <f>TEXT('Cleaned Datasets'!$B495,"MMMM")</f>
        <v>October</v>
      </c>
      <c r="D495" s="13" t="s">
        <v>34</v>
      </c>
      <c r="E495" s="13" t="s">
        <v>51</v>
      </c>
      <c r="F495" s="13" t="s">
        <v>22</v>
      </c>
      <c r="G495" s="13" t="s">
        <v>22</v>
      </c>
      <c r="H495" s="13" t="s">
        <v>19</v>
      </c>
      <c r="I495" s="13">
        <v>4</v>
      </c>
      <c r="J495" s="13">
        <v>3</v>
      </c>
      <c r="K495" s="13">
        <v>0</v>
      </c>
      <c r="L495" s="13">
        <v>5.0999999999999996</v>
      </c>
      <c r="M495" s="14">
        <f t="shared" si="22"/>
        <v>0.75</v>
      </c>
      <c r="N495" s="14">
        <f t="shared" si="23"/>
        <v>0</v>
      </c>
    </row>
    <row r="496" spans="1:14" x14ac:dyDescent="0.25">
      <c r="A496" s="9" t="s">
        <v>50</v>
      </c>
      <c r="B496" s="9">
        <f t="shared" si="21"/>
        <v>45108</v>
      </c>
      <c r="C496" s="9" t="str">
        <f>TEXT('Cleaned Datasets'!$B496,"MMMM")</f>
        <v>July</v>
      </c>
      <c r="D496" s="10" t="s">
        <v>56</v>
      </c>
      <c r="E496" s="10" t="s">
        <v>57</v>
      </c>
      <c r="F496" s="10" t="s">
        <v>13</v>
      </c>
      <c r="G496" s="10" t="s">
        <v>22</v>
      </c>
      <c r="H496" s="10" t="s">
        <v>15</v>
      </c>
      <c r="I496" s="10">
        <v>8</v>
      </c>
      <c r="J496" s="10">
        <v>8</v>
      </c>
      <c r="K496" s="10">
        <v>0</v>
      </c>
      <c r="L496" s="10">
        <v>3.5</v>
      </c>
      <c r="M496" s="11">
        <f t="shared" si="22"/>
        <v>1</v>
      </c>
      <c r="N496" s="11">
        <f t="shared" si="23"/>
        <v>0</v>
      </c>
    </row>
    <row r="497" spans="1:14" x14ac:dyDescent="0.25">
      <c r="A497" s="12" t="s">
        <v>43</v>
      </c>
      <c r="B497" s="12">
        <f t="shared" si="21"/>
        <v>44958</v>
      </c>
      <c r="C497" s="12" t="str">
        <f>TEXT('Cleaned Datasets'!$B497,"MMMM")</f>
        <v>February</v>
      </c>
      <c r="D497" s="13" t="s">
        <v>11</v>
      </c>
      <c r="E497" s="13" t="s">
        <v>52</v>
      </c>
      <c r="F497" s="13" t="s">
        <v>22</v>
      </c>
      <c r="G497" s="13" t="s">
        <v>18</v>
      </c>
      <c r="H497" s="13" t="s">
        <v>19</v>
      </c>
      <c r="I497" s="13">
        <v>4</v>
      </c>
      <c r="J497" s="13">
        <v>4</v>
      </c>
      <c r="K497" s="13">
        <v>0</v>
      </c>
      <c r="L497" s="13">
        <v>1.2</v>
      </c>
      <c r="M497" s="14">
        <f t="shared" si="22"/>
        <v>1</v>
      </c>
      <c r="N497" s="14">
        <f t="shared" si="23"/>
        <v>0</v>
      </c>
    </row>
    <row r="498" spans="1:14" x14ac:dyDescent="0.25">
      <c r="A498" s="9" t="s">
        <v>33</v>
      </c>
      <c r="B498" s="9">
        <f t="shared" si="21"/>
        <v>44927</v>
      </c>
      <c r="C498" s="9" t="str">
        <f>TEXT('Cleaned Datasets'!$B498,"MMMM")</f>
        <v>January</v>
      </c>
      <c r="D498" s="10" t="s">
        <v>37</v>
      </c>
      <c r="E498" s="10" t="s">
        <v>38</v>
      </c>
      <c r="F498" s="10" t="s">
        <v>40</v>
      </c>
      <c r="G498" s="10" t="s">
        <v>18</v>
      </c>
      <c r="H498" s="10" t="s">
        <v>15</v>
      </c>
      <c r="I498" s="10">
        <v>4</v>
      </c>
      <c r="J498" s="10">
        <v>4</v>
      </c>
      <c r="K498" s="10">
        <v>0</v>
      </c>
      <c r="L498" s="10">
        <v>2.9</v>
      </c>
      <c r="M498" s="11">
        <f t="shared" si="22"/>
        <v>1</v>
      </c>
      <c r="N498" s="11">
        <f t="shared" si="23"/>
        <v>0</v>
      </c>
    </row>
    <row r="499" spans="1:14" x14ac:dyDescent="0.25">
      <c r="A499" s="12" t="s">
        <v>61</v>
      </c>
      <c r="B499" s="12">
        <f t="shared" si="21"/>
        <v>45231</v>
      </c>
      <c r="C499" s="12" t="str">
        <f>TEXT('Cleaned Datasets'!$B499,"MMMM")</f>
        <v>November</v>
      </c>
      <c r="D499" s="13" t="s">
        <v>28</v>
      </c>
      <c r="E499" s="13" t="s">
        <v>58</v>
      </c>
      <c r="F499" s="13" t="s">
        <v>32</v>
      </c>
      <c r="G499" s="13" t="s">
        <v>18</v>
      </c>
      <c r="H499" s="13" t="s">
        <v>19</v>
      </c>
      <c r="I499" s="13">
        <v>8</v>
      </c>
      <c r="J499" s="13">
        <v>8</v>
      </c>
      <c r="K499" s="13">
        <v>1</v>
      </c>
      <c r="L499" s="13">
        <v>4</v>
      </c>
      <c r="M499" s="14">
        <f t="shared" si="22"/>
        <v>1</v>
      </c>
      <c r="N499" s="14">
        <f t="shared" si="23"/>
        <v>0.125</v>
      </c>
    </row>
    <row r="500" spans="1:14" x14ac:dyDescent="0.25">
      <c r="A500" s="9" t="s">
        <v>45</v>
      </c>
      <c r="B500" s="9">
        <f t="shared" si="21"/>
        <v>45047</v>
      </c>
      <c r="C500" s="9" t="str">
        <f>TEXT('Cleaned Datasets'!$B500,"MMMM")</f>
        <v>May</v>
      </c>
      <c r="D500" s="10" t="s">
        <v>28</v>
      </c>
      <c r="E500" s="10" t="s">
        <v>29</v>
      </c>
      <c r="F500" s="10" t="s">
        <v>21</v>
      </c>
      <c r="G500" s="10" t="s">
        <v>22</v>
      </c>
      <c r="H500" s="10" t="s">
        <v>19</v>
      </c>
      <c r="I500" s="10">
        <v>3</v>
      </c>
      <c r="J500" s="10">
        <v>3</v>
      </c>
      <c r="K500" s="10">
        <v>0</v>
      </c>
      <c r="L500" s="10">
        <v>3.8</v>
      </c>
      <c r="M500" s="11">
        <f t="shared" si="22"/>
        <v>1</v>
      </c>
      <c r="N500" s="11">
        <f t="shared" si="23"/>
        <v>0</v>
      </c>
    </row>
    <row r="501" spans="1:14" x14ac:dyDescent="0.25">
      <c r="A501" s="12" t="s">
        <v>10</v>
      </c>
      <c r="B501" s="12">
        <f t="shared" si="21"/>
        <v>45017</v>
      </c>
      <c r="C501" s="12" t="str">
        <f>TEXT('Cleaned Datasets'!$B501,"MMMM")</f>
        <v>April</v>
      </c>
      <c r="D501" s="13" t="s">
        <v>34</v>
      </c>
      <c r="E501" s="13" t="s">
        <v>51</v>
      </c>
      <c r="F501" s="13" t="s">
        <v>13</v>
      </c>
      <c r="G501" s="13" t="s">
        <v>14</v>
      </c>
      <c r="H501" s="13" t="s">
        <v>19</v>
      </c>
      <c r="I501" s="13">
        <v>7</v>
      </c>
      <c r="J501" s="13">
        <v>6</v>
      </c>
      <c r="K501" s="13">
        <v>1</v>
      </c>
      <c r="L501" s="13">
        <v>2.2000000000000002</v>
      </c>
      <c r="M501" s="14">
        <f t="shared" si="22"/>
        <v>0.8571428571428571</v>
      </c>
      <c r="N501" s="14">
        <f t="shared" si="23"/>
        <v>0.14285714285714285</v>
      </c>
    </row>
    <row r="502" spans="1:14" x14ac:dyDescent="0.25">
      <c r="A502" s="9" t="s">
        <v>10</v>
      </c>
      <c r="B502" s="9">
        <f t="shared" si="21"/>
        <v>45017</v>
      </c>
      <c r="C502" s="9" t="str">
        <f>TEXT('Cleaned Datasets'!$B502,"MMMM")</f>
        <v>April</v>
      </c>
      <c r="D502" s="10" t="s">
        <v>48</v>
      </c>
      <c r="E502" s="10" t="s">
        <v>63</v>
      </c>
      <c r="F502" s="10" t="s">
        <v>22</v>
      </c>
      <c r="G502" s="10" t="s">
        <v>14</v>
      </c>
      <c r="H502" s="10" t="s">
        <v>19</v>
      </c>
      <c r="I502" s="10">
        <v>7</v>
      </c>
      <c r="J502" s="10">
        <v>6</v>
      </c>
      <c r="K502" s="10">
        <v>0</v>
      </c>
      <c r="L502" s="10">
        <v>4.9000000000000004</v>
      </c>
      <c r="M502" s="11">
        <f t="shared" si="22"/>
        <v>0.8571428571428571</v>
      </c>
      <c r="N502" s="11">
        <f t="shared" si="23"/>
        <v>0</v>
      </c>
    </row>
    <row r="503" spans="1:14" x14ac:dyDescent="0.25">
      <c r="A503" s="12" t="s">
        <v>61</v>
      </c>
      <c r="B503" s="12">
        <f t="shared" si="21"/>
        <v>45231</v>
      </c>
      <c r="C503" s="12" t="str">
        <f>TEXT('Cleaned Datasets'!$B503,"MMMM")</f>
        <v>November</v>
      </c>
      <c r="D503" s="13" t="s">
        <v>16</v>
      </c>
      <c r="E503" s="13" t="s">
        <v>60</v>
      </c>
      <c r="F503" s="13" t="s">
        <v>26</v>
      </c>
      <c r="G503" s="13" t="s">
        <v>30</v>
      </c>
      <c r="H503" s="13" t="s">
        <v>19</v>
      </c>
      <c r="I503" s="13">
        <v>4</v>
      </c>
      <c r="J503" s="13">
        <v>3</v>
      </c>
      <c r="K503" s="13">
        <v>1</v>
      </c>
      <c r="L503" s="13">
        <v>2.1</v>
      </c>
      <c r="M503" s="14">
        <f t="shared" si="22"/>
        <v>0.75</v>
      </c>
      <c r="N503" s="14">
        <f t="shared" si="23"/>
        <v>0.25</v>
      </c>
    </row>
    <row r="504" spans="1:14" x14ac:dyDescent="0.25">
      <c r="A504" s="9" t="s">
        <v>55</v>
      </c>
      <c r="B504" s="9">
        <f t="shared" si="21"/>
        <v>45261</v>
      </c>
      <c r="C504" s="9" t="str">
        <f>TEXT('Cleaned Datasets'!$B504,"MMMM")</f>
        <v>December</v>
      </c>
      <c r="D504" s="10" t="s">
        <v>56</v>
      </c>
      <c r="E504" s="10" t="s">
        <v>62</v>
      </c>
      <c r="F504" s="10" t="s">
        <v>40</v>
      </c>
      <c r="G504" s="10" t="s">
        <v>53</v>
      </c>
      <c r="H504" s="10" t="s">
        <v>15</v>
      </c>
      <c r="I504" s="10">
        <v>7</v>
      </c>
      <c r="J504" s="10">
        <v>7</v>
      </c>
      <c r="K504" s="10">
        <v>0</v>
      </c>
      <c r="L504" s="10">
        <v>2.7</v>
      </c>
      <c r="M504" s="11">
        <f t="shared" si="22"/>
        <v>1</v>
      </c>
      <c r="N504" s="11">
        <f t="shared" si="23"/>
        <v>0</v>
      </c>
    </row>
    <row r="505" spans="1:14" x14ac:dyDescent="0.25">
      <c r="A505" s="12" t="s">
        <v>10</v>
      </c>
      <c r="B505" s="12">
        <f t="shared" si="21"/>
        <v>45017</v>
      </c>
      <c r="C505" s="12" t="str">
        <f>TEXT('Cleaned Datasets'!$B505,"MMMM")</f>
        <v>April</v>
      </c>
      <c r="D505" s="13" t="s">
        <v>41</v>
      </c>
      <c r="E505" s="13" t="s">
        <v>42</v>
      </c>
      <c r="F505" s="13" t="s">
        <v>40</v>
      </c>
      <c r="G505" s="13" t="s">
        <v>18</v>
      </c>
      <c r="H505" s="13" t="s">
        <v>19</v>
      </c>
      <c r="I505" s="13">
        <v>7</v>
      </c>
      <c r="J505" s="13">
        <v>6</v>
      </c>
      <c r="K505" s="13">
        <v>1</v>
      </c>
      <c r="L505" s="13">
        <v>2.5</v>
      </c>
      <c r="M505" s="14">
        <f t="shared" si="22"/>
        <v>0.8571428571428571</v>
      </c>
      <c r="N505" s="14">
        <f t="shared" si="23"/>
        <v>0.14285714285714285</v>
      </c>
    </row>
    <row r="506" spans="1:14" x14ac:dyDescent="0.25">
      <c r="A506" s="9" t="s">
        <v>43</v>
      </c>
      <c r="B506" s="9">
        <f t="shared" si="21"/>
        <v>44958</v>
      </c>
      <c r="C506" s="9" t="str">
        <f>TEXT('Cleaned Datasets'!$B506,"MMMM")</f>
        <v>February</v>
      </c>
      <c r="D506" s="10" t="s">
        <v>34</v>
      </c>
      <c r="E506" s="10" t="s">
        <v>51</v>
      </c>
      <c r="F506" s="10" t="s">
        <v>21</v>
      </c>
      <c r="G506" s="10" t="s">
        <v>14</v>
      </c>
      <c r="H506" s="10" t="s">
        <v>19</v>
      </c>
      <c r="I506" s="10">
        <v>5</v>
      </c>
      <c r="J506" s="10">
        <v>5</v>
      </c>
      <c r="K506" s="10">
        <v>1</v>
      </c>
      <c r="L506" s="10">
        <v>2.9</v>
      </c>
      <c r="M506" s="11">
        <f t="shared" si="22"/>
        <v>1</v>
      </c>
      <c r="N506" s="11">
        <f t="shared" si="23"/>
        <v>0.2</v>
      </c>
    </row>
    <row r="507" spans="1:14" x14ac:dyDescent="0.25">
      <c r="A507" s="12" t="s">
        <v>55</v>
      </c>
      <c r="B507" s="12">
        <f t="shared" si="21"/>
        <v>45261</v>
      </c>
      <c r="C507" s="12" t="str">
        <f>TEXT('Cleaned Datasets'!$B507,"MMMM")</f>
        <v>December</v>
      </c>
      <c r="D507" s="13" t="s">
        <v>56</v>
      </c>
      <c r="E507" s="13" t="s">
        <v>62</v>
      </c>
      <c r="F507" s="13" t="s">
        <v>32</v>
      </c>
      <c r="G507" s="13" t="s">
        <v>18</v>
      </c>
      <c r="H507" s="13" t="s">
        <v>19</v>
      </c>
      <c r="I507" s="13">
        <v>9</v>
      </c>
      <c r="J507" s="13">
        <v>9</v>
      </c>
      <c r="K507" s="13">
        <v>1</v>
      </c>
      <c r="L507" s="13">
        <v>3.3</v>
      </c>
      <c r="M507" s="14">
        <f t="shared" si="22"/>
        <v>1</v>
      </c>
      <c r="N507" s="14">
        <f t="shared" si="23"/>
        <v>0.1111111111111111</v>
      </c>
    </row>
    <row r="508" spans="1:14" x14ac:dyDescent="0.25">
      <c r="A508" s="9" t="s">
        <v>10</v>
      </c>
      <c r="B508" s="9">
        <f t="shared" si="21"/>
        <v>45017</v>
      </c>
      <c r="C508" s="9" t="str">
        <f>TEXT('Cleaned Datasets'!$B508,"MMMM")</f>
        <v>April</v>
      </c>
      <c r="D508" s="10" t="s">
        <v>56</v>
      </c>
      <c r="E508" s="10" t="s">
        <v>62</v>
      </c>
      <c r="F508" s="10" t="s">
        <v>13</v>
      </c>
      <c r="G508" s="10" t="s">
        <v>30</v>
      </c>
      <c r="H508" s="10" t="s">
        <v>15</v>
      </c>
      <c r="I508" s="10">
        <v>2</v>
      </c>
      <c r="J508" s="10">
        <v>2</v>
      </c>
      <c r="K508" s="10">
        <v>0</v>
      </c>
      <c r="L508" s="10">
        <v>1.9</v>
      </c>
      <c r="M508" s="11">
        <f t="shared" si="22"/>
        <v>1</v>
      </c>
      <c r="N508" s="11">
        <f t="shared" si="23"/>
        <v>0</v>
      </c>
    </row>
    <row r="509" spans="1:14" x14ac:dyDescent="0.25">
      <c r="A509" s="12" t="s">
        <v>33</v>
      </c>
      <c r="B509" s="12">
        <f t="shared" si="21"/>
        <v>44927</v>
      </c>
      <c r="C509" s="12" t="str">
        <f>TEXT('Cleaned Datasets'!$B509,"MMMM")</f>
        <v>January</v>
      </c>
      <c r="D509" s="13" t="s">
        <v>48</v>
      </c>
      <c r="E509" s="13" t="s">
        <v>63</v>
      </c>
      <c r="F509" s="13" t="s">
        <v>32</v>
      </c>
      <c r="G509" s="13" t="s">
        <v>22</v>
      </c>
      <c r="H509" s="13" t="s">
        <v>15</v>
      </c>
      <c r="I509" s="13">
        <v>8</v>
      </c>
      <c r="J509" s="13">
        <v>7</v>
      </c>
      <c r="K509" s="13">
        <v>0</v>
      </c>
      <c r="L509" s="13">
        <v>2.6</v>
      </c>
      <c r="M509" s="14">
        <f t="shared" si="22"/>
        <v>0.875</v>
      </c>
      <c r="N509" s="14">
        <f t="shared" si="23"/>
        <v>0</v>
      </c>
    </row>
    <row r="510" spans="1:14" x14ac:dyDescent="0.25">
      <c r="A510" s="9" t="s">
        <v>45</v>
      </c>
      <c r="B510" s="9">
        <f t="shared" si="21"/>
        <v>45047</v>
      </c>
      <c r="C510" s="9" t="str">
        <f>TEXT('Cleaned Datasets'!$B510,"MMMM")</f>
        <v>May</v>
      </c>
      <c r="D510" s="10" t="s">
        <v>48</v>
      </c>
      <c r="E510" s="10" t="s">
        <v>49</v>
      </c>
      <c r="F510" s="10" t="s">
        <v>22</v>
      </c>
      <c r="G510" s="10" t="s">
        <v>18</v>
      </c>
      <c r="H510" s="10" t="s">
        <v>15</v>
      </c>
      <c r="I510" s="10">
        <v>7</v>
      </c>
      <c r="J510" s="10">
        <v>5</v>
      </c>
      <c r="K510" s="10">
        <v>0</v>
      </c>
      <c r="L510" s="10">
        <v>3.1</v>
      </c>
      <c r="M510" s="11">
        <f t="shared" si="22"/>
        <v>0.7142857142857143</v>
      </c>
      <c r="N510" s="11">
        <f t="shared" si="23"/>
        <v>0</v>
      </c>
    </row>
    <row r="511" spans="1:14" x14ac:dyDescent="0.25">
      <c r="A511" s="12" t="s">
        <v>36</v>
      </c>
      <c r="B511" s="12">
        <f t="shared" si="21"/>
        <v>44986</v>
      </c>
      <c r="C511" s="12" t="str">
        <f>TEXT('Cleaned Datasets'!$B511,"MMMM")</f>
        <v>March</v>
      </c>
      <c r="D511" s="13" t="s">
        <v>11</v>
      </c>
      <c r="E511" s="13" t="s">
        <v>52</v>
      </c>
      <c r="F511" s="13" t="s">
        <v>40</v>
      </c>
      <c r="G511" s="13" t="s">
        <v>53</v>
      </c>
      <c r="H511" s="13" t="s">
        <v>15</v>
      </c>
      <c r="I511" s="13">
        <v>6</v>
      </c>
      <c r="J511" s="13">
        <v>6</v>
      </c>
      <c r="K511" s="13">
        <v>0</v>
      </c>
      <c r="L511" s="13">
        <v>3.2</v>
      </c>
      <c r="M511" s="14">
        <f t="shared" si="22"/>
        <v>1</v>
      </c>
      <c r="N511" s="14">
        <f t="shared" si="23"/>
        <v>0</v>
      </c>
    </row>
    <row r="512" spans="1:14" x14ac:dyDescent="0.25">
      <c r="A512" s="9" t="s">
        <v>59</v>
      </c>
      <c r="B512" s="9">
        <f t="shared" si="21"/>
        <v>45170</v>
      </c>
      <c r="C512" s="9" t="str">
        <f>TEXT('Cleaned Datasets'!$B512,"MMMM")</f>
        <v>September</v>
      </c>
      <c r="D512" s="10" t="s">
        <v>28</v>
      </c>
      <c r="E512" s="10" t="s">
        <v>29</v>
      </c>
      <c r="F512" s="10" t="s">
        <v>32</v>
      </c>
      <c r="G512" s="10" t="s">
        <v>22</v>
      </c>
      <c r="H512" s="10" t="s">
        <v>19</v>
      </c>
      <c r="I512" s="10">
        <v>6</v>
      </c>
      <c r="J512" s="10">
        <v>5</v>
      </c>
      <c r="K512" s="10">
        <v>0</v>
      </c>
      <c r="L512" s="10">
        <v>1.9</v>
      </c>
      <c r="M512" s="11">
        <f t="shared" si="22"/>
        <v>0.83333333333333337</v>
      </c>
      <c r="N512" s="11">
        <f t="shared" si="23"/>
        <v>0</v>
      </c>
    </row>
    <row r="513" spans="1:14" x14ac:dyDescent="0.25">
      <c r="A513" s="12" t="s">
        <v>55</v>
      </c>
      <c r="B513" s="12">
        <f t="shared" si="21"/>
        <v>45261</v>
      </c>
      <c r="C513" s="12" t="str">
        <f>TEXT('Cleaned Datasets'!$B513,"MMMM")</f>
        <v>December</v>
      </c>
      <c r="D513" s="13" t="s">
        <v>28</v>
      </c>
      <c r="E513" s="13" t="s">
        <v>58</v>
      </c>
      <c r="F513" s="13" t="s">
        <v>26</v>
      </c>
      <c r="G513" s="13" t="s">
        <v>14</v>
      </c>
      <c r="H513" s="13" t="s">
        <v>15</v>
      </c>
      <c r="I513" s="13">
        <v>5</v>
      </c>
      <c r="J513" s="13">
        <v>5</v>
      </c>
      <c r="K513" s="13">
        <v>1</v>
      </c>
      <c r="L513" s="13">
        <v>3</v>
      </c>
      <c r="M513" s="14">
        <f t="shared" si="22"/>
        <v>1</v>
      </c>
      <c r="N513" s="14">
        <f t="shared" si="23"/>
        <v>0.2</v>
      </c>
    </row>
    <row r="514" spans="1:14" x14ac:dyDescent="0.25">
      <c r="A514" s="9" t="s">
        <v>36</v>
      </c>
      <c r="B514" s="9">
        <f t="shared" si="21"/>
        <v>44986</v>
      </c>
      <c r="C514" s="9" t="str">
        <f>TEXT('Cleaned Datasets'!$B514,"MMMM")</f>
        <v>March</v>
      </c>
      <c r="D514" s="10" t="s">
        <v>34</v>
      </c>
      <c r="E514" s="10" t="s">
        <v>35</v>
      </c>
      <c r="F514" s="10" t="s">
        <v>40</v>
      </c>
      <c r="G514" s="10" t="s">
        <v>14</v>
      </c>
      <c r="H514" s="10" t="s">
        <v>15</v>
      </c>
      <c r="I514" s="10">
        <v>5</v>
      </c>
      <c r="J514" s="10">
        <v>4</v>
      </c>
      <c r="K514" s="10">
        <v>0</v>
      </c>
      <c r="L514" s="10">
        <v>3.9</v>
      </c>
      <c r="M514" s="11">
        <f t="shared" si="22"/>
        <v>0.8</v>
      </c>
      <c r="N514" s="11">
        <f t="shared" si="23"/>
        <v>0</v>
      </c>
    </row>
    <row r="515" spans="1:14" x14ac:dyDescent="0.25">
      <c r="A515" s="12" t="s">
        <v>33</v>
      </c>
      <c r="B515" s="12">
        <f t="shared" ref="B515:B578" si="24">DATE(LEFT(A515,4), RIGHT(A515,2), 1)</f>
        <v>44927</v>
      </c>
      <c r="C515" s="12" t="str">
        <f>TEXT('Cleaned Datasets'!$B515,"MMMM")</f>
        <v>January</v>
      </c>
      <c r="D515" s="13" t="s">
        <v>11</v>
      </c>
      <c r="E515" s="13" t="s">
        <v>12</v>
      </c>
      <c r="F515" s="13" t="s">
        <v>22</v>
      </c>
      <c r="G515" s="13" t="s">
        <v>22</v>
      </c>
      <c r="H515" s="13" t="s">
        <v>15</v>
      </c>
      <c r="I515" s="13">
        <v>5</v>
      </c>
      <c r="J515" s="13">
        <v>5</v>
      </c>
      <c r="K515" s="13">
        <v>0</v>
      </c>
      <c r="L515" s="13">
        <v>1.3</v>
      </c>
      <c r="M515" s="14">
        <f t="shared" ref="M515:M578" si="25">IFERROR(J515/I515,0)</f>
        <v>1</v>
      </c>
      <c r="N515" s="14">
        <f t="shared" ref="N515:N578" si="26">IFERROR(K515/I515,0)</f>
        <v>0</v>
      </c>
    </row>
    <row r="516" spans="1:14" x14ac:dyDescent="0.25">
      <c r="A516" s="9" t="s">
        <v>55</v>
      </c>
      <c r="B516" s="9">
        <f t="shared" si="24"/>
        <v>45261</v>
      </c>
      <c r="C516" s="9" t="str">
        <f>TEXT('Cleaned Datasets'!$B516,"MMMM")</f>
        <v>December</v>
      </c>
      <c r="D516" s="10" t="s">
        <v>41</v>
      </c>
      <c r="E516" s="10" t="s">
        <v>44</v>
      </c>
      <c r="F516" s="10" t="s">
        <v>13</v>
      </c>
      <c r="G516" s="10" t="s">
        <v>30</v>
      </c>
      <c r="H516" s="10" t="s">
        <v>19</v>
      </c>
      <c r="I516" s="10">
        <v>0</v>
      </c>
      <c r="J516" s="10">
        <v>0</v>
      </c>
      <c r="K516" s="10">
        <v>0</v>
      </c>
      <c r="L516" s="10">
        <v>2.2999999999999998</v>
      </c>
      <c r="M516" s="11">
        <f t="shared" si="25"/>
        <v>0</v>
      </c>
      <c r="N516" s="11">
        <f t="shared" si="26"/>
        <v>0</v>
      </c>
    </row>
    <row r="517" spans="1:14" x14ac:dyDescent="0.25">
      <c r="A517" s="12" t="s">
        <v>31</v>
      </c>
      <c r="B517" s="12">
        <f t="shared" si="24"/>
        <v>45139</v>
      </c>
      <c r="C517" s="12" t="str">
        <f>TEXT('Cleaned Datasets'!$B517,"MMMM")</f>
        <v>August</v>
      </c>
      <c r="D517" s="13" t="s">
        <v>48</v>
      </c>
      <c r="E517" s="13" t="s">
        <v>49</v>
      </c>
      <c r="F517" s="13" t="s">
        <v>13</v>
      </c>
      <c r="G517" s="13" t="s">
        <v>53</v>
      </c>
      <c r="H517" s="13" t="s">
        <v>19</v>
      </c>
      <c r="I517" s="13">
        <v>2</v>
      </c>
      <c r="J517" s="13">
        <v>1</v>
      </c>
      <c r="K517" s="13">
        <v>0</v>
      </c>
      <c r="L517" s="13">
        <v>3.5</v>
      </c>
      <c r="M517" s="14">
        <f t="shared" si="25"/>
        <v>0.5</v>
      </c>
      <c r="N517" s="14">
        <f t="shared" si="26"/>
        <v>0</v>
      </c>
    </row>
    <row r="518" spans="1:14" x14ac:dyDescent="0.25">
      <c r="A518" s="9" t="s">
        <v>20</v>
      </c>
      <c r="B518" s="9">
        <f t="shared" si="24"/>
        <v>45078</v>
      </c>
      <c r="C518" s="9" t="str">
        <f>TEXT('Cleaned Datasets'!$B518,"MMMM")</f>
        <v>June</v>
      </c>
      <c r="D518" s="10" t="s">
        <v>28</v>
      </c>
      <c r="E518" s="10" t="s">
        <v>29</v>
      </c>
      <c r="F518" s="10" t="s">
        <v>22</v>
      </c>
      <c r="G518" s="10" t="s">
        <v>22</v>
      </c>
      <c r="H518" s="10" t="s">
        <v>15</v>
      </c>
      <c r="I518" s="10">
        <v>4</v>
      </c>
      <c r="J518" s="10">
        <v>3</v>
      </c>
      <c r="K518" s="10">
        <v>0</v>
      </c>
      <c r="L518" s="10">
        <v>4.3</v>
      </c>
      <c r="M518" s="11">
        <f t="shared" si="25"/>
        <v>0.75</v>
      </c>
      <c r="N518" s="11">
        <f t="shared" si="26"/>
        <v>0</v>
      </c>
    </row>
    <row r="519" spans="1:14" x14ac:dyDescent="0.25">
      <c r="A519" s="12" t="s">
        <v>33</v>
      </c>
      <c r="B519" s="12">
        <f t="shared" si="24"/>
        <v>44927</v>
      </c>
      <c r="C519" s="12" t="str">
        <f>TEXT('Cleaned Datasets'!$B519,"MMMM")</f>
        <v>January</v>
      </c>
      <c r="D519" s="13" t="s">
        <v>34</v>
      </c>
      <c r="E519" s="13" t="s">
        <v>51</v>
      </c>
      <c r="F519" s="13" t="s">
        <v>26</v>
      </c>
      <c r="G519" s="13" t="s">
        <v>14</v>
      </c>
      <c r="H519" s="13" t="s">
        <v>19</v>
      </c>
      <c r="I519" s="13">
        <v>6</v>
      </c>
      <c r="J519" s="13">
        <v>5</v>
      </c>
      <c r="K519" s="13">
        <v>0</v>
      </c>
      <c r="L519" s="13">
        <v>2.6</v>
      </c>
      <c r="M519" s="14">
        <f t="shared" si="25"/>
        <v>0.83333333333333337</v>
      </c>
      <c r="N519" s="14">
        <f t="shared" si="26"/>
        <v>0</v>
      </c>
    </row>
    <row r="520" spans="1:14" x14ac:dyDescent="0.25">
      <c r="A520" s="9" t="s">
        <v>61</v>
      </c>
      <c r="B520" s="9">
        <f t="shared" si="24"/>
        <v>45231</v>
      </c>
      <c r="C520" s="9" t="str">
        <f>TEXT('Cleaned Datasets'!$B520,"MMMM")</f>
        <v>November</v>
      </c>
      <c r="D520" s="10" t="s">
        <v>28</v>
      </c>
      <c r="E520" s="10" t="s">
        <v>29</v>
      </c>
      <c r="F520" s="10" t="s">
        <v>13</v>
      </c>
      <c r="G520" s="10" t="s">
        <v>14</v>
      </c>
      <c r="H520" s="10" t="s">
        <v>15</v>
      </c>
      <c r="I520" s="10">
        <v>8</v>
      </c>
      <c r="J520" s="10">
        <v>7</v>
      </c>
      <c r="K520" s="10">
        <v>0</v>
      </c>
      <c r="L520" s="10">
        <v>3.7</v>
      </c>
      <c r="M520" s="11">
        <f t="shared" si="25"/>
        <v>0.875</v>
      </c>
      <c r="N520" s="11">
        <f t="shared" si="26"/>
        <v>0</v>
      </c>
    </row>
    <row r="521" spans="1:14" x14ac:dyDescent="0.25">
      <c r="A521" s="12" t="s">
        <v>43</v>
      </c>
      <c r="B521" s="12">
        <f t="shared" si="24"/>
        <v>44958</v>
      </c>
      <c r="C521" s="12" t="str">
        <f>TEXT('Cleaned Datasets'!$B521,"MMMM")</f>
        <v>February</v>
      </c>
      <c r="D521" s="13" t="s">
        <v>16</v>
      </c>
      <c r="E521" s="13" t="s">
        <v>17</v>
      </c>
      <c r="F521" s="13" t="s">
        <v>40</v>
      </c>
      <c r="G521" s="13" t="s">
        <v>53</v>
      </c>
      <c r="H521" s="13" t="s">
        <v>19</v>
      </c>
      <c r="I521" s="13">
        <v>2</v>
      </c>
      <c r="J521" s="13">
        <v>2</v>
      </c>
      <c r="K521" s="13">
        <v>0</v>
      </c>
      <c r="L521" s="13">
        <v>2.4</v>
      </c>
      <c r="M521" s="14">
        <f t="shared" si="25"/>
        <v>1</v>
      </c>
      <c r="N521" s="14">
        <f t="shared" si="26"/>
        <v>0</v>
      </c>
    </row>
    <row r="522" spans="1:14" x14ac:dyDescent="0.25">
      <c r="A522" s="9" t="s">
        <v>36</v>
      </c>
      <c r="B522" s="9">
        <f t="shared" si="24"/>
        <v>44986</v>
      </c>
      <c r="C522" s="9" t="str">
        <f>TEXT('Cleaned Datasets'!$B522,"MMMM")</f>
        <v>March</v>
      </c>
      <c r="D522" s="10" t="s">
        <v>24</v>
      </c>
      <c r="E522" s="10" t="s">
        <v>25</v>
      </c>
      <c r="F522" s="10" t="s">
        <v>40</v>
      </c>
      <c r="G522" s="10" t="s">
        <v>22</v>
      </c>
      <c r="H522" s="10" t="s">
        <v>15</v>
      </c>
      <c r="I522" s="10">
        <v>2</v>
      </c>
      <c r="J522" s="10">
        <v>2</v>
      </c>
      <c r="K522" s="10">
        <v>0</v>
      </c>
      <c r="L522" s="10">
        <v>1.2</v>
      </c>
      <c r="M522" s="11">
        <f t="shared" si="25"/>
        <v>1</v>
      </c>
      <c r="N522" s="11">
        <f t="shared" si="26"/>
        <v>0</v>
      </c>
    </row>
    <row r="523" spans="1:14" x14ac:dyDescent="0.25">
      <c r="A523" s="12" t="s">
        <v>10</v>
      </c>
      <c r="B523" s="12">
        <f t="shared" si="24"/>
        <v>45017</v>
      </c>
      <c r="C523" s="12" t="str">
        <f>TEXT('Cleaned Datasets'!$B523,"MMMM")</f>
        <v>April</v>
      </c>
      <c r="D523" s="13" t="s">
        <v>34</v>
      </c>
      <c r="E523" s="13" t="s">
        <v>51</v>
      </c>
      <c r="F523" s="13" t="s">
        <v>26</v>
      </c>
      <c r="G523" s="13" t="s">
        <v>30</v>
      </c>
      <c r="H523" s="13" t="s">
        <v>19</v>
      </c>
      <c r="I523" s="13">
        <v>6</v>
      </c>
      <c r="J523" s="13">
        <v>6</v>
      </c>
      <c r="K523" s="13">
        <v>0</v>
      </c>
      <c r="L523" s="13">
        <v>1.8</v>
      </c>
      <c r="M523" s="14">
        <f t="shared" si="25"/>
        <v>1</v>
      </c>
      <c r="N523" s="14">
        <f t="shared" si="26"/>
        <v>0</v>
      </c>
    </row>
    <row r="524" spans="1:14" x14ac:dyDescent="0.25">
      <c r="A524" s="9" t="s">
        <v>61</v>
      </c>
      <c r="B524" s="9">
        <f t="shared" si="24"/>
        <v>45231</v>
      </c>
      <c r="C524" s="9" t="str">
        <f>TEXT('Cleaned Datasets'!$B524,"MMMM")</f>
        <v>November</v>
      </c>
      <c r="D524" s="10" t="s">
        <v>11</v>
      </c>
      <c r="E524" s="10" t="s">
        <v>52</v>
      </c>
      <c r="F524" s="10" t="s">
        <v>26</v>
      </c>
      <c r="G524" s="10" t="s">
        <v>14</v>
      </c>
      <c r="H524" s="10" t="s">
        <v>19</v>
      </c>
      <c r="I524" s="10">
        <v>3</v>
      </c>
      <c r="J524" s="10">
        <v>3</v>
      </c>
      <c r="K524" s="10">
        <v>0</v>
      </c>
      <c r="L524" s="10">
        <v>3.5</v>
      </c>
      <c r="M524" s="11">
        <f t="shared" si="25"/>
        <v>1</v>
      </c>
      <c r="N524" s="11">
        <f t="shared" si="26"/>
        <v>0</v>
      </c>
    </row>
    <row r="525" spans="1:14" x14ac:dyDescent="0.25">
      <c r="A525" s="12" t="s">
        <v>10</v>
      </c>
      <c r="B525" s="12">
        <f t="shared" si="24"/>
        <v>45017</v>
      </c>
      <c r="C525" s="12" t="str">
        <f>TEXT('Cleaned Datasets'!$B525,"MMMM")</f>
        <v>April</v>
      </c>
      <c r="D525" s="13" t="s">
        <v>16</v>
      </c>
      <c r="E525" s="13" t="s">
        <v>60</v>
      </c>
      <c r="F525" s="13" t="s">
        <v>26</v>
      </c>
      <c r="G525" s="13" t="s">
        <v>27</v>
      </c>
      <c r="H525" s="13" t="s">
        <v>19</v>
      </c>
      <c r="I525" s="13">
        <v>5</v>
      </c>
      <c r="J525" s="13">
        <v>4</v>
      </c>
      <c r="K525" s="13">
        <v>0</v>
      </c>
      <c r="L525" s="13">
        <v>2.5</v>
      </c>
      <c r="M525" s="14">
        <f t="shared" si="25"/>
        <v>0.8</v>
      </c>
      <c r="N525" s="14">
        <f t="shared" si="26"/>
        <v>0</v>
      </c>
    </row>
    <row r="526" spans="1:14" x14ac:dyDescent="0.25">
      <c r="A526" s="9" t="s">
        <v>59</v>
      </c>
      <c r="B526" s="9">
        <f t="shared" si="24"/>
        <v>45170</v>
      </c>
      <c r="C526" s="9" t="str">
        <f>TEXT('Cleaned Datasets'!$B526,"MMMM")</f>
        <v>September</v>
      </c>
      <c r="D526" s="10" t="s">
        <v>41</v>
      </c>
      <c r="E526" s="10" t="s">
        <v>42</v>
      </c>
      <c r="F526" s="10" t="s">
        <v>32</v>
      </c>
      <c r="G526" s="10" t="s">
        <v>18</v>
      </c>
      <c r="H526" s="10" t="s">
        <v>15</v>
      </c>
      <c r="I526" s="10">
        <v>8</v>
      </c>
      <c r="J526" s="10">
        <v>8</v>
      </c>
      <c r="K526" s="10">
        <v>0</v>
      </c>
      <c r="L526" s="10">
        <v>1.8</v>
      </c>
      <c r="M526" s="11">
        <f t="shared" si="25"/>
        <v>1</v>
      </c>
      <c r="N526" s="11">
        <f t="shared" si="26"/>
        <v>0</v>
      </c>
    </row>
    <row r="527" spans="1:14" x14ac:dyDescent="0.25">
      <c r="A527" s="12" t="s">
        <v>45</v>
      </c>
      <c r="B527" s="12">
        <f t="shared" si="24"/>
        <v>45047</v>
      </c>
      <c r="C527" s="12" t="str">
        <f>TEXT('Cleaned Datasets'!$B527,"MMMM")</f>
        <v>May</v>
      </c>
      <c r="D527" s="13" t="s">
        <v>24</v>
      </c>
      <c r="E527" s="13" t="s">
        <v>25</v>
      </c>
      <c r="F527" s="13" t="s">
        <v>26</v>
      </c>
      <c r="G527" s="13" t="s">
        <v>14</v>
      </c>
      <c r="H527" s="13" t="s">
        <v>15</v>
      </c>
      <c r="I527" s="13">
        <v>7</v>
      </c>
      <c r="J527" s="13">
        <v>6</v>
      </c>
      <c r="K527" s="13">
        <v>0</v>
      </c>
      <c r="L527" s="13">
        <v>3.2</v>
      </c>
      <c r="M527" s="14">
        <f t="shared" si="25"/>
        <v>0.8571428571428571</v>
      </c>
      <c r="N527" s="14">
        <f t="shared" si="26"/>
        <v>0</v>
      </c>
    </row>
    <row r="528" spans="1:14" x14ac:dyDescent="0.25">
      <c r="A528" s="9" t="s">
        <v>23</v>
      </c>
      <c r="B528" s="9">
        <f t="shared" si="24"/>
        <v>45200</v>
      </c>
      <c r="C528" s="9" t="str">
        <f>TEXT('Cleaned Datasets'!$B528,"MMMM")</f>
        <v>October</v>
      </c>
      <c r="D528" s="10" t="s">
        <v>41</v>
      </c>
      <c r="E528" s="10" t="s">
        <v>44</v>
      </c>
      <c r="F528" s="10" t="s">
        <v>21</v>
      </c>
      <c r="G528" s="10" t="s">
        <v>27</v>
      </c>
      <c r="H528" s="10" t="s">
        <v>15</v>
      </c>
      <c r="I528" s="10">
        <v>2</v>
      </c>
      <c r="J528" s="10">
        <v>2</v>
      </c>
      <c r="K528" s="10">
        <v>1</v>
      </c>
      <c r="L528" s="10">
        <v>2.9</v>
      </c>
      <c r="M528" s="11">
        <f t="shared" si="25"/>
        <v>1</v>
      </c>
      <c r="N528" s="11">
        <f t="shared" si="26"/>
        <v>0.5</v>
      </c>
    </row>
    <row r="529" spans="1:14" x14ac:dyDescent="0.25">
      <c r="A529" s="12" t="s">
        <v>59</v>
      </c>
      <c r="B529" s="12">
        <f t="shared" si="24"/>
        <v>45170</v>
      </c>
      <c r="C529" s="12" t="str">
        <f>TEXT('Cleaned Datasets'!$B529,"MMMM")</f>
        <v>September</v>
      </c>
      <c r="D529" s="13" t="s">
        <v>48</v>
      </c>
      <c r="E529" s="13" t="s">
        <v>49</v>
      </c>
      <c r="F529" s="13" t="s">
        <v>26</v>
      </c>
      <c r="G529" s="13" t="s">
        <v>14</v>
      </c>
      <c r="H529" s="13" t="s">
        <v>15</v>
      </c>
      <c r="I529" s="13">
        <v>2</v>
      </c>
      <c r="J529" s="13">
        <v>1</v>
      </c>
      <c r="K529" s="13">
        <v>0</v>
      </c>
      <c r="L529" s="13">
        <v>3.4</v>
      </c>
      <c r="M529" s="14">
        <f t="shared" si="25"/>
        <v>0.5</v>
      </c>
      <c r="N529" s="14">
        <f t="shared" si="26"/>
        <v>0</v>
      </c>
    </row>
    <row r="530" spans="1:14" x14ac:dyDescent="0.25">
      <c r="A530" s="9" t="s">
        <v>55</v>
      </c>
      <c r="B530" s="9">
        <f t="shared" si="24"/>
        <v>45261</v>
      </c>
      <c r="C530" s="9" t="str">
        <f>TEXT('Cleaned Datasets'!$B530,"MMMM")</f>
        <v>December</v>
      </c>
      <c r="D530" s="10" t="s">
        <v>16</v>
      </c>
      <c r="E530" s="10" t="s">
        <v>17</v>
      </c>
      <c r="F530" s="10" t="s">
        <v>26</v>
      </c>
      <c r="G530" s="10" t="s">
        <v>14</v>
      </c>
      <c r="H530" s="10" t="s">
        <v>15</v>
      </c>
      <c r="I530" s="10">
        <v>6</v>
      </c>
      <c r="J530" s="10">
        <v>6</v>
      </c>
      <c r="K530" s="10">
        <v>0</v>
      </c>
      <c r="L530" s="10">
        <v>3.3</v>
      </c>
      <c r="M530" s="11">
        <f t="shared" si="25"/>
        <v>1</v>
      </c>
      <c r="N530" s="11">
        <f t="shared" si="26"/>
        <v>0</v>
      </c>
    </row>
    <row r="531" spans="1:14" x14ac:dyDescent="0.25">
      <c r="A531" s="12" t="s">
        <v>43</v>
      </c>
      <c r="B531" s="12">
        <f t="shared" si="24"/>
        <v>44958</v>
      </c>
      <c r="C531" s="12" t="str">
        <f>TEXT('Cleaned Datasets'!$B531,"MMMM")</f>
        <v>February</v>
      </c>
      <c r="D531" s="13" t="s">
        <v>11</v>
      </c>
      <c r="E531" s="13" t="s">
        <v>52</v>
      </c>
      <c r="F531" s="13" t="s">
        <v>40</v>
      </c>
      <c r="G531" s="13" t="s">
        <v>22</v>
      </c>
      <c r="H531" s="13" t="s">
        <v>15</v>
      </c>
      <c r="I531" s="13">
        <v>3</v>
      </c>
      <c r="J531" s="13">
        <v>3</v>
      </c>
      <c r="K531" s="13">
        <v>0</v>
      </c>
      <c r="L531" s="13">
        <v>3.9</v>
      </c>
      <c r="M531" s="14">
        <f t="shared" si="25"/>
        <v>1</v>
      </c>
      <c r="N531" s="14">
        <f t="shared" si="26"/>
        <v>0</v>
      </c>
    </row>
    <row r="532" spans="1:14" x14ac:dyDescent="0.25">
      <c r="A532" s="9" t="s">
        <v>59</v>
      </c>
      <c r="B532" s="9">
        <f t="shared" si="24"/>
        <v>45170</v>
      </c>
      <c r="C532" s="9" t="str">
        <f>TEXT('Cleaned Datasets'!$B532,"MMMM")</f>
        <v>September</v>
      </c>
      <c r="D532" s="10" t="s">
        <v>34</v>
      </c>
      <c r="E532" s="10" t="s">
        <v>35</v>
      </c>
      <c r="F532" s="10" t="s">
        <v>22</v>
      </c>
      <c r="G532" s="10" t="s">
        <v>30</v>
      </c>
      <c r="H532" s="10" t="s">
        <v>19</v>
      </c>
      <c r="I532" s="10">
        <v>4</v>
      </c>
      <c r="J532" s="10">
        <v>4</v>
      </c>
      <c r="K532" s="10">
        <v>0</v>
      </c>
      <c r="L532" s="10">
        <v>4</v>
      </c>
      <c r="M532" s="11">
        <f t="shared" si="25"/>
        <v>1</v>
      </c>
      <c r="N532" s="11">
        <f t="shared" si="26"/>
        <v>0</v>
      </c>
    </row>
    <row r="533" spans="1:14" x14ac:dyDescent="0.25">
      <c r="A533" s="12" t="s">
        <v>50</v>
      </c>
      <c r="B533" s="12">
        <f t="shared" si="24"/>
        <v>45108</v>
      </c>
      <c r="C533" s="12" t="str">
        <f>TEXT('Cleaned Datasets'!$B533,"MMMM")</f>
        <v>July</v>
      </c>
      <c r="D533" s="13" t="s">
        <v>28</v>
      </c>
      <c r="E533" s="13" t="s">
        <v>58</v>
      </c>
      <c r="F533" s="13" t="s">
        <v>13</v>
      </c>
      <c r="G533" s="13" t="s">
        <v>22</v>
      </c>
      <c r="H533" s="13" t="s">
        <v>19</v>
      </c>
      <c r="I533" s="13">
        <v>7</v>
      </c>
      <c r="J533" s="13">
        <v>7</v>
      </c>
      <c r="K533" s="13">
        <v>1</v>
      </c>
      <c r="L533" s="13">
        <v>1.6</v>
      </c>
      <c r="M533" s="14">
        <f t="shared" si="25"/>
        <v>1</v>
      </c>
      <c r="N533" s="14">
        <f t="shared" si="26"/>
        <v>0.14285714285714285</v>
      </c>
    </row>
    <row r="534" spans="1:14" x14ac:dyDescent="0.25">
      <c r="A534" s="9" t="s">
        <v>33</v>
      </c>
      <c r="B534" s="9">
        <f t="shared" si="24"/>
        <v>44927</v>
      </c>
      <c r="C534" s="9" t="str">
        <f>TEXT('Cleaned Datasets'!$B534,"MMMM")</f>
        <v>January</v>
      </c>
      <c r="D534" s="10" t="s">
        <v>46</v>
      </c>
      <c r="E534" s="10" t="s">
        <v>54</v>
      </c>
      <c r="F534" s="10" t="s">
        <v>26</v>
      </c>
      <c r="G534" s="10" t="s">
        <v>14</v>
      </c>
      <c r="H534" s="10" t="s">
        <v>19</v>
      </c>
      <c r="I534" s="10">
        <v>2</v>
      </c>
      <c r="J534" s="10">
        <v>2</v>
      </c>
      <c r="K534" s="10">
        <v>0</v>
      </c>
      <c r="L534" s="10">
        <v>3.1</v>
      </c>
      <c r="M534" s="11">
        <f t="shared" si="25"/>
        <v>1</v>
      </c>
      <c r="N534" s="11">
        <f t="shared" si="26"/>
        <v>0</v>
      </c>
    </row>
    <row r="535" spans="1:14" x14ac:dyDescent="0.25">
      <c r="A535" s="12" t="s">
        <v>31</v>
      </c>
      <c r="B535" s="12">
        <f t="shared" si="24"/>
        <v>45139</v>
      </c>
      <c r="C535" s="12" t="str">
        <f>TEXT('Cleaned Datasets'!$B535,"MMMM")</f>
        <v>August</v>
      </c>
      <c r="D535" s="13" t="s">
        <v>41</v>
      </c>
      <c r="E535" s="13" t="s">
        <v>42</v>
      </c>
      <c r="F535" s="13" t="s">
        <v>22</v>
      </c>
      <c r="G535" s="13" t="s">
        <v>53</v>
      </c>
      <c r="H535" s="13" t="s">
        <v>15</v>
      </c>
      <c r="I535" s="13">
        <v>3</v>
      </c>
      <c r="J535" s="13">
        <v>3</v>
      </c>
      <c r="K535" s="13">
        <v>0</v>
      </c>
      <c r="L535" s="13">
        <v>2.4</v>
      </c>
      <c r="M535" s="14">
        <f t="shared" si="25"/>
        <v>1</v>
      </c>
      <c r="N535" s="14">
        <f t="shared" si="26"/>
        <v>0</v>
      </c>
    </row>
    <row r="536" spans="1:14" x14ac:dyDescent="0.25">
      <c r="A536" s="9" t="s">
        <v>50</v>
      </c>
      <c r="B536" s="9">
        <f t="shared" si="24"/>
        <v>45108</v>
      </c>
      <c r="C536" s="9" t="str">
        <f>TEXT('Cleaned Datasets'!$B536,"MMMM")</f>
        <v>July</v>
      </c>
      <c r="D536" s="10" t="s">
        <v>37</v>
      </c>
      <c r="E536" s="10" t="s">
        <v>39</v>
      </c>
      <c r="F536" s="10" t="s">
        <v>21</v>
      </c>
      <c r="G536" s="10" t="s">
        <v>18</v>
      </c>
      <c r="H536" s="10" t="s">
        <v>15</v>
      </c>
      <c r="I536" s="10">
        <v>1</v>
      </c>
      <c r="J536" s="10">
        <v>1</v>
      </c>
      <c r="K536" s="10">
        <v>0</v>
      </c>
      <c r="L536" s="10">
        <v>3.5</v>
      </c>
      <c r="M536" s="11">
        <f t="shared" si="25"/>
        <v>1</v>
      </c>
      <c r="N536" s="11">
        <f t="shared" si="26"/>
        <v>0</v>
      </c>
    </row>
    <row r="537" spans="1:14" x14ac:dyDescent="0.25">
      <c r="A537" s="12" t="s">
        <v>61</v>
      </c>
      <c r="B537" s="12">
        <f t="shared" si="24"/>
        <v>45231</v>
      </c>
      <c r="C537" s="12" t="str">
        <f>TEXT('Cleaned Datasets'!$B537,"MMMM")</f>
        <v>November</v>
      </c>
      <c r="D537" s="13" t="s">
        <v>34</v>
      </c>
      <c r="E537" s="13" t="s">
        <v>51</v>
      </c>
      <c r="F537" s="13" t="s">
        <v>32</v>
      </c>
      <c r="G537" s="13" t="s">
        <v>53</v>
      </c>
      <c r="H537" s="13" t="s">
        <v>19</v>
      </c>
      <c r="I537" s="13">
        <v>6</v>
      </c>
      <c r="J537" s="13">
        <v>5</v>
      </c>
      <c r="K537" s="13">
        <v>0</v>
      </c>
      <c r="L537" s="13">
        <v>2.8</v>
      </c>
      <c r="M537" s="14">
        <f t="shared" si="25"/>
        <v>0.83333333333333337</v>
      </c>
      <c r="N537" s="14">
        <f t="shared" si="26"/>
        <v>0</v>
      </c>
    </row>
    <row r="538" spans="1:14" x14ac:dyDescent="0.25">
      <c r="A538" s="9" t="s">
        <v>36</v>
      </c>
      <c r="B538" s="9">
        <f t="shared" si="24"/>
        <v>44986</v>
      </c>
      <c r="C538" s="9" t="str">
        <f>TEXT('Cleaned Datasets'!$B538,"MMMM")</f>
        <v>March</v>
      </c>
      <c r="D538" s="10" t="s">
        <v>11</v>
      </c>
      <c r="E538" s="10" t="s">
        <v>12</v>
      </c>
      <c r="F538" s="10" t="s">
        <v>22</v>
      </c>
      <c r="G538" s="10" t="s">
        <v>14</v>
      </c>
      <c r="H538" s="10" t="s">
        <v>15</v>
      </c>
      <c r="I538" s="10">
        <v>5</v>
      </c>
      <c r="J538" s="10">
        <v>3</v>
      </c>
      <c r="K538" s="10">
        <v>0</v>
      </c>
      <c r="L538" s="10">
        <v>4</v>
      </c>
      <c r="M538" s="11">
        <f t="shared" si="25"/>
        <v>0.6</v>
      </c>
      <c r="N538" s="11">
        <f t="shared" si="26"/>
        <v>0</v>
      </c>
    </row>
    <row r="539" spans="1:14" x14ac:dyDescent="0.25">
      <c r="A539" s="12" t="s">
        <v>36</v>
      </c>
      <c r="B539" s="12">
        <f t="shared" si="24"/>
        <v>44986</v>
      </c>
      <c r="C539" s="12" t="str">
        <f>TEXT('Cleaned Datasets'!$B539,"MMMM")</f>
        <v>March</v>
      </c>
      <c r="D539" s="13" t="s">
        <v>28</v>
      </c>
      <c r="E539" s="13" t="s">
        <v>58</v>
      </c>
      <c r="F539" s="13" t="s">
        <v>22</v>
      </c>
      <c r="G539" s="13" t="s">
        <v>30</v>
      </c>
      <c r="H539" s="13" t="s">
        <v>15</v>
      </c>
      <c r="I539" s="13">
        <v>2</v>
      </c>
      <c r="J539" s="13">
        <v>2</v>
      </c>
      <c r="K539" s="13">
        <v>0</v>
      </c>
      <c r="L539" s="13">
        <v>3.2</v>
      </c>
      <c r="M539" s="14">
        <f t="shared" si="25"/>
        <v>1</v>
      </c>
      <c r="N539" s="14">
        <f t="shared" si="26"/>
        <v>0</v>
      </c>
    </row>
    <row r="540" spans="1:14" x14ac:dyDescent="0.25">
      <c r="A540" s="9" t="s">
        <v>45</v>
      </c>
      <c r="B540" s="9">
        <f t="shared" si="24"/>
        <v>45047</v>
      </c>
      <c r="C540" s="9" t="str">
        <f>TEXT('Cleaned Datasets'!$B540,"MMMM")</f>
        <v>May</v>
      </c>
      <c r="D540" s="10" t="s">
        <v>28</v>
      </c>
      <c r="E540" s="10" t="s">
        <v>58</v>
      </c>
      <c r="F540" s="10" t="s">
        <v>32</v>
      </c>
      <c r="G540" s="10" t="s">
        <v>18</v>
      </c>
      <c r="H540" s="10" t="s">
        <v>19</v>
      </c>
      <c r="I540" s="10">
        <v>8</v>
      </c>
      <c r="J540" s="10">
        <v>7</v>
      </c>
      <c r="K540" s="10">
        <v>1</v>
      </c>
      <c r="L540" s="10">
        <v>2.2000000000000002</v>
      </c>
      <c r="M540" s="11">
        <f t="shared" si="25"/>
        <v>0.875</v>
      </c>
      <c r="N540" s="11">
        <f t="shared" si="26"/>
        <v>0.125</v>
      </c>
    </row>
    <row r="541" spans="1:14" x14ac:dyDescent="0.25">
      <c r="A541" s="12" t="s">
        <v>59</v>
      </c>
      <c r="B541" s="12">
        <f t="shared" si="24"/>
        <v>45170</v>
      </c>
      <c r="C541" s="12" t="str">
        <f>TEXT('Cleaned Datasets'!$B541,"MMMM")</f>
        <v>September</v>
      </c>
      <c r="D541" s="13" t="s">
        <v>24</v>
      </c>
      <c r="E541" s="13" t="s">
        <v>64</v>
      </c>
      <c r="F541" s="13" t="s">
        <v>21</v>
      </c>
      <c r="G541" s="13" t="s">
        <v>53</v>
      </c>
      <c r="H541" s="13" t="s">
        <v>19</v>
      </c>
      <c r="I541" s="13">
        <v>9</v>
      </c>
      <c r="J541" s="13">
        <v>8</v>
      </c>
      <c r="K541" s="13">
        <v>1</v>
      </c>
      <c r="L541" s="13">
        <v>1.1000000000000001</v>
      </c>
      <c r="M541" s="14">
        <f t="shared" si="25"/>
        <v>0.88888888888888884</v>
      </c>
      <c r="N541" s="14">
        <f t="shared" si="26"/>
        <v>0.1111111111111111</v>
      </c>
    </row>
    <row r="542" spans="1:14" x14ac:dyDescent="0.25">
      <c r="A542" s="9" t="s">
        <v>45</v>
      </c>
      <c r="B542" s="9">
        <f t="shared" si="24"/>
        <v>45047</v>
      </c>
      <c r="C542" s="9" t="str">
        <f>TEXT('Cleaned Datasets'!$B542,"MMMM")</f>
        <v>May</v>
      </c>
      <c r="D542" s="10" t="s">
        <v>37</v>
      </c>
      <c r="E542" s="10" t="s">
        <v>39</v>
      </c>
      <c r="F542" s="10" t="s">
        <v>26</v>
      </c>
      <c r="G542" s="10" t="s">
        <v>53</v>
      </c>
      <c r="H542" s="10" t="s">
        <v>15</v>
      </c>
      <c r="I542" s="10">
        <v>6</v>
      </c>
      <c r="J542" s="10">
        <v>6</v>
      </c>
      <c r="K542" s="10">
        <v>0</v>
      </c>
      <c r="L542" s="10">
        <v>2.9</v>
      </c>
      <c r="M542" s="11">
        <f t="shared" si="25"/>
        <v>1</v>
      </c>
      <c r="N542" s="11">
        <f t="shared" si="26"/>
        <v>0</v>
      </c>
    </row>
    <row r="543" spans="1:14" x14ac:dyDescent="0.25">
      <c r="A543" s="12" t="s">
        <v>50</v>
      </c>
      <c r="B543" s="12">
        <f t="shared" si="24"/>
        <v>45108</v>
      </c>
      <c r="C543" s="12" t="str">
        <f>TEXT('Cleaned Datasets'!$B543,"MMMM")</f>
        <v>July</v>
      </c>
      <c r="D543" s="13" t="s">
        <v>41</v>
      </c>
      <c r="E543" s="13" t="s">
        <v>44</v>
      </c>
      <c r="F543" s="13" t="s">
        <v>40</v>
      </c>
      <c r="G543" s="13" t="s">
        <v>18</v>
      </c>
      <c r="H543" s="13" t="s">
        <v>19</v>
      </c>
      <c r="I543" s="13">
        <v>9</v>
      </c>
      <c r="J543" s="13">
        <v>8</v>
      </c>
      <c r="K543" s="13">
        <v>0</v>
      </c>
      <c r="L543" s="13">
        <v>4.7</v>
      </c>
      <c r="M543" s="14">
        <f t="shared" si="25"/>
        <v>0.88888888888888884</v>
      </c>
      <c r="N543" s="14">
        <f t="shared" si="26"/>
        <v>0</v>
      </c>
    </row>
    <row r="544" spans="1:14" x14ac:dyDescent="0.25">
      <c r="A544" s="9" t="s">
        <v>59</v>
      </c>
      <c r="B544" s="9">
        <f t="shared" si="24"/>
        <v>45170</v>
      </c>
      <c r="C544" s="9" t="str">
        <f>TEXT('Cleaned Datasets'!$B544,"MMMM")</f>
        <v>September</v>
      </c>
      <c r="D544" s="10" t="s">
        <v>46</v>
      </c>
      <c r="E544" s="10" t="s">
        <v>54</v>
      </c>
      <c r="F544" s="10" t="s">
        <v>40</v>
      </c>
      <c r="G544" s="10" t="s">
        <v>30</v>
      </c>
      <c r="H544" s="10" t="s">
        <v>15</v>
      </c>
      <c r="I544" s="10">
        <v>1</v>
      </c>
      <c r="J544" s="10">
        <v>1</v>
      </c>
      <c r="K544" s="10">
        <v>1</v>
      </c>
      <c r="L544" s="10">
        <v>3.8</v>
      </c>
      <c r="M544" s="11">
        <f t="shared" si="25"/>
        <v>1</v>
      </c>
      <c r="N544" s="11">
        <f t="shared" si="26"/>
        <v>1</v>
      </c>
    </row>
    <row r="545" spans="1:14" x14ac:dyDescent="0.25">
      <c r="A545" s="12" t="s">
        <v>23</v>
      </c>
      <c r="B545" s="12">
        <f t="shared" si="24"/>
        <v>45200</v>
      </c>
      <c r="C545" s="12" t="str">
        <f>TEXT('Cleaned Datasets'!$B545,"MMMM")</f>
        <v>October</v>
      </c>
      <c r="D545" s="13" t="s">
        <v>48</v>
      </c>
      <c r="E545" s="13" t="s">
        <v>63</v>
      </c>
      <c r="F545" s="13" t="s">
        <v>40</v>
      </c>
      <c r="G545" s="13" t="s">
        <v>22</v>
      </c>
      <c r="H545" s="13" t="s">
        <v>19</v>
      </c>
      <c r="I545" s="13">
        <v>9</v>
      </c>
      <c r="J545" s="13">
        <v>8</v>
      </c>
      <c r="K545" s="13">
        <v>0</v>
      </c>
      <c r="L545" s="13">
        <v>1.8</v>
      </c>
      <c r="M545" s="14">
        <f t="shared" si="25"/>
        <v>0.88888888888888884</v>
      </c>
      <c r="N545" s="14">
        <f t="shared" si="26"/>
        <v>0</v>
      </c>
    </row>
    <row r="546" spans="1:14" x14ac:dyDescent="0.25">
      <c r="A546" s="9" t="s">
        <v>20</v>
      </c>
      <c r="B546" s="9">
        <f t="shared" si="24"/>
        <v>45078</v>
      </c>
      <c r="C546" s="9" t="str">
        <f>TEXT('Cleaned Datasets'!$B546,"MMMM")</f>
        <v>June</v>
      </c>
      <c r="D546" s="10" t="s">
        <v>41</v>
      </c>
      <c r="E546" s="10" t="s">
        <v>42</v>
      </c>
      <c r="F546" s="10" t="s">
        <v>32</v>
      </c>
      <c r="G546" s="10" t="s">
        <v>27</v>
      </c>
      <c r="H546" s="10" t="s">
        <v>19</v>
      </c>
      <c r="I546" s="10">
        <v>5</v>
      </c>
      <c r="J546" s="10">
        <v>5</v>
      </c>
      <c r="K546" s="10">
        <v>1</v>
      </c>
      <c r="L546" s="10">
        <v>3.9</v>
      </c>
      <c r="M546" s="11">
        <f t="shared" si="25"/>
        <v>1</v>
      </c>
      <c r="N546" s="11">
        <f t="shared" si="26"/>
        <v>0.2</v>
      </c>
    </row>
    <row r="547" spans="1:14" x14ac:dyDescent="0.25">
      <c r="A547" s="12" t="s">
        <v>61</v>
      </c>
      <c r="B547" s="12">
        <f t="shared" si="24"/>
        <v>45231</v>
      </c>
      <c r="C547" s="12" t="str">
        <f>TEXT('Cleaned Datasets'!$B547,"MMMM")</f>
        <v>November</v>
      </c>
      <c r="D547" s="13" t="s">
        <v>48</v>
      </c>
      <c r="E547" s="13" t="s">
        <v>63</v>
      </c>
      <c r="F547" s="13" t="s">
        <v>21</v>
      </c>
      <c r="G547" s="13" t="s">
        <v>22</v>
      </c>
      <c r="H547" s="13" t="s">
        <v>15</v>
      </c>
      <c r="I547" s="13">
        <v>4</v>
      </c>
      <c r="J547" s="13">
        <v>4</v>
      </c>
      <c r="K547" s="13">
        <v>0</v>
      </c>
      <c r="L547" s="13">
        <v>2.6</v>
      </c>
      <c r="M547" s="14">
        <f t="shared" si="25"/>
        <v>1</v>
      </c>
      <c r="N547" s="14">
        <f t="shared" si="26"/>
        <v>0</v>
      </c>
    </row>
    <row r="548" spans="1:14" x14ac:dyDescent="0.25">
      <c r="A548" s="9" t="s">
        <v>31</v>
      </c>
      <c r="B548" s="9">
        <f t="shared" si="24"/>
        <v>45139</v>
      </c>
      <c r="C548" s="9" t="str">
        <f>TEXT('Cleaned Datasets'!$B548,"MMMM")</f>
        <v>August</v>
      </c>
      <c r="D548" s="10" t="s">
        <v>46</v>
      </c>
      <c r="E548" s="10" t="s">
        <v>47</v>
      </c>
      <c r="F548" s="10" t="s">
        <v>26</v>
      </c>
      <c r="G548" s="10" t="s">
        <v>30</v>
      </c>
      <c r="H548" s="10" t="s">
        <v>15</v>
      </c>
      <c r="I548" s="10">
        <v>4</v>
      </c>
      <c r="J548" s="10">
        <v>4</v>
      </c>
      <c r="K548" s="10">
        <v>0</v>
      </c>
      <c r="L548" s="10">
        <v>3.4</v>
      </c>
      <c r="M548" s="11">
        <f t="shared" si="25"/>
        <v>1</v>
      </c>
      <c r="N548" s="11">
        <f t="shared" si="26"/>
        <v>0</v>
      </c>
    </row>
    <row r="549" spans="1:14" x14ac:dyDescent="0.25">
      <c r="A549" s="12" t="s">
        <v>43</v>
      </c>
      <c r="B549" s="12">
        <f t="shared" si="24"/>
        <v>44958</v>
      </c>
      <c r="C549" s="12" t="str">
        <f>TEXT('Cleaned Datasets'!$B549,"MMMM")</f>
        <v>February</v>
      </c>
      <c r="D549" s="13" t="s">
        <v>28</v>
      </c>
      <c r="E549" s="13" t="s">
        <v>29</v>
      </c>
      <c r="F549" s="13" t="s">
        <v>32</v>
      </c>
      <c r="G549" s="13" t="s">
        <v>53</v>
      </c>
      <c r="H549" s="13" t="s">
        <v>19</v>
      </c>
      <c r="I549" s="13">
        <v>6</v>
      </c>
      <c r="J549" s="13">
        <v>5</v>
      </c>
      <c r="K549" s="13">
        <v>0</v>
      </c>
      <c r="L549" s="13">
        <v>3.9</v>
      </c>
      <c r="M549" s="14">
        <f t="shared" si="25"/>
        <v>0.83333333333333337</v>
      </c>
      <c r="N549" s="14">
        <f t="shared" si="26"/>
        <v>0</v>
      </c>
    </row>
    <row r="550" spans="1:14" x14ac:dyDescent="0.25">
      <c r="A550" s="9" t="s">
        <v>43</v>
      </c>
      <c r="B550" s="9">
        <f t="shared" si="24"/>
        <v>44958</v>
      </c>
      <c r="C550" s="9" t="str">
        <f>TEXT('Cleaned Datasets'!$B550,"MMMM")</f>
        <v>February</v>
      </c>
      <c r="D550" s="10" t="s">
        <v>56</v>
      </c>
      <c r="E550" s="10" t="s">
        <v>62</v>
      </c>
      <c r="F550" s="10" t="s">
        <v>13</v>
      </c>
      <c r="G550" s="10" t="s">
        <v>18</v>
      </c>
      <c r="H550" s="10" t="s">
        <v>15</v>
      </c>
      <c r="I550" s="10">
        <v>5</v>
      </c>
      <c r="J550" s="10">
        <v>4</v>
      </c>
      <c r="K550" s="10">
        <v>1</v>
      </c>
      <c r="L550" s="10">
        <v>3.4</v>
      </c>
      <c r="M550" s="11">
        <f t="shared" si="25"/>
        <v>0.8</v>
      </c>
      <c r="N550" s="11">
        <f t="shared" si="26"/>
        <v>0.2</v>
      </c>
    </row>
    <row r="551" spans="1:14" x14ac:dyDescent="0.25">
      <c r="A551" s="12" t="s">
        <v>23</v>
      </c>
      <c r="B551" s="12">
        <f t="shared" si="24"/>
        <v>45200</v>
      </c>
      <c r="C551" s="12" t="str">
        <f>TEXT('Cleaned Datasets'!$B551,"MMMM")</f>
        <v>October</v>
      </c>
      <c r="D551" s="13" t="s">
        <v>11</v>
      </c>
      <c r="E551" s="13" t="s">
        <v>52</v>
      </c>
      <c r="F551" s="13" t="s">
        <v>26</v>
      </c>
      <c r="G551" s="13" t="s">
        <v>30</v>
      </c>
      <c r="H551" s="13" t="s">
        <v>15</v>
      </c>
      <c r="I551" s="13">
        <v>7</v>
      </c>
      <c r="J551" s="13">
        <v>7</v>
      </c>
      <c r="K551" s="13">
        <v>0</v>
      </c>
      <c r="L551" s="13">
        <v>3.2</v>
      </c>
      <c r="M551" s="14">
        <f t="shared" si="25"/>
        <v>1</v>
      </c>
      <c r="N551" s="14">
        <f t="shared" si="26"/>
        <v>0</v>
      </c>
    </row>
    <row r="552" spans="1:14" x14ac:dyDescent="0.25">
      <c r="A552" s="9" t="s">
        <v>36</v>
      </c>
      <c r="B552" s="9">
        <f t="shared" si="24"/>
        <v>44986</v>
      </c>
      <c r="C552" s="9" t="str">
        <f>TEXT('Cleaned Datasets'!$B552,"MMMM")</f>
        <v>March</v>
      </c>
      <c r="D552" s="10" t="s">
        <v>46</v>
      </c>
      <c r="E552" s="10" t="s">
        <v>47</v>
      </c>
      <c r="F552" s="10" t="s">
        <v>22</v>
      </c>
      <c r="G552" s="10" t="s">
        <v>53</v>
      </c>
      <c r="H552" s="10" t="s">
        <v>19</v>
      </c>
      <c r="I552" s="10">
        <v>3</v>
      </c>
      <c r="J552" s="10">
        <v>3</v>
      </c>
      <c r="K552" s="10">
        <v>0</v>
      </c>
      <c r="L552" s="10">
        <v>1.3</v>
      </c>
      <c r="M552" s="11">
        <f t="shared" si="25"/>
        <v>1</v>
      </c>
      <c r="N552" s="11">
        <f t="shared" si="26"/>
        <v>0</v>
      </c>
    </row>
    <row r="553" spans="1:14" x14ac:dyDescent="0.25">
      <c r="A553" s="12" t="s">
        <v>59</v>
      </c>
      <c r="B553" s="12">
        <f t="shared" si="24"/>
        <v>45170</v>
      </c>
      <c r="C553" s="12" t="str">
        <f>TEXT('Cleaned Datasets'!$B553,"MMMM")</f>
        <v>September</v>
      </c>
      <c r="D553" s="13" t="s">
        <v>24</v>
      </c>
      <c r="E553" s="13" t="s">
        <v>25</v>
      </c>
      <c r="F553" s="13" t="s">
        <v>22</v>
      </c>
      <c r="G553" s="13" t="s">
        <v>27</v>
      </c>
      <c r="H553" s="13" t="s">
        <v>19</v>
      </c>
      <c r="I553" s="13">
        <v>7</v>
      </c>
      <c r="J553" s="13">
        <v>7</v>
      </c>
      <c r="K553" s="13">
        <v>0</v>
      </c>
      <c r="L553" s="13">
        <v>2.5</v>
      </c>
      <c r="M553" s="14">
        <f t="shared" si="25"/>
        <v>1</v>
      </c>
      <c r="N553" s="14">
        <f t="shared" si="26"/>
        <v>0</v>
      </c>
    </row>
    <row r="554" spans="1:14" x14ac:dyDescent="0.25">
      <c r="A554" s="9" t="s">
        <v>20</v>
      </c>
      <c r="B554" s="9">
        <f t="shared" si="24"/>
        <v>45078</v>
      </c>
      <c r="C554" s="9" t="str">
        <f>TEXT('Cleaned Datasets'!$B554,"MMMM")</f>
        <v>June</v>
      </c>
      <c r="D554" s="10" t="s">
        <v>34</v>
      </c>
      <c r="E554" s="10" t="s">
        <v>51</v>
      </c>
      <c r="F554" s="10" t="s">
        <v>32</v>
      </c>
      <c r="G554" s="10" t="s">
        <v>18</v>
      </c>
      <c r="H554" s="10" t="s">
        <v>15</v>
      </c>
      <c r="I554" s="10">
        <v>2</v>
      </c>
      <c r="J554" s="10">
        <v>2</v>
      </c>
      <c r="K554" s="10">
        <v>0</v>
      </c>
      <c r="L554" s="10">
        <v>5.4</v>
      </c>
      <c r="M554" s="11">
        <f t="shared" si="25"/>
        <v>1</v>
      </c>
      <c r="N554" s="11">
        <f t="shared" si="26"/>
        <v>0</v>
      </c>
    </row>
    <row r="555" spans="1:14" x14ac:dyDescent="0.25">
      <c r="A555" s="12" t="s">
        <v>20</v>
      </c>
      <c r="B555" s="12">
        <f t="shared" si="24"/>
        <v>45078</v>
      </c>
      <c r="C555" s="12" t="str">
        <f>TEXT('Cleaned Datasets'!$B555,"MMMM")</f>
        <v>June</v>
      </c>
      <c r="D555" s="13" t="s">
        <v>24</v>
      </c>
      <c r="E555" s="13" t="s">
        <v>64</v>
      </c>
      <c r="F555" s="13" t="s">
        <v>13</v>
      </c>
      <c r="G555" s="13" t="s">
        <v>14</v>
      </c>
      <c r="H555" s="13" t="s">
        <v>19</v>
      </c>
      <c r="I555" s="13">
        <v>3</v>
      </c>
      <c r="J555" s="13">
        <v>3</v>
      </c>
      <c r="K555" s="13">
        <v>0</v>
      </c>
      <c r="L555" s="13">
        <v>3.4</v>
      </c>
      <c r="M555" s="14">
        <f t="shared" si="25"/>
        <v>1</v>
      </c>
      <c r="N555" s="14">
        <f t="shared" si="26"/>
        <v>0</v>
      </c>
    </row>
    <row r="556" spans="1:14" x14ac:dyDescent="0.25">
      <c r="A556" s="9" t="s">
        <v>23</v>
      </c>
      <c r="B556" s="9">
        <f t="shared" si="24"/>
        <v>45200</v>
      </c>
      <c r="C556" s="9" t="str">
        <f>TEXT('Cleaned Datasets'!$B556,"MMMM")</f>
        <v>October</v>
      </c>
      <c r="D556" s="10" t="s">
        <v>16</v>
      </c>
      <c r="E556" s="10" t="s">
        <v>17</v>
      </c>
      <c r="F556" s="10" t="s">
        <v>26</v>
      </c>
      <c r="G556" s="10" t="s">
        <v>14</v>
      </c>
      <c r="H556" s="10" t="s">
        <v>19</v>
      </c>
      <c r="I556" s="10">
        <v>4</v>
      </c>
      <c r="J556" s="10">
        <v>4</v>
      </c>
      <c r="K556" s="10">
        <v>0</v>
      </c>
      <c r="L556" s="10">
        <v>2.9</v>
      </c>
      <c r="M556" s="11">
        <f t="shared" si="25"/>
        <v>1</v>
      </c>
      <c r="N556" s="11">
        <f t="shared" si="26"/>
        <v>0</v>
      </c>
    </row>
    <row r="557" spans="1:14" x14ac:dyDescent="0.25">
      <c r="A557" s="12" t="s">
        <v>61</v>
      </c>
      <c r="B557" s="12">
        <f t="shared" si="24"/>
        <v>45231</v>
      </c>
      <c r="C557" s="12" t="str">
        <f>TEXT('Cleaned Datasets'!$B557,"MMMM")</f>
        <v>November</v>
      </c>
      <c r="D557" s="13" t="s">
        <v>11</v>
      </c>
      <c r="E557" s="13" t="s">
        <v>52</v>
      </c>
      <c r="F557" s="13" t="s">
        <v>32</v>
      </c>
      <c r="G557" s="13" t="s">
        <v>53</v>
      </c>
      <c r="H557" s="13" t="s">
        <v>19</v>
      </c>
      <c r="I557" s="13">
        <v>3</v>
      </c>
      <c r="J557" s="13">
        <v>3</v>
      </c>
      <c r="K557" s="13">
        <v>0</v>
      </c>
      <c r="L557" s="13">
        <v>2.4</v>
      </c>
      <c r="M557" s="14">
        <f t="shared" si="25"/>
        <v>1</v>
      </c>
      <c r="N557" s="14">
        <f t="shared" si="26"/>
        <v>0</v>
      </c>
    </row>
    <row r="558" spans="1:14" x14ac:dyDescent="0.25">
      <c r="A558" s="9" t="s">
        <v>61</v>
      </c>
      <c r="B558" s="9">
        <f t="shared" si="24"/>
        <v>45231</v>
      </c>
      <c r="C558" s="9" t="str">
        <f>TEXT('Cleaned Datasets'!$B558,"MMMM")</f>
        <v>November</v>
      </c>
      <c r="D558" s="10" t="s">
        <v>48</v>
      </c>
      <c r="E558" s="10" t="s">
        <v>63</v>
      </c>
      <c r="F558" s="10" t="s">
        <v>22</v>
      </c>
      <c r="G558" s="10" t="s">
        <v>14</v>
      </c>
      <c r="H558" s="10" t="s">
        <v>19</v>
      </c>
      <c r="I558" s="10">
        <v>3</v>
      </c>
      <c r="J558" s="10">
        <v>3</v>
      </c>
      <c r="K558" s="10">
        <v>0</v>
      </c>
      <c r="L558" s="10">
        <v>4.5999999999999996</v>
      </c>
      <c r="M558" s="11">
        <f t="shared" si="25"/>
        <v>1</v>
      </c>
      <c r="N558" s="11">
        <f t="shared" si="26"/>
        <v>0</v>
      </c>
    </row>
    <row r="559" spans="1:14" x14ac:dyDescent="0.25">
      <c r="A559" s="12" t="s">
        <v>43</v>
      </c>
      <c r="B559" s="12">
        <f t="shared" si="24"/>
        <v>44958</v>
      </c>
      <c r="C559" s="12" t="str">
        <f>TEXT('Cleaned Datasets'!$B559,"MMMM")</f>
        <v>February</v>
      </c>
      <c r="D559" s="13" t="s">
        <v>41</v>
      </c>
      <c r="E559" s="13" t="s">
        <v>42</v>
      </c>
      <c r="F559" s="13" t="s">
        <v>32</v>
      </c>
      <c r="G559" s="13" t="s">
        <v>18</v>
      </c>
      <c r="H559" s="13" t="s">
        <v>19</v>
      </c>
      <c r="I559" s="13">
        <v>6</v>
      </c>
      <c r="J559" s="13">
        <v>4</v>
      </c>
      <c r="K559" s="13">
        <v>0</v>
      </c>
      <c r="L559" s="13">
        <v>3.8</v>
      </c>
      <c r="M559" s="14">
        <f t="shared" si="25"/>
        <v>0.66666666666666663</v>
      </c>
      <c r="N559" s="14">
        <f t="shared" si="26"/>
        <v>0</v>
      </c>
    </row>
    <row r="560" spans="1:14" x14ac:dyDescent="0.25">
      <c r="A560" s="9" t="s">
        <v>23</v>
      </c>
      <c r="B560" s="9">
        <f t="shared" si="24"/>
        <v>45200</v>
      </c>
      <c r="C560" s="9" t="str">
        <f>TEXT('Cleaned Datasets'!$B560,"MMMM")</f>
        <v>October</v>
      </c>
      <c r="D560" s="10" t="s">
        <v>24</v>
      </c>
      <c r="E560" s="10" t="s">
        <v>25</v>
      </c>
      <c r="F560" s="10" t="s">
        <v>22</v>
      </c>
      <c r="G560" s="10" t="s">
        <v>18</v>
      </c>
      <c r="H560" s="10" t="s">
        <v>19</v>
      </c>
      <c r="I560" s="10">
        <v>7</v>
      </c>
      <c r="J560" s="10">
        <v>6</v>
      </c>
      <c r="K560" s="10">
        <v>0</v>
      </c>
      <c r="L560" s="10">
        <v>4.4000000000000004</v>
      </c>
      <c r="M560" s="11">
        <f t="shared" si="25"/>
        <v>0.8571428571428571</v>
      </c>
      <c r="N560" s="11">
        <f t="shared" si="26"/>
        <v>0</v>
      </c>
    </row>
    <row r="561" spans="1:14" x14ac:dyDescent="0.25">
      <c r="A561" s="12" t="s">
        <v>10</v>
      </c>
      <c r="B561" s="12">
        <f t="shared" si="24"/>
        <v>45017</v>
      </c>
      <c r="C561" s="12" t="str">
        <f>TEXT('Cleaned Datasets'!$B561,"MMMM")</f>
        <v>April</v>
      </c>
      <c r="D561" s="13" t="s">
        <v>56</v>
      </c>
      <c r="E561" s="13" t="s">
        <v>62</v>
      </c>
      <c r="F561" s="13" t="s">
        <v>32</v>
      </c>
      <c r="G561" s="13" t="s">
        <v>27</v>
      </c>
      <c r="H561" s="13" t="s">
        <v>15</v>
      </c>
      <c r="I561" s="13">
        <v>4</v>
      </c>
      <c r="J561" s="13">
        <v>4</v>
      </c>
      <c r="K561" s="13">
        <v>0</v>
      </c>
      <c r="L561" s="13">
        <v>1.4</v>
      </c>
      <c r="M561" s="14">
        <f t="shared" si="25"/>
        <v>1</v>
      </c>
      <c r="N561" s="14">
        <f t="shared" si="26"/>
        <v>0</v>
      </c>
    </row>
    <row r="562" spans="1:14" x14ac:dyDescent="0.25">
      <c r="A562" s="9" t="s">
        <v>36</v>
      </c>
      <c r="B562" s="9">
        <f t="shared" si="24"/>
        <v>44986</v>
      </c>
      <c r="C562" s="9" t="str">
        <f>TEXT('Cleaned Datasets'!$B562,"MMMM")</f>
        <v>March</v>
      </c>
      <c r="D562" s="10" t="s">
        <v>56</v>
      </c>
      <c r="E562" s="10" t="s">
        <v>57</v>
      </c>
      <c r="F562" s="10" t="s">
        <v>21</v>
      </c>
      <c r="G562" s="10" t="s">
        <v>18</v>
      </c>
      <c r="H562" s="10" t="s">
        <v>15</v>
      </c>
      <c r="I562" s="10">
        <v>6</v>
      </c>
      <c r="J562" s="10">
        <v>6</v>
      </c>
      <c r="K562" s="10">
        <v>1</v>
      </c>
      <c r="L562" s="10">
        <v>3.8</v>
      </c>
      <c r="M562" s="11">
        <f t="shared" si="25"/>
        <v>1</v>
      </c>
      <c r="N562" s="11">
        <f t="shared" si="26"/>
        <v>0.16666666666666666</v>
      </c>
    </row>
    <row r="563" spans="1:14" x14ac:dyDescent="0.25">
      <c r="A563" s="12" t="s">
        <v>36</v>
      </c>
      <c r="B563" s="12">
        <f t="shared" si="24"/>
        <v>44986</v>
      </c>
      <c r="C563" s="12" t="str">
        <f>TEXT('Cleaned Datasets'!$B563,"MMMM")</f>
        <v>March</v>
      </c>
      <c r="D563" s="13" t="s">
        <v>16</v>
      </c>
      <c r="E563" s="13" t="s">
        <v>60</v>
      </c>
      <c r="F563" s="13" t="s">
        <v>22</v>
      </c>
      <c r="G563" s="13" t="s">
        <v>30</v>
      </c>
      <c r="H563" s="13" t="s">
        <v>19</v>
      </c>
      <c r="I563" s="13">
        <v>4</v>
      </c>
      <c r="J563" s="13">
        <v>4</v>
      </c>
      <c r="K563" s="13">
        <v>0</v>
      </c>
      <c r="L563" s="13">
        <v>4.0999999999999996</v>
      </c>
      <c r="M563" s="14">
        <f t="shared" si="25"/>
        <v>1</v>
      </c>
      <c r="N563" s="14">
        <f t="shared" si="26"/>
        <v>0</v>
      </c>
    </row>
    <row r="564" spans="1:14" x14ac:dyDescent="0.25">
      <c r="A564" s="9" t="s">
        <v>20</v>
      </c>
      <c r="B564" s="9">
        <f t="shared" si="24"/>
        <v>45078</v>
      </c>
      <c r="C564" s="9" t="str">
        <f>TEXT('Cleaned Datasets'!$B564,"MMMM")</f>
        <v>June</v>
      </c>
      <c r="D564" s="10" t="s">
        <v>16</v>
      </c>
      <c r="E564" s="10" t="s">
        <v>17</v>
      </c>
      <c r="F564" s="10" t="s">
        <v>32</v>
      </c>
      <c r="G564" s="10" t="s">
        <v>27</v>
      </c>
      <c r="H564" s="10" t="s">
        <v>15</v>
      </c>
      <c r="I564" s="10">
        <v>4</v>
      </c>
      <c r="J564" s="10">
        <v>4</v>
      </c>
      <c r="K564" s="10">
        <v>0</v>
      </c>
      <c r="L564" s="10">
        <v>2.6</v>
      </c>
      <c r="M564" s="11">
        <f t="shared" si="25"/>
        <v>1</v>
      </c>
      <c r="N564" s="11">
        <f t="shared" si="26"/>
        <v>0</v>
      </c>
    </row>
    <row r="565" spans="1:14" x14ac:dyDescent="0.25">
      <c r="A565" s="12" t="s">
        <v>23</v>
      </c>
      <c r="B565" s="12">
        <f t="shared" si="24"/>
        <v>45200</v>
      </c>
      <c r="C565" s="12" t="str">
        <f>TEXT('Cleaned Datasets'!$B565,"MMMM")</f>
        <v>October</v>
      </c>
      <c r="D565" s="13" t="s">
        <v>34</v>
      </c>
      <c r="E565" s="13" t="s">
        <v>51</v>
      </c>
      <c r="F565" s="13" t="s">
        <v>26</v>
      </c>
      <c r="G565" s="13" t="s">
        <v>27</v>
      </c>
      <c r="H565" s="13" t="s">
        <v>19</v>
      </c>
      <c r="I565" s="13">
        <v>2</v>
      </c>
      <c r="J565" s="13">
        <v>2</v>
      </c>
      <c r="K565" s="13">
        <v>0</v>
      </c>
      <c r="L565" s="13">
        <v>4.5</v>
      </c>
      <c r="M565" s="14">
        <f t="shared" si="25"/>
        <v>1</v>
      </c>
      <c r="N565" s="14">
        <f t="shared" si="26"/>
        <v>0</v>
      </c>
    </row>
    <row r="566" spans="1:14" x14ac:dyDescent="0.25">
      <c r="A566" s="9" t="s">
        <v>55</v>
      </c>
      <c r="B566" s="9">
        <f t="shared" si="24"/>
        <v>45261</v>
      </c>
      <c r="C566" s="9" t="str">
        <f>TEXT('Cleaned Datasets'!$B566,"MMMM")</f>
        <v>December</v>
      </c>
      <c r="D566" s="10" t="s">
        <v>16</v>
      </c>
      <c r="E566" s="10" t="s">
        <v>17</v>
      </c>
      <c r="F566" s="10" t="s">
        <v>21</v>
      </c>
      <c r="G566" s="10" t="s">
        <v>27</v>
      </c>
      <c r="H566" s="10" t="s">
        <v>19</v>
      </c>
      <c r="I566" s="10">
        <v>6</v>
      </c>
      <c r="J566" s="10">
        <v>4</v>
      </c>
      <c r="K566" s="10">
        <v>1</v>
      </c>
      <c r="L566" s="10">
        <v>3.2</v>
      </c>
      <c r="M566" s="11">
        <f t="shared" si="25"/>
        <v>0.66666666666666663</v>
      </c>
      <c r="N566" s="11">
        <f t="shared" si="26"/>
        <v>0.16666666666666666</v>
      </c>
    </row>
    <row r="567" spans="1:14" x14ac:dyDescent="0.25">
      <c r="A567" s="12" t="s">
        <v>36</v>
      </c>
      <c r="B567" s="12">
        <f t="shared" si="24"/>
        <v>44986</v>
      </c>
      <c r="C567" s="12" t="str">
        <f>TEXT('Cleaned Datasets'!$B567,"MMMM")</f>
        <v>March</v>
      </c>
      <c r="D567" s="13" t="s">
        <v>28</v>
      </c>
      <c r="E567" s="13" t="s">
        <v>58</v>
      </c>
      <c r="F567" s="13" t="s">
        <v>21</v>
      </c>
      <c r="G567" s="13" t="s">
        <v>14</v>
      </c>
      <c r="H567" s="13" t="s">
        <v>15</v>
      </c>
      <c r="I567" s="13">
        <v>7</v>
      </c>
      <c r="J567" s="13">
        <v>6</v>
      </c>
      <c r="K567" s="13">
        <v>1</v>
      </c>
      <c r="L567" s="13">
        <v>3.4</v>
      </c>
      <c r="M567" s="14">
        <f t="shared" si="25"/>
        <v>0.8571428571428571</v>
      </c>
      <c r="N567" s="14">
        <f t="shared" si="26"/>
        <v>0.14285714285714285</v>
      </c>
    </row>
    <row r="568" spans="1:14" x14ac:dyDescent="0.25">
      <c r="A568" s="9" t="s">
        <v>31</v>
      </c>
      <c r="B568" s="9">
        <f t="shared" si="24"/>
        <v>45139</v>
      </c>
      <c r="C568" s="9" t="str">
        <f>TEXT('Cleaned Datasets'!$B568,"MMMM")</f>
        <v>August</v>
      </c>
      <c r="D568" s="10" t="s">
        <v>46</v>
      </c>
      <c r="E568" s="10" t="s">
        <v>54</v>
      </c>
      <c r="F568" s="10" t="s">
        <v>22</v>
      </c>
      <c r="G568" s="10" t="s">
        <v>18</v>
      </c>
      <c r="H568" s="10" t="s">
        <v>15</v>
      </c>
      <c r="I568" s="10">
        <v>3</v>
      </c>
      <c r="J568" s="10">
        <v>1</v>
      </c>
      <c r="K568" s="10">
        <v>0</v>
      </c>
      <c r="L568" s="10">
        <v>4.2</v>
      </c>
      <c r="M568" s="11">
        <f t="shared" si="25"/>
        <v>0.33333333333333331</v>
      </c>
      <c r="N568" s="11">
        <f t="shared" si="26"/>
        <v>0</v>
      </c>
    </row>
    <row r="569" spans="1:14" x14ac:dyDescent="0.25">
      <c r="A569" s="12" t="s">
        <v>23</v>
      </c>
      <c r="B569" s="12">
        <f t="shared" si="24"/>
        <v>45200</v>
      </c>
      <c r="C569" s="12" t="str">
        <f>TEXT('Cleaned Datasets'!$B569,"MMMM")</f>
        <v>October</v>
      </c>
      <c r="D569" s="13" t="s">
        <v>48</v>
      </c>
      <c r="E569" s="13" t="s">
        <v>49</v>
      </c>
      <c r="F569" s="13" t="s">
        <v>22</v>
      </c>
      <c r="G569" s="13" t="s">
        <v>53</v>
      </c>
      <c r="H569" s="13" t="s">
        <v>15</v>
      </c>
      <c r="I569" s="13">
        <v>5</v>
      </c>
      <c r="J569" s="13">
        <v>4</v>
      </c>
      <c r="K569" s="13">
        <v>0</v>
      </c>
      <c r="L569" s="13">
        <v>2.5</v>
      </c>
      <c r="M569" s="14">
        <f t="shared" si="25"/>
        <v>0.8</v>
      </c>
      <c r="N569" s="14">
        <f t="shared" si="26"/>
        <v>0</v>
      </c>
    </row>
    <row r="570" spans="1:14" x14ac:dyDescent="0.25">
      <c r="A570" s="9" t="s">
        <v>31</v>
      </c>
      <c r="B570" s="9">
        <f t="shared" si="24"/>
        <v>45139</v>
      </c>
      <c r="C570" s="9" t="str">
        <f>TEXT('Cleaned Datasets'!$B570,"MMMM")</f>
        <v>August</v>
      </c>
      <c r="D570" s="10" t="s">
        <v>16</v>
      </c>
      <c r="E570" s="10" t="s">
        <v>17</v>
      </c>
      <c r="F570" s="10" t="s">
        <v>13</v>
      </c>
      <c r="G570" s="10" t="s">
        <v>14</v>
      </c>
      <c r="H570" s="10" t="s">
        <v>15</v>
      </c>
      <c r="I570" s="10">
        <v>4</v>
      </c>
      <c r="J570" s="10">
        <v>4</v>
      </c>
      <c r="K570" s="10">
        <v>0</v>
      </c>
      <c r="L570" s="10">
        <v>2.5</v>
      </c>
      <c r="M570" s="11">
        <f t="shared" si="25"/>
        <v>1</v>
      </c>
      <c r="N570" s="11">
        <f t="shared" si="26"/>
        <v>0</v>
      </c>
    </row>
    <row r="571" spans="1:14" x14ac:dyDescent="0.25">
      <c r="A571" s="12" t="s">
        <v>31</v>
      </c>
      <c r="B571" s="12">
        <f t="shared" si="24"/>
        <v>45139</v>
      </c>
      <c r="C571" s="12" t="str">
        <f>TEXT('Cleaned Datasets'!$B571,"MMMM")</f>
        <v>August</v>
      </c>
      <c r="D571" s="13" t="s">
        <v>28</v>
      </c>
      <c r="E571" s="13" t="s">
        <v>58</v>
      </c>
      <c r="F571" s="13" t="s">
        <v>26</v>
      </c>
      <c r="G571" s="13" t="s">
        <v>14</v>
      </c>
      <c r="H571" s="13" t="s">
        <v>19</v>
      </c>
      <c r="I571" s="13">
        <v>4</v>
      </c>
      <c r="J571" s="13">
        <v>4</v>
      </c>
      <c r="K571" s="13">
        <v>0</v>
      </c>
      <c r="L571" s="13">
        <v>2</v>
      </c>
      <c r="M571" s="14">
        <f t="shared" si="25"/>
        <v>1</v>
      </c>
      <c r="N571" s="14">
        <f t="shared" si="26"/>
        <v>0</v>
      </c>
    </row>
    <row r="572" spans="1:14" x14ac:dyDescent="0.25">
      <c r="A572" s="9" t="s">
        <v>33</v>
      </c>
      <c r="B572" s="9">
        <f t="shared" si="24"/>
        <v>44927</v>
      </c>
      <c r="C572" s="9" t="str">
        <f>TEXT('Cleaned Datasets'!$B572,"MMMM")</f>
        <v>January</v>
      </c>
      <c r="D572" s="10" t="s">
        <v>46</v>
      </c>
      <c r="E572" s="10" t="s">
        <v>47</v>
      </c>
      <c r="F572" s="10" t="s">
        <v>22</v>
      </c>
      <c r="G572" s="10" t="s">
        <v>27</v>
      </c>
      <c r="H572" s="10" t="s">
        <v>15</v>
      </c>
      <c r="I572" s="10">
        <v>4</v>
      </c>
      <c r="J572" s="10">
        <v>3</v>
      </c>
      <c r="K572" s="10">
        <v>0</v>
      </c>
      <c r="L572" s="10">
        <v>2.9</v>
      </c>
      <c r="M572" s="11">
        <f t="shared" si="25"/>
        <v>0.75</v>
      </c>
      <c r="N572" s="11">
        <f t="shared" si="26"/>
        <v>0</v>
      </c>
    </row>
    <row r="573" spans="1:14" x14ac:dyDescent="0.25">
      <c r="A573" s="12" t="s">
        <v>33</v>
      </c>
      <c r="B573" s="12">
        <f t="shared" si="24"/>
        <v>44927</v>
      </c>
      <c r="C573" s="12" t="str">
        <f>TEXT('Cleaned Datasets'!$B573,"MMMM")</f>
        <v>January</v>
      </c>
      <c r="D573" s="13" t="s">
        <v>56</v>
      </c>
      <c r="E573" s="13" t="s">
        <v>62</v>
      </c>
      <c r="F573" s="13" t="s">
        <v>21</v>
      </c>
      <c r="G573" s="13" t="s">
        <v>53</v>
      </c>
      <c r="H573" s="13" t="s">
        <v>19</v>
      </c>
      <c r="I573" s="13">
        <v>10</v>
      </c>
      <c r="J573" s="13">
        <v>7</v>
      </c>
      <c r="K573" s="13">
        <v>1</v>
      </c>
      <c r="L573" s="13">
        <v>2.6</v>
      </c>
      <c r="M573" s="14">
        <f t="shared" si="25"/>
        <v>0.7</v>
      </c>
      <c r="N573" s="14">
        <f t="shared" si="26"/>
        <v>0.1</v>
      </c>
    </row>
    <row r="574" spans="1:14" x14ac:dyDescent="0.25">
      <c r="A574" s="9" t="s">
        <v>33</v>
      </c>
      <c r="B574" s="9">
        <f t="shared" si="24"/>
        <v>44927</v>
      </c>
      <c r="C574" s="9" t="str">
        <f>TEXT('Cleaned Datasets'!$B574,"MMMM")</f>
        <v>January</v>
      </c>
      <c r="D574" s="10" t="s">
        <v>48</v>
      </c>
      <c r="E574" s="10" t="s">
        <v>49</v>
      </c>
      <c r="F574" s="10" t="s">
        <v>26</v>
      </c>
      <c r="G574" s="10" t="s">
        <v>22</v>
      </c>
      <c r="H574" s="10" t="s">
        <v>19</v>
      </c>
      <c r="I574" s="10">
        <v>3</v>
      </c>
      <c r="J574" s="10">
        <v>3</v>
      </c>
      <c r="K574" s="10">
        <v>0</v>
      </c>
      <c r="L574" s="10">
        <v>2.8</v>
      </c>
      <c r="M574" s="11">
        <f t="shared" si="25"/>
        <v>1</v>
      </c>
      <c r="N574" s="11">
        <f t="shared" si="26"/>
        <v>0</v>
      </c>
    </row>
    <row r="575" spans="1:14" x14ac:dyDescent="0.25">
      <c r="A575" s="12" t="s">
        <v>10</v>
      </c>
      <c r="B575" s="12">
        <f t="shared" si="24"/>
        <v>45017</v>
      </c>
      <c r="C575" s="12" t="str">
        <f>TEXT('Cleaned Datasets'!$B575,"MMMM")</f>
        <v>April</v>
      </c>
      <c r="D575" s="13" t="s">
        <v>48</v>
      </c>
      <c r="E575" s="13" t="s">
        <v>49</v>
      </c>
      <c r="F575" s="13" t="s">
        <v>26</v>
      </c>
      <c r="G575" s="13" t="s">
        <v>53</v>
      </c>
      <c r="H575" s="13" t="s">
        <v>19</v>
      </c>
      <c r="I575" s="13">
        <v>5</v>
      </c>
      <c r="J575" s="13">
        <v>5</v>
      </c>
      <c r="K575" s="13">
        <v>1</v>
      </c>
      <c r="L575" s="13">
        <v>3.3</v>
      </c>
      <c r="M575" s="14">
        <f t="shared" si="25"/>
        <v>1</v>
      </c>
      <c r="N575" s="14">
        <f t="shared" si="26"/>
        <v>0.2</v>
      </c>
    </row>
    <row r="576" spans="1:14" x14ac:dyDescent="0.25">
      <c r="A576" s="9" t="s">
        <v>50</v>
      </c>
      <c r="B576" s="9">
        <f t="shared" si="24"/>
        <v>45108</v>
      </c>
      <c r="C576" s="9" t="str">
        <f>TEXT('Cleaned Datasets'!$B576,"MMMM")</f>
        <v>July</v>
      </c>
      <c r="D576" s="10" t="s">
        <v>37</v>
      </c>
      <c r="E576" s="10" t="s">
        <v>38</v>
      </c>
      <c r="F576" s="10" t="s">
        <v>13</v>
      </c>
      <c r="G576" s="10" t="s">
        <v>14</v>
      </c>
      <c r="H576" s="10" t="s">
        <v>19</v>
      </c>
      <c r="I576" s="10">
        <v>3</v>
      </c>
      <c r="J576" s="10">
        <v>2</v>
      </c>
      <c r="K576" s="10">
        <v>0</v>
      </c>
      <c r="L576" s="10">
        <v>2.4</v>
      </c>
      <c r="M576" s="11">
        <f t="shared" si="25"/>
        <v>0.66666666666666663</v>
      </c>
      <c r="N576" s="11">
        <f t="shared" si="26"/>
        <v>0</v>
      </c>
    </row>
    <row r="577" spans="1:14" x14ac:dyDescent="0.25">
      <c r="A577" s="12" t="s">
        <v>36</v>
      </c>
      <c r="B577" s="12">
        <f t="shared" si="24"/>
        <v>44986</v>
      </c>
      <c r="C577" s="12" t="str">
        <f>TEXT('Cleaned Datasets'!$B577,"MMMM")</f>
        <v>March</v>
      </c>
      <c r="D577" s="13" t="s">
        <v>46</v>
      </c>
      <c r="E577" s="13" t="s">
        <v>47</v>
      </c>
      <c r="F577" s="13" t="s">
        <v>22</v>
      </c>
      <c r="G577" s="13" t="s">
        <v>14</v>
      </c>
      <c r="H577" s="13" t="s">
        <v>19</v>
      </c>
      <c r="I577" s="13">
        <v>7</v>
      </c>
      <c r="J577" s="13">
        <v>6</v>
      </c>
      <c r="K577" s="13">
        <v>2</v>
      </c>
      <c r="L577" s="13">
        <v>2.5</v>
      </c>
      <c r="M577" s="14">
        <f t="shared" si="25"/>
        <v>0.8571428571428571</v>
      </c>
      <c r="N577" s="14">
        <f t="shared" si="26"/>
        <v>0.2857142857142857</v>
      </c>
    </row>
    <row r="578" spans="1:14" x14ac:dyDescent="0.25">
      <c r="A578" s="9" t="s">
        <v>43</v>
      </c>
      <c r="B578" s="9">
        <f t="shared" si="24"/>
        <v>44958</v>
      </c>
      <c r="C578" s="9" t="str">
        <f>TEXT('Cleaned Datasets'!$B578,"MMMM")</f>
        <v>February</v>
      </c>
      <c r="D578" s="10" t="s">
        <v>16</v>
      </c>
      <c r="E578" s="10" t="s">
        <v>60</v>
      </c>
      <c r="F578" s="10" t="s">
        <v>40</v>
      </c>
      <c r="G578" s="10" t="s">
        <v>14</v>
      </c>
      <c r="H578" s="10" t="s">
        <v>19</v>
      </c>
      <c r="I578" s="10">
        <v>1</v>
      </c>
      <c r="J578" s="10">
        <v>1</v>
      </c>
      <c r="K578" s="10">
        <v>0</v>
      </c>
      <c r="L578" s="10">
        <v>2.9</v>
      </c>
      <c r="M578" s="11">
        <f t="shared" si="25"/>
        <v>1</v>
      </c>
      <c r="N578" s="11">
        <f t="shared" si="26"/>
        <v>0</v>
      </c>
    </row>
    <row r="579" spans="1:14" x14ac:dyDescent="0.25">
      <c r="A579" s="12" t="s">
        <v>59</v>
      </c>
      <c r="B579" s="12">
        <f t="shared" ref="B579:B642" si="27">DATE(LEFT(A579,4), RIGHT(A579,2), 1)</f>
        <v>45170</v>
      </c>
      <c r="C579" s="12" t="str">
        <f>TEXT('Cleaned Datasets'!$B579,"MMMM")</f>
        <v>September</v>
      </c>
      <c r="D579" s="13" t="s">
        <v>41</v>
      </c>
      <c r="E579" s="13" t="s">
        <v>44</v>
      </c>
      <c r="F579" s="13" t="s">
        <v>32</v>
      </c>
      <c r="G579" s="13" t="s">
        <v>53</v>
      </c>
      <c r="H579" s="13" t="s">
        <v>15</v>
      </c>
      <c r="I579" s="13">
        <v>3</v>
      </c>
      <c r="J579" s="13">
        <v>3</v>
      </c>
      <c r="K579" s="13">
        <v>0</v>
      </c>
      <c r="L579" s="13">
        <v>1.9</v>
      </c>
      <c r="M579" s="14">
        <f t="shared" ref="M579:M642" si="28">IFERROR(J579/I579,0)</f>
        <v>1</v>
      </c>
      <c r="N579" s="14">
        <f t="shared" ref="N579:N642" si="29">IFERROR(K579/I579,0)</f>
        <v>0</v>
      </c>
    </row>
    <row r="580" spans="1:14" x14ac:dyDescent="0.25">
      <c r="A580" s="9" t="s">
        <v>45</v>
      </c>
      <c r="B580" s="9">
        <f t="shared" si="27"/>
        <v>45047</v>
      </c>
      <c r="C580" s="9" t="str">
        <f>TEXT('Cleaned Datasets'!$B580,"MMMM")</f>
        <v>May</v>
      </c>
      <c r="D580" s="10" t="s">
        <v>34</v>
      </c>
      <c r="E580" s="10" t="s">
        <v>35</v>
      </c>
      <c r="F580" s="10" t="s">
        <v>26</v>
      </c>
      <c r="G580" s="10" t="s">
        <v>27</v>
      </c>
      <c r="H580" s="10" t="s">
        <v>19</v>
      </c>
      <c r="I580" s="10">
        <v>8</v>
      </c>
      <c r="J580" s="10">
        <v>6</v>
      </c>
      <c r="K580" s="10">
        <v>2</v>
      </c>
      <c r="L580" s="10">
        <v>0</v>
      </c>
      <c r="M580" s="11">
        <f t="shared" si="28"/>
        <v>0.75</v>
      </c>
      <c r="N580" s="11">
        <f t="shared" si="29"/>
        <v>0.25</v>
      </c>
    </row>
    <row r="581" spans="1:14" x14ac:dyDescent="0.25">
      <c r="A581" s="12" t="s">
        <v>43</v>
      </c>
      <c r="B581" s="12">
        <f t="shared" si="27"/>
        <v>44958</v>
      </c>
      <c r="C581" s="12" t="str">
        <f>TEXT('Cleaned Datasets'!$B581,"MMMM")</f>
        <v>February</v>
      </c>
      <c r="D581" s="13" t="s">
        <v>48</v>
      </c>
      <c r="E581" s="13" t="s">
        <v>63</v>
      </c>
      <c r="F581" s="13" t="s">
        <v>32</v>
      </c>
      <c r="G581" s="13" t="s">
        <v>14</v>
      </c>
      <c r="H581" s="13" t="s">
        <v>15</v>
      </c>
      <c r="I581" s="13">
        <v>4</v>
      </c>
      <c r="J581" s="13">
        <v>4</v>
      </c>
      <c r="K581" s="13">
        <v>0</v>
      </c>
      <c r="L581" s="13">
        <v>3.6</v>
      </c>
      <c r="M581" s="14">
        <f t="shared" si="28"/>
        <v>1</v>
      </c>
      <c r="N581" s="14">
        <f t="shared" si="29"/>
        <v>0</v>
      </c>
    </row>
    <row r="582" spans="1:14" x14ac:dyDescent="0.25">
      <c r="A582" s="9" t="s">
        <v>20</v>
      </c>
      <c r="B582" s="9">
        <f t="shared" si="27"/>
        <v>45078</v>
      </c>
      <c r="C582" s="9" t="str">
        <f>TEXT('Cleaned Datasets'!$B582,"MMMM")</f>
        <v>June</v>
      </c>
      <c r="D582" s="10" t="s">
        <v>41</v>
      </c>
      <c r="E582" s="10" t="s">
        <v>42</v>
      </c>
      <c r="F582" s="10" t="s">
        <v>40</v>
      </c>
      <c r="G582" s="10" t="s">
        <v>27</v>
      </c>
      <c r="H582" s="10" t="s">
        <v>15</v>
      </c>
      <c r="I582" s="10">
        <v>3</v>
      </c>
      <c r="J582" s="10">
        <v>3</v>
      </c>
      <c r="K582" s="10">
        <v>0</v>
      </c>
      <c r="L582" s="10">
        <v>1.3</v>
      </c>
      <c r="M582" s="11">
        <f t="shared" si="28"/>
        <v>1</v>
      </c>
      <c r="N582" s="11">
        <f t="shared" si="29"/>
        <v>0</v>
      </c>
    </row>
    <row r="583" spans="1:14" x14ac:dyDescent="0.25">
      <c r="A583" s="12" t="s">
        <v>50</v>
      </c>
      <c r="B583" s="12">
        <f t="shared" si="27"/>
        <v>45108</v>
      </c>
      <c r="C583" s="12" t="str">
        <f>TEXT('Cleaned Datasets'!$B583,"MMMM")</f>
        <v>July</v>
      </c>
      <c r="D583" s="13" t="s">
        <v>56</v>
      </c>
      <c r="E583" s="13" t="s">
        <v>62</v>
      </c>
      <c r="F583" s="13" t="s">
        <v>13</v>
      </c>
      <c r="G583" s="13" t="s">
        <v>53</v>
      </c>
      <c r="H583" s="13" t="s">
        <v>19</v>
      </c>
      <c r="I583" s="13">
        <v>5</v>
      </c>
      <c r="J583" s="13">
        <v>5</v>
      </c>
      <c r="K583" s="13">
        <v>1</v>
      </c>
      <c r="L583" s="13">
        <v>3.1</v>
      </c>
      <c r="M583" s="14">
        <f t="shared" si="28"/>
        <v>1</v>
      </c>
      <c r="N583" s="14">
        <f t="shared" si="29"/>
        <v>0.2</v>
      </c>
    </row>
    <row r="584" spans="1:14" x14ac:dyDescent="0.25">
      <c r="A584" s="9" t="s">
        <v>36</v>
      </c>
      <c r="B584" s="9">
        <f t="shared" si="27"/>
        <v>44986</v>
      </c>
      <c r="C584" s="9" t="str">
        <f>TEXT('Cleaned Datasets'!$B584,"MMMM")</f>
        <v>March</v>
      </c>
      <c r="D584" s="10" t="s">
        <v>34</v>
      </c>
      <c r="E584" s="10" t="s">
        <v>51</v>
      </c>
      <c r="F584" s="10" t="s">
        <v>21</v>
      </c>
      <c r="G584" s="10" t="s">
        <v>30</v>
      </c>
      <c r="H584" s="10" t="s">
        <v>19</v>
      </c>
      <c r="I584" s="10">
        <v>0</v>
      </c>
      <c r="J584" s="10">
        <v>0</v>
      </c>
      <c r="K584" s="10">
        <v>0</v>
      </c>
      <c r="L584" s="10">
        <v>3</v>
      </c>
      <c r="M584" s="11">
        <f t="shared" si="28"/>
        <v>0</v>
      </c>
      <c r="N584" s="11">
        <f t="shared" si="29"/>
        <v>0</v>
      </c>
    </row>
    <row r="585" spans="1:14" x14ac:dyDescent="0.25">
      <c r="A585" s="12" t="s">
        <v>55</v>
      </c>
      <c r="B585" s="12">
        <f t="shared" si="27"/>
        <v>45261</v>
      </c>
      <c r="C585" s="12" t="str">
        <f>TEXT('Cleaned Datasets'!$B585,"MMMM")</f>
        <v>December</v>
      </c>
      <c r="D585" s="13" t="s">
        <v>16</v>
      </c>
      <c r="E585" s="13" t="s">
        <v>60</v>
      </c>
      <c r="F585" s="13" t="s">
        <v>22</v>
      </c>
      <c r="G585" s="13" t="s">
        <v>22</v>
      </c>
      <c r="H585" s="13" t="s">
        <v>19</v>
      </c>
      <c r="I585" s="13">
        <v>1</v>
      </c>
      <c r="J585" s="13">
        <v>1</v>
      </c>
      <c r="K585" s="13">
        <v>0</v>
      </c>
      <c r="L585" s="13">
        <v>3.6</v>
      </c>
      <c r="M585" s="14">
        <f t="shared" si="28"/>
        <v>1</v>
      </c>
      <c r="N585" s="14">
        <f t="shared" si="29"/>
        <v>0</v>
      </c>
    </row>
    <row r="586" spans="1:14" x14ac:dyDescent="0.25">
      <c r="A586" s="9" t="s">
        <v>23</v>
      </c>
      <c r="B586" s="9">
        <f t="shared" si="27"/>
        <v>45200</v>
      </c>
      <c r="C586" s="9" t="str">
        <f>TEXT('Cleaned Datasets'!$B586,"MMMM")</f>
        <v>October</v>
      </c>
      <c r="D586" s="10" t="s">
        <v>11</v>
      </c>
      <c r="E586" s="10" t="s">
        <v>52</v>
      </c>
      <c r="F586" s="10" t="s">
        <v>21</v>
      </c>
      <c r="G586" s="10" t="s">
        <v>22</v>
      </c>
      <c r="H586" s="10" t="s">
        <v>19</v>
      </c>
      <c r="I586" s="10">
        <v>6</v>
      </c>
      <c r="J586" s="10">
        <v>4</v>
      </c>
      <c r="K586" s="10">
        <v>1</v>
      </c>
      <c r="L586" s="10">
        <v>5.5</v>
      </c>
      <c r="M586" s="11">
        <f t="shared" si="28"/>
        <v>0.66666666666666663</v>
      </c>
      <c r="N586" s="11">
        <f t="shared" si="29"/>
        <v>0.16666666666666666</v>
      </c>
    </row>
    <row r="587" spans="1:14" x14ac:dyDescent="0.25">
      <c r="A587" s="12" t="s">
        <v>31</v>
      </c>
      <c r="B587" s="12">
        <f t="shared" si="27"/>
        <v>45139</v>
      </c>
      <c r="C587" s="12" t="str">
        <f>TEXT('Cleaned Datasets'!$B587,"MMMM")</f>
        <v>August</v>
      </c>
      <c r="D587" s="13" t="s">
        <v>46</v>
      </c>
      <c r="E587" s="13" t="s">
        <v>47</v>
      </c>
      <c r="F587" s="13" t="s">
        <v>32</v>
      </c>
      <c r="G587" s="13" t="s">
        <v>27</v>
      </c>
      <c r="H587" s="13" t="s">
        <v>19</v>
      </c>
      <c r="I587" s="13">
        <v>8</v>
      </c>
      <c r="J587" s="13">
        <v>8</v>
      </c>
      <c r="K587" s="13">
        <v>0</v>
      </c>
      <c r="L587" s="13">
        <v>3</v>
      </c>
      <c r="M587" s="14">
        <f t="shared" si="28"/>
        <v>1</v>
      </c>
      <c r="N587" s="14">
        <f t="shared" si="29"/>
        <v>0</v>
      </c>
    </row>
    <row r="588" spans="1:14" x14ac:dyDescent="0.25">
      <c r="A588" s="9" t="s">
        <v>45</v>
      </c>
      <c r="B588" s="9">
        <f t="shared" si="27"/>
        <v>45047</v>
      </c>
      <c r="C588" s="9" t="str">
        <f>TEXT('Cleaned Datasets'!$B588,"MMMM")</f>
        <v>May</v>
      </c>
      <c r="D588" s="10" t="s">
        <v>46</v>
      </c>
      <c r="E588" s="10" t="s">
        <v>47</v>
      </c>
      <c r="F588" s="10" t="s">
        <v>13</v>
      </c>
      <c r="G588" s="10" t="s">
        <v>18</v>
      </c>
      <c r="H588" s="10" t="s">
        <v>19</v>
      </c>
      <c r="I588" s="10">
        <v>7</v>
      </c>
      <c r="J588" s="10">
        <v>7</v>
      </c>
      <c r="K588" s="10">
        <v>0</v>
      </c>
      <c r="L588" s="10">
        <v>3.2</v>
      </c>
      <c r="M588" s="11">
        <f t="shared" si="28"/>
        <v>1</v>
      </c>
      <c r="N588" s="11">
        <f t="shared" si="29"/>
        <v>0</v>
      </c>
    </row>
    <row r="589" spans="1:14" x14ac:dyDescent="0.25">
      <c r="A589" s="12" t="s">
        <v>33</v>
      </c>
      <c r="B589" s="12">
        <f t="shared" si="27"/>
        <v>44927</v>
      </c>
      <c r="C589" s="12" t="str">
        <f>TEXT('Cleaned Datasets'!$B589,"MMMM")</f>
        <v>January</v>
      </c>
      <c r="D589" s="13" t="s">
        <v>37</v>
      </c>
      <c r="E589" s="13" t="s">
        <v>39</v>
      </c>
      <c r="F589" s="13" t="s">
        <v>21</v>
      </c>
      <c r="G589" s="13" t="s">
        <v>22</v>
      </c>
      <c r="H589" s="13" t="s">
        <v>15</v>
      </c>
      <c r="I589" s="13">
        <v>8</v>
      </c>
      <c r="J589" s="13">
        <v>8</v>
      </c>
      <c r="K589" s="13">
        <v>0</v>
      </c>
      <c r="L589" s="13">
        <v>5.2</v>
      </c>
      <c r="M589" s="14">
        <f t="shared" si="28"/>
        <v>1</v>
      </c>
      <c r="N589" s="14">
        <f t="shared" si="29"/>
        <v>0</v>
      </c>
    </row>
    <row r="590" spans="1:14" x14ac:dyDescent="0.25">
      <c r="A590" s="9" t="s">
        <v>61</v>
      </c>
      <c r="B590" s="9">
        <f t="shared" si="27"/>
        <v>45231</v>
      </c>
      <c r="C590" s="9" t="str">
        <f>TEXT('Cleaned Datasets'!$B590,"MMMM")</f>
        <v>November</v>
      </c>
      <c r="D590" s="10" t="s">
        <v>37</v>
      </c>
      <c r="E590" s="10" t="s">
        <v>38</v>
      </c>
      <c r="F590" s="10" t="s">
        <v>40</v>
      </c>
      <c r="G590" s="10" t="s">
        <v>53</v>
      </c>
      <c r="H590" s="10" t="s">
        <v>19</v>
      </c>
      <c r="I590" s="10">
        <v>7</v>
      </c>
      <c r="J590" s="10">
        <v>5</v>
      </c>
      <c r="K590" s="10">
        <v>2</v>
      </c>
      <c r="L590" s="10">
        <v>1.1000000000000001</v>
      </c>
      <c r="M590" s="11">
        <f t="shared" si="28"/>
        <v>0.7142857142857143</v>
      </c>
      <c r="N590" s="11">
        <f t="shared" si="29"/>
        <v>0.2857142857142857</v>
      </c>
    </row>
    <row r="591" spans="1:14" x14ac:dyDescent="0.25">
      <c r="A591" s="12" t="s">
        <v>20</v>
      </c>
      <c r="B591" s="12">
        <f t="shared" si="27"/>
        <v>45078</v>
      </c>
      <c r="C591" s="12" t="str">
        <f>TEXT('Cleaned Datasets'!$B591,"MMMM")</f>
        <v>June</v>
      </c>
      <c r="D591" s="13" t="s">
        <v>37</v>
      </c>
      <c r="E591" s="13" t="s">
        <v>39</v>
      </c>
      <c r="F591" s="13" t="s">
        <v>13</v>
      </c>
      <c r="G591" s="13" t="s">
        <v>53</v>
      </c>
      <c r="H591" s="13" t="s">
        <v>15</v>
      </c>
      <c r="I591" s="13">
        <v>4</v>
      </c>
      <c r="J591" s="13">
        <v>4</v>
      </c>
      <c r="K591" s="13">
        <v>0</v>
      </c>
      <c r="L591" s="13">
        <v>2.4</v>
      </c>
      <c r="M591" s="14">
        <f t="shared" si="28"/>
        <v>1</v>
      </c>
      <c r="N591" s="14">
        <f t="shared" si="29"/>
        <v>0</v>
      </c>
    </row>
    <row r="592" spans="1:14" x14ac:dyDescent="0.25">
      <c r="A592" s="9" t="s">
        <v>33</v>
      </c>
      <c r="B592" s="9">
        <f t="shared" si="27"/>
        <v>44927</v>
      </c>
      <c r="C592" s="9" t="str">
        <f>TEXT('Cleaned Datasets'!$B592,"MMMM")</f>
        <v>January</v>
      </c>
      <c r="D592" s="10" t="s">
        <v>56</v>
      </c>
      <c r="E592" s="10" t="s">
        <v>62</v>
      </c>
      <c r="F592" s="10" t="s">
        <v>21</v>
      </c>
      <c r="G592" s="10" t="s">
        <v>22</v>
      </c>
      <c r="H592" s="10" t="s">
        <v>15</v>
      </c>
      <c r="I592" s="10">
        <v>4</v>
      </c>
      <c r="J592" s="10">
        <v>4</v>
      </c>
      <c r="K592" s="10">
        <v>1</v>
      </c>
      <c r="L592" s="10">
        <v>1.7</v>
      </c>
      <c r="M592" s="11">
        <f t="shared" si="28"/>
        <v>1</v>
      </c>
      <c r="N592" s="11">
        <f t="shared" si="29"/>
        <v>0.25</v>
      </c>
    </row>
    <row r="593" spans="1:14" x14ac:dyDescent="0.25">
      <c r="A593" s="12" t="s">
        <v>10</v>
      </c>
      <c r="B593" s="12">
        <f t="shared" si="27"/>
        <v>45017</v>
      </c>
      <c r="C593" s="12" t="str">
        <f>TEXT('Cleaned Datasets'!$B593,"MMMM")</f>
        <v>April</v>
      </c>
      <c r="D593" s="13" t="s">
        <v>46</v>
      </c>
      <c r="E593" s="13" t="s">
        <v>47</v>
      </c>
      <c r="F593" s="13" t="s">
        <v>22</v>
      </c>
      <c r="G593" s="13" t="s">
        <v>27</v>
      </c>
      <c r="H593" s="13" t="s">
        <v>15</v>
      </c>
      <c r="I593" s="13">
        <v>6</v>
      </c>
      <c r="J593" s="13">
        <v>5</v>
      </c>
      <c r="K593" s="13">
        <v>0</v>
      </c>
      <c r="L593" s="13">
        <v>0.9</v>
      </c>
      <c r="M593" s="14">
        <f t="shared" si="28"/>
        <v>0.83333333333333337</v>
      </c>
      <c r="N593" s="14">
        <f t="shared" si="29"/>
        <v>0</v>
      </c>
    </row>
    <row r="594" spans="1:14" x14ac:dyDescent="0.25">
      <c r="A594" s="9" t="s">
        <v>23</v>
      </c>
      <c r="B594" s="9">
        <f t="shared" si="27"/>
        <v>45200</v>
      </c>
      <c r="C594" s="9" t="str">
        <f>TEXT('Cleaned Datasets'!$B594,"MMMM")</f>
        <v>October</v>
      </c>
      <c r="D594" s="10" t="s">
        <v>48</v>
      </c>
      <c r="E594" s="10" t="s">
        <v>63</v>
      </c>
      <c r="F594" s="10" t="s">
        <v>26</v>
      </c>
      <c r="G594" s="10" t="s">
        <v>22</v>
      </c>
      <c r="H594" s="10" t="s">
        <v>19</v>
      </c>
      <c r="I594" s="10">
        <v>4</v>
      </c>
      <c r="J594" s="10">
        <v>3</v>
      </c>
      <c r="K594" s="10">
        <v>0</v>
      </c>
      <c r="L594" s="10">
        <v>2.6</v>
      </c>
      <c r="M594" s="11">
        <f t="shared" si="28"/>
        <v>0.75</v>
      </c>
      <c r="N594" s="11">
        <f t="shared" si="29"/>
        <v>0</v>
      </c>
    </row>
    <row r="595" spans="1:14" x14ac:dyDescent="0.25">
      <c r="A595" s="12" t="s">
        <v>61</v>
      </c>
      <c r="B595" s="12">
        <f t="shared" si="27"/>
        <v>45231</v>
      </c>
      <c r="C595" s="12" t="str">
        <f>TEXT('Cleaned Datasets'!$B595,"MMMM")</f>
        <v>November</v>
      </c>
      <c r="D595" s="13" t="s">
        <v>41</v>
      </c>
      <c r="E595" s="13" t="s">
        <v>42</v>
      </c>
      <c r="F595" s="13" t="s">
        <v>26</v>
      </c>
      <c r="G595" s="13" t="s">
        <v>27</v>
      </c>
      <c r="H595" s="13" t="s">
        <v>19</v>
      </c>
      <c r="I595" s="13">
        <v>3</v>
      </c>
      <c r="J595" s="13">
        <v>3</v>
      </c>
      <c r="K595" s="13">
        <v>0</v>
      </c>
      <c r="L595" s="13">
        <v>2.7</v>
      </c>
      <c r="M595" s="14">
        <f t="shared" si="28"/>
        <v>1</v>
      </c>
      <c r="N595" s="14">
        <f t="shared" si="29"/>
        <v>0</v>
      </c>
    </row>
    <row r="596" spans="1:14" x14ac:dyDescent="0.25">
      <c r="A596" s="9" t="s">
        <v>33</v>
      </c>
      <c r="B596" s="9">
        <f t="shared" si="27"/>
        <v>44927</v>
      </c>
      <c r="C596" s="9" t="str">
        <f>TEXT('Cleaned Datasets'!$B596,"MMMM")</f>
        <v>January</v>
      </c>
      <c r="D596" s="10" t="s">
        <v>48</v>
      </c>
      <c r="E596" s="10" t="s">
        <v>49</v>
      </c>
      <c r="F596" s="10" t="s">
        <v>13</v>
      </c>
      <c r="G596" s="10" t="s">
        <v>27</v>
      </c>
      <c r="H596" s="10" t="s">
        <v>19</v>
      </c>
      <c r="I596" s="10">
        <v>3</v>
      </c>
      <c r="J596" s="10">
        <v>3</v>
      </c>
      <c r="K596" s="10">
        <v>0</v>
      </c>
      <c r="L596" s="10">
        <v>2.4</v>
      </c>
      <c r="M596" s="11">
        <f t="shared" si="28"/>
        <v>1</v>
      </c>
      <c r="N596" s="11">
        <f t="shared" si="29"/>
        <v>0</v>
      </c>
    </row>
    <row r="597" spans="1:14" x14ac:dyDescent="0.25">
      <c r="A597" s="12" t="s">
        <v>33</v>
      </c>
      <c r="B597" s="12">
        <f t="shared" si="27"/>
        <v>44927</v>
      </c>
      <c r="C597" s="12" t="str">
        <f>TEXT('Cleaned Datasets'!$B597,"MMMM")</f>
        <v>January</v>
      </c>
      <c r="D597" s="13" t="s">
        <v>48</v>
      </c>
      <c r="E597" s="13" t="s">
        <v>63</v>
      </c>
      <c r="F597" s="13" t="s">
        <v>22</v>
      </c>
      <c r="G597" s="13" t="s">
        <v>22</v>
      </c>
      <c r="H597" s="13" t="s">
        <v>15</v>
      </c>
      <c r="I597" s="13">
        <v>5</v>
      </c>
      <c r="J597" s="13">
        <v>5</v>
      </c>
      <c r="K597" s="13">
        <v>0</v>
      </c>
      <c r="L597" s="13">
        <v>1.8</v>
      </c>
      <c r="M597" s="14">
        <f t="shared" si="28"/>
        <v>1</v>
      </c>
      <c r="N597" s="14">
        <f t="shared" si="29"/>
        <v>0</v>
      </c>
    </row>
    <row r="598" spans="1:14" x14ac:dyDescent="0.25">
      <c r="A598" s="9" t="s">
        <v>50</v>
      </c>
      <c r="B598" s="9">
        <f t="shared" si="27"/>
        <v>45108</v>
      </c>
      <c r="C598" s="9" t="str">
        <f>TEXT('Cleaned Datasets'!$B598,"MMMM")</f>
        <v>July</v>
      </c>
      <c r="D598" s="10" t="s">
        <v>34</v>
      </c>
      <c r="E598" s="10" t="s">
        <v>35</v>
      </c>
      <c r="F598" s="10" t="s">
        <v>22</v>
      </c>
      <c r="G598" s="10" t="s">
        <v>14</v>
      </c>
      <c r="H598" s="10" t="s">
        <v>15</v>
      </c>
      <c r="I598" s="10">
        <v>7</v>
      </c>
      <c r="J598" s="10">
        <v>6</v>
      </c>
      <c r="K598" s="10">
        <v>0</v>
      </c>
      <c r="L598" s="10">
        <v>1.3</v>
      </c>
      <c r="M598" s="11">
        <f t="shared" si="28"/>
        <v>0.8571428571428571</v>
      </c>
      <c r="N598" s="11">
        <f t="shared" si="29"/>
        <v>0</v>
      </c>
    </row>
    <row r="599" spans="1:14" x14ac:dyDescent="0.25">
      <c r="A599" s="12" t="s">
        <v>50</v>
      </c>
      <c r="B599" s="12">
        <f t="shared" si="27"/>
        <v>45108</v>
      </c>
      <c r="C599" s="12" t="str">
        <f>TEXT('Cleaned Datasets'!$B599,"MMMM")</f>
        <v>July</v>
      </c>
      <c r="D599" s="13" t="s">
        <v>37</v>
      </c>
      <c r="E599" s="13" t="s">
        <v>38</v>
      </c>
      <c r="F599" s="13" t="s">
        <v>21</v>
      </c>
      <c r="G599" s="13" t="s">
        <v>14</v>
      </c>
      <c r="H599" s="13" t="s">
        <v>19</v>
      </c>
      <c r="I599" s="13">
        <v>9</v>
      </c>
      <c r="J599" s="13">
        <v>8</v>
      </c>
      <c r="K599" s="13">
        <v>0</v>
      </c>
      <c r="L599" s="13">
        <v>2.1</v>
      </c>
      <c r="M599" s="14">
        <f t="shared" si="28"/>
        <v>0.88888888888888884</v>
      </c>
      <c r="N599" s="14">
        <f t="shared" si="29"/>
        <v>0</v>
      </c>
    </row>
    <row r="600" spans="1:14" x14ac:dyDescent="0.25">
      <c r="A600" s="9" t="s">
        <v>20</v>
      </c>
      <c r="B600" s="9">
        <f t="shared" si="27"/>
        <v>45078</v>
      </c>
      <c r="C600" s="9" t="str">
        <f>TEXT('Cleaned Datasets'!$B600,"MMMM")</f>
        <v>June</v>
      </c>
      <c r="D600" s="10" t="s">
        <v>34</v>
      </c>
      <c r="E600" s="10" t="s">
        <v>35</v>
      </c>
      <c r="F600" s="10" t="s">
        <v>13</v>
      </c>
      <c r="G600" s="10" t="s">
        <v>14</v>
      </c>
      <c r="H600" s="10" t="s">
        <v>19</v>
      </c>
      <c r="I600" s="10">
        <v>6</v>
      </c>
      <c r="J600" s="10">
        <v>5</v>
      </c>
      <c r="K600" s="10">
        <v>1</v>
      </c>
      <c r="L600" s="10">
        <v>4.9000000000000004</v>
      </c>
      <c r="M600" s="11">
        <f t="shared" si="28"/>
        <v>0.83333333333333337</v>
      </c>
      <c r="N600" s="11">
        <f t="shared" si="29"/>
        <v>0.16666666666666666</v>
      </c>
    </row>
    <row r="601" spans="1:14" x14ac:dyDescent="0.25">
      <c r="A601" s="12" t="s">
        <v>61</v>
      </c>
      <c r="B601" s="12">
        <f t="shared" si="27"/>
        <v>45231</v>
      </c>
      <c r="C601" s="12" t="str">
        <f>TEXT('Cleaned Datasets'!$B601,"MMMM")</f>
        <v>November</v>
      </c>
      <c r="D601" s="13" t="s">
        <v>11</v>
      </c>
      <c r="E601" s="13" t="s">
        <v>12</v>
      </c>
      <c r="F601" s="13" t="s">
        <v>22</v>
      </c>
      <c r="G601" s="13" t="s">
        <v>27</v>
      </c>
      <c r="H601" s="13" t="s">
        <v>15</v>
      </c>
      <c r="I601" s="13">
        <v>2</v>
      </c>
      <c r="J601" s="13">
        <v>2</v>
      </c>
      <c r="K601" s="13">
        <v>0</v>
      </c>
      <c r="L601" s="13">
        <v>4</v>
      </c>
      <c r="M601" s="14">
        <f t="shared" si="28"/>
        <v>1</v>
      </c>
      <c r="N601" s="14">
        <f t="shared" si="29"/>
        <v>0</v>
      </c>
    </row>
    <row r="602" spans="1:14" x14ac:dyDescent="0.25">
      <c r="A602" s="9" t="s">
        <v>10</v>
      </c>
      <c r="B602" s="9">
        <f t="shared" si="27"/>
        <v>45017</v>
      </c>
      <c r="C602" s="9" t="str">
        <f>TEXT('Cleaned Datasets'!$B602,"MMMM")</f>
        <v>April</v>
      </c>
      <c r="D602" s="10" t="s">
        <v>56</v>
      </c>
      <c r="E602" s="10" t="s">
        <v>62</v>
      </c>
      <c r="F602" s="10" t="s">
        <v>21</v>
      </c>
      <c r="G602" s="10" t="s">
        <v>18</v>
      </c>
      <c r="H602" s="10" t="s">
        <v>15</v>
      </c>
      <c r="I602" s="10">
        <v>4</v>
      </c>
      <c r="J602" s="10">
        <v>4</v>
      </c>
      <c r="K602" s="10">
        <v>1</v>
      </c>
      <c r="L602" s="10">
        <v>3.4</v>
      </c>
      <c r="M602" s="11">
        <f t="shared" si="28"/>
        <v>1</v>
      </c>
      <c r="N602" s="11">
        <f t="shared" si="29"/>
        <v>0.25</v>
      </c>
    </row>
    <row r="603" spans="1:14" x14ac:dyDescent="0.25">
      <c r="A603" s="12" t="s">
        <v>20</v>
      </c>
      <c r="B603" s="12">
        <f t="shared" si="27"/>
        <v>45078</v>
      </c>
      <c r="C603" s="12" t="str">
        <f>TEXT('Cleaned Datasets'!$B603,"MMMM")</f>
        <v>June</v>
      </c>
      <c r="D603" s="13" t="s">
        <v>46</v>
      </c>
      <c r="E603" s="13" t="s">
        <v>54</v>
      </c>
      <c r="F603" s="13" t="s">
        <v>13</v>
      </c>
      <c r="G603" s="13" t="s">
        <v>18</v>
      </c>
      <c r="H603" s="13" t="s">
        <v>19</v>
      </c>
      <c r="I603" s="13">
        <v>4</v>
      </c>
      <c r="J603" s="13">
        <v>4</v>
      </c>
      <c r="K603" s="13">
        <v>1</v>
      </c>
      <c r="L603" s="13">
        <v>3.7</v>
      </c>
      <c r="M603" s="14">
        <f t="shared" si="28"/>
        <v>1</v>
      </c>
      <c r="N603" s="14">
        <f t="shared" si="29"/>
        <v>0.25</v>
      </c>
    </row>
    <row r="604" spans="1:14" x14ac:dyDescent="0.25">
      <c r="A604" s="9" t="s">
        <v>36</v>
      </c>
      <c r="B604" s="9">
        <f t="shared" si="27"/>
        <v>44986</v>
      </c>
      <c r="C604" s="9" t="str">
        <f>TEXT('Cleaned Datasets'!$B604,"MMMM")</f>
        <v>March</v>
      </c>
      <c r="D604" s="10" t="s">
        <v>56</v>
      </c>
      <c r="E604" s="10" t="s">
        <v>57</v>
      </c>
      <c r="F604" s="10" t="s">
        <v>26</v>
      </c>
      <c r="G604" s="10" t="s">
        <v>27</v>
      </c>
      <c r="H604" s="10" t="s">
        <v>19</v>
      </c>
      <c r="I604" s="10">
        <v>4</v>
      </c>
      <c r="J604" s="10">
        <v>4</v>
      </c>
      <c r="K604" s="10">
        <v>0</v>
      </c>
      <c r="L604" s="10">
        <v>1.3</v>
      </c>
      <c r="M604" s="11">
        <f t="shared" si="28"/>
        <v>1</v>
      </c>
      <c r="N604" s="11">
        <f t="shared" si="29"/>
        <v>0</v>
      </c>
    </row>
    <row r="605" spans="1:14" x14ac:dyDescent="0.25">
      <c r="A605" s="12" t="s">
        <v>50</v>
      </c>
      <c r="B605" s="12">
        <f t="shared" si="27"/>
        <v>45108</v>
      </c>
      <c r="C605" s="12" t="str">
        <f>TEXT('Cleaned Datasets'!$B605,"MMMM")</f>
        <v>July</v>
      </c>
      <c r="D605" s="13" t="s">
        <v>16</v>
      </c>
      <c r="E605" s="13" t="s">
        <v>17</v>
      </c>
      <c r="F605" s="13" t="s">
        <v>13</v>
      </c>
      <c r="G605" s="13" t="s">
        <v>30</v>
      </c>
      <c r="H605" s="13" t="s">
        <v>19</v>
      </c>
      <c r="I605" s="13">
        <v>4</v>
      </c>
      <c r="J605" s="13">
        <v>4</v>
      </c>
      <c r="K605" s="13">
        <v>0</v>
      </c>
      <c r="L605" s="13">
        <v>2.5</v>
      </c>
      <c r="M605" s="14">
        <f t="shared" si="28"/>
        <v>1</v>
      </c>
      <c r="N605" s="14">
        <f t="shared" si="29"/>
        <v>0</v>
      </c>
    </row>
    <row r="606" spans="1:14" x14ac:dyDescent="0.25">
      <c r="A606" s="9" t="s">
        <v>50</v>
      </c>
      <c r="B606" s="9">
        <f t="shared" si="27"/>
        <v>45108</v>
      </c>
      <c r="C606" s="9" t="str">
        <f>TEXT('Cleaned Datasets'!$B606,"MMMM")</f>
        <v>July</v>
      </c>
      <c r="D606" s="10" t="s">
        <v>41</v>
      </c>
      <c r="E606" s="10" t="s">
        <v>44</v>
      </c>
      <c r="F606" s="10" t="s">
        <v>26</v>
      </c>
      <c r="G606" s="10" t="s">
        <v>18</v>
      </c>
      <c r="H606" s="10" t="s">
        <v>15</v>
      </c>
      <c r="I606" s="10">
        <v>8</v>
      </c>
      <c r="J606" s="10">
        <v>8</v>
      </c>
      <c r="K606" s="10">
        <v>0</v>
      </c>
      <c r="L606" s="10">
        <v>2.4</v>
      </c>
      <c r="M606" s="11">
        <f t="shared" si="28"/>
        <v>1</v>
      </c>
      <c r="N606" s="11">
        <f t="shared" si="29"/>
        <v>0</v>
      </c>
    </row>
    <row r="607" spans="1:14" x14ac:dyDescent="0.25">
      <c r="A607" s="12" t="s">
        <v>45</v>
      </c>
      <c r="B607" s="12">
        <f t="shared" si="27"/>
        <v>45047</v>
      </c>
      <c r="C607" s="12" t="str">
        <f>TEXT('Cleaned Datasets'!$B607,"MMMM")</f>
        <v>May</v>
      </c>
      <c r="D607" s="13" t="s">
        <v>46</v>
      </c>
      <c r="E607" s="13" t="s">
        <v>47</v>
      </c>
      <c r="F607" s="13" t="s">
        <v>21</v>
      </c>
      <c r="G607" s="13" t="s">
        <v>30</v>
      </c>
      <c r="H607" s="13" t="s">
        <v>15</v>
      </c>
      <c r="I607" s="13">
        <v>6</v>
      </c>
      <c r="J607" s="13">
        <v>5</v>
      </c>
      <c r="K607" s="13">
        <v>0</v>
      </c>
      <c r="L607" s="13">
        <v>2.6</v>
      </c>
      <c r="M607" s="14">
        <f t="shared" si="28"/>
        <v>0.83333333333333337</v>
      </c>
      <c r="N607" s="14">
        <f t="shared" si="29"/>
        <v>0</v>
      </c>
    </row>
    <row r="608" spans="1:14" x14ac:dyDescent="0.25">
      <c r="A608" s="9" t="s">
        <v>55</v>
      </c>
      <c r="B608" s="9">
        <f t="shared" si="27"/>
        <v>45261</v>
      </c>
      <c r="C608" s="9" t="str">
        <f>TEXT('Cleaned Datasets'!$B608,"MMMM")</f>
        <v>December</v>
      </c>
      <c r="D608" s="10" t="s">
        <v>46</v>
      </c>
      <c r="E608" s="10" t="s">
        <v>54</v>
      </c>
      <c r="F608" s="10" t="s">
        <v>22</v>
      </c>
      <c r="G608" s="10" t="s">
        <v>22</v>
      </c>
      <c r="H608" s="10" t="s">
        <v>19</v>
      </c>
      <c r="I608" s="10">
        <v>6</v>
      </c>
      <c r="J608" s="10">
        <v>5</v>
      </c>
      <c r="K608" s="10">
        <v>0</v>
      </c>
      <c r="L608" s="10">
        <v>3.5</v>
      </c>
      <c r="M608" s="11">
        <f t="shared" si="28"/>
        <v>0.83333333333333337</v>
      </c>
      <c r="N608" s="11">
        <f t="shared" si="29"/>
        <v>0</v>
      </c>
    </row>
    <row r="609" spans="1:14" x14ac:dyDescent="0.25">
      <c r="A609" s="12" t="s">
        <v>36</v>
      </c>
      <c r="B609" s="12">
        <f t="shared" si="27"/>
        <v>44986</v>
      </c>
      <c r="C609" s="12" t="str">
        <f>TEXT('Cleaned Datasets'!$B609,"MMMM")</f>
        <v>March</v>
      </c>
      <c r="D609" s="13" t="s">
        <v>46</v>
      </c>
      <c r="E609" s="13" t="s">
        <v>47</v>
      </c>
      <c r="F609" s="13" t="s">
        <v>26</v>
      </c>
      <c r="G609" s="13" t="s">
        <v>27</v>
      </c>
      <c r="H609" s="13" t="s">
        <v>19</v>
      </c>
      <c r="I609" s="13">
        <v>6</v>
      </c>
      <c r="J609" s="13">
        <v>6</v>
      </c>
      <c r="K609" s="13">
        <v>1</v>
      </c>
      <c r="L609" s="13">
        <v>4.0999999999999996</v>
      </c>
      <c r="M609" s="14">
        <f t="shared" si="28"/>
        <v>1</v>
      </c>
      <c r="N609" s="14">
        <f t="shared" si="29"/>
        <v>0.16666666666666666</v>
      </c>
    </row>
    <row r="610" spans="1:14" x14ac:dyDescent="0.25">
      <c r="A610" s="9" t="s">
        <v>31</v>
      </c>
      <c r="B610" s="9">
        <f t="shared" si="27"/>
        <v>45139</v>
      </c>
      <c r="C610" s="9" t="str">
        <f>TEXT('Cleaned Datasets'!$B610,"MMMM")</f>
        <v>August</v>
      </c>
      <c r="D610" s="10" t="s">
        <v>48</v>
      </c>
      <c r="E610" s="10" t="s">
        <v>63</v>
      </c>
      <c r="F610" s="10" t="s">
        <v>40</v>
      </c>
      <c r="G610" s="10" t="s">
        <v>14</v>
      </c>
      <c r="H610" s="10" t="s">
        <v>15</v>
      </c>
      <c r="I610" s="10">
        <v>4</v>
      </c>
      <c r="J610" s="10">
        <v>3</v>
      </c>
      <c r="K610" s="10">
        <v>0</v>
      </c>
      <c r="L610" s="10">
        <v>3.3</v>
      </c>
      <c r="M610" s="11">
        <f t="shared" si="28"/>
        <v>0.75</v>
      </c>
      <c r="N610" s="11">
        <f t="shared" si="29"/>
        <v>0</v>
      </c>
    </row>
    <row r="611" spans="1:14" x14ac:dyDescent="0.25">
      <c r="A611" s="12" t="s">
        <v>59</v>
      </c>
      <c r="B611" s="12">
        <f t="shared" si="27"/>
        <v>45170</v>
      </c>
      <c r="C611" s="12" t="str">
        <f>TEXT('Cleaned Datasets'!$B611,"MMMM")</f>
        <v>September</v>
      </c>
      <c r="D611" s="13" t="s">
        <v>16</v>
      </c>
      <c r="E611" s="13" t="s">
        <v>60</v>
      </c>
      <c r="F611" s="13" t="s">
        <v>32</v>
      </c>
      <c r="G611" s="13" t="s">
        <v>30</v>
      </c>
      <c r="H611" s="13" t="s">
        <v>19</v>
      </c>
      <c r="I611" s="13">
        <v>4</v>
      </c>
      <c r="J611" s="13">
        <v>3</v>
      </c>
      <c r="K611" s="13">
        <v>0</v>
      </c>
      <c r="L611" s="13">
        <v>1.1000000000000001</v>
      </c>
      <c r="M611" s="14">
        <f t="shared" si="28"/>
        <v>0.75</v>
      </c>
      <c r="N611" s="14">
        <f t="shared" si="29"/>
        <v>0</v>
      </c>
    </row>
    <row r="612" spans="1:14" x14ac:dyDescent="0.25">
      <c r="A612" s="9" t="s">
        <v>31</v>
      </c>
      <c r="B612" s="9">
        <f t="shared" si="27"/>
        <v>45139</v>
      </c>
      <c r="C612" s="9" t="str">
        <f>TEXT('Cleaned Datasets'!$B612,"MMMM")</f>
        <v>August</v>
      </c>
      <c r="D612" s="10" t="s">
        <v>41</v>
      </c>
      <c r="E612" s="10" t="s">
        <v>42</v>
      </c>
      <c r="F612" s="10" t="s">
        <v>13</v>
      </c>
      <c r="G612" s="10" t="s">
        <v>53</v>
      </c>
      <c r="H612" s="10" t="s">
        <v>19</v>
      </c>
      <c r="I612" s="10">
        <v>4</v>
      </c>
      <c r="J612" s="10">
        <v>4</v>
      </c>
      <c r="K612" s="10">
        <v>0</v>
      </c>
      <c r="L612" s="10">
        <v>1.2</v>
      </c>
      <c r="M612" s="11">
        <f t="shared" si="28"/>
        <v>1</v>
      </c>
      <c r="N612" s="11">
        <f t="shared" si="29"/>
        <v>0</v>
      </c>
    </row>
    <row r="613" spans="1:14" x14ac:dyDescent="0.25">
      <c r="A613" s="12" t="s">
        <v>36</v>
      </c>
      <c r="B613" s="12">
        <f t="shared" si="27"/>
        <v>44986</v>
      </c>
      <c r="C613" s="12" t="str">
        <f>TEXT('Cleaned Datasets'!$B613,"MMMM")</f>
        <v>March</v>
      </c>
      <c r="D613" s="13" t="s">
        <v>41</v>
      </c>
      <c r="E613" s="13" t="s">
        <v>44</v>
      </c>
      <c r="F613" s="13" t="s">
        <v>13</v>
      </c>
      <c r="G613" s="13" t="s">
        <v>27</v>
      </c>
      <c r="H613" s="13" t="s">
        <v>15</v>
      </c>
      <c r="I613" s="13">
        <v>4</v>
      </c>
      <c r="J613" s="13">
        <v>3</v>
      </c>
      <c r="K613" s="13">
        <v>1</v>
      </c>
      <c r="L613" s="13">
        <v>0.8</v>
      </c>
      <c r="M613" s="14">
        <f t="shared" si="28"/>
        <v>0.75</v>
      </c>
      <c r="N613" s="14">
        <f t="shared" si="29"/>
        <v>0.25</v>
      </c>
    </row>
    <row r="614" spans="1:14" x14ac:dyDescent="0.25">
      <c r="A614" s="9" t="s">
        <v>31</v>
      </c>
      <c r="B614" s="9">
        <f t="shared" si="27"/>
        <v>45139</v>
      </c>
      <c r="C614" s="9" t="str">
        <f>TEXT('Cleaned Datasets'!$B614,"MMMM")</f>
        <v>August</v>
      </c>
      <c r="D614" s="10" t="s">
        <v>46</v>
      </c>
      <c r="E614" s="10" t="s">
        <v>54</v>
      </c>
      <c r="F614" s="10" t="s">
        <v>13</v>
      </c>
      <c r="G614" s="10" t="s">
        <v>30</v>
      </c>
      <c r="H614" s="10" t="s">
        <v>19</v>
      </c>
      <c r="I614" s="10">
        <v>3</v>
      </c>
      <c r="J614" s="10">
        <v>2</v>
      </c>
      <c r="K614" s="10">
        <v>0</v>
      </c>
      <c r="L614" s="10">
        <v>2.8</v>
      </c>
      <c r="M614" s="11">
        <f t="shared" si="28"/>
        <v>0.66666666666666663</v>
      </c>
      <c r="N614" s="11">
        <f t="shared" si="29"/>
        <v>0</v>
      </c>
    </row>
    <row r="615" spans="1:14" x14ac:dyDescent="0.25">
      <c r="A615" s="12" t="s">
        <v>45</v>
      </c>
      <c r="B615" s="12">
        <f t="shared" si="27"/>
        <v>45047</v>
      </c>
      <c r="C615" s="12" t="str">
        <f>TEXT('Cleaned Datasets'!$B615,"MMMM")</f>
        <v>May</v>
      </c>
      <c r="D615" s="13" t="s">
        <v>37</v>
      </c>
      <c r="E615" s="13" t="s">
        <v>39</v>
      </c>
      <c r="F615" s="13" t="s">
        <v>32</v>
      </c>
      <c r="G615" s="13" t="s">
        <v>30</v>
      </c>
      <c r="H615" s="13" t="s">
        <v>19</v>
      </c>
      <c r="I615" s="13">
        <v>5</v>
      </c>
      <c r="J615" s="13">
        <v>5</v>
      </c>
      <c r="K615" s="13">
        <v>0</v>
      </c>
      <c r="L615" s="13">
        <v>4.2</v>
      </c>
      <c r="M615" s="14">
        <f t="shared" si="28"/>
        <v>1</v>
      </c>
      <c r="N615" s="14">
        <f t="shared" si="29"/>
        <v>0</v>
      </c>
    </row>
    <row r="616" spans="1:14" x14ac:dyDescent="0.25">
      <c r="A616" s="9" t="s">
        <v>61</v>
      </c>
      <c r="B616" s="9">
        <f t="shared" si="27"/>
        <v>45231</v>
      </c>
      <c r="C616" s="9" t="str">
        <f>TEXT('Cleaned Datasets'!$B616,"MMMM")</f>
        <v>November</v>
      </c>
      <c r="D616" s="10" t="s">
        <v>34</v>
      </c>
      <c r="E616" s="10" t="s">
        <v>35</v>
      </c>
      <c r="F616" s="10" t="s">
        <v>21</v>
      </c>
      <c r="G616" s="10" t="s">
        <v>14</v>
      </c>
      <c r="H616" s="10" t="s">
        <v>19</v>
      </c>
      <c r="I616" s="10">
        <v>3</v>
      </c>
      <c r="J616" s="10">
        <v>3</v>
      </c>
      <c r="K616" s="10">
        <v>0</v>
      </c>
      <c r="L616" s="10">
        <v>2.5</v>
      </c>
      <c r="M616" s="11">
        <f t="shared" si="28"/>
        <v>1</v>
      </c>
      <c r="N616" s="11">
        <f t="shared" si="29"/>
        <v>0</v>
      </c>
    </row>
    <row r="617" spans="1:14" x14ac:dyDescent="0.25">
      <c r="A617" s="12" t="s">
        <v>20</v>
      </c>
      <c r="B617" s="12">
        <f t="shared" si="27"/>
        <v>45078</v>
      </c>
      <c r="C617" s="12" t="str">
        <f>TEXT('Cleaned Datasets'!$B617,"MMMM")</f>
        <v>June</v>
      </c>
      <c r="D617" s="13" t="s">
        <v>48</v>
      </c>
      <c r="E617" s="13" t="s">
        <v>63</v>
      </c>
      <c r="F617" s="13" t="s">
        <v>32</v>
      </c>
      <c r="G617" s="13" t="s">
        <v>27</v>
      </c>
      <c r="H617" s="13" t="s">
        <v>19</v>
      </c>
      <c r="I617" s="13">
        <v>3</v>
      </c>
      <c r="J617" s="13">
        <v>2</v>
      </c>
      <c r="K617" s="13">
        <v>0</v>
      </c>
      <c r="L617" s="13">
        <v>4</v>
      </c>
      <c r="M617" s="14">
        <f t="shared" si="28"/>
        <v>0.66666666666666663</v>
      </c>
      <c r="N617" s="14">
        <f t="shared" si="29"/>
        <v>0</v>
      </c>
    </row>
    <row r="618" spans="1:14" x14ac:dyDescent="0.25">
      <c r="A618" s="9" t="s">
        <v>36</v>
      </c>
      <c r="B618" s="9">
        <f t="shared" si="27"/>
        <v>44986</v>
      </c>
      <c r="C618" s="9" t="str">
        <f>TEXT('Cleaned Datasets'!$B618,"MMMM")</f>
        <v>March</v>
      </c>
      <c r="D618" s="10" t="s">
        <v>41</v>
      </c>
      <c r="E618" s="10" t="s">
        <v>44</v>
      </c>
      <c r="F618" s="10" t="s">
        <v>13</v>
      </c>
      <c r="G618" s="10" t="s">
        <v>53</v>
      </c>
      <c r="H618" s="10" t="s">
        <v>19</v>
      </c>
      <c r="I618" s="10">
        <v>5</v>
      </c>
      <c r="J618" s="10">
        <v>5</v>
      </c>
      <c r="K618" s="10">
        <v>0</v>
      </c>
      <c r="L618" s="10">
        <v>1.9</v>
      </c>
      <c r="M618" s="11">
        <f t="shared" si="28"/>
        <v>1</v>
      </c>
      <c r="N618" s="11">
        <f t="shared" si="29"/>
        <v>0</v>
      </c>
    </row>
    <row r="619" spans="1:14" x14ac:dyDescent="0.25">
      <c r="A619" s="12" t="s">
        <v>43</v>
      </c>
      <c r="B619" s="12">
        <f t="shared" si="27"/>
        <v>44958</v>
      </c>
      <c r="C619" s="12" t="str">
        <f>TEXT('Cleaned Datasets'!$B619,"MMMM")</f>
        <v>February</v>
      </c>
      <c r="D619" s="13" t="s">
        <v>48</v>
      </c>
      <c r="E619" s="13" t="s">
        <v>49</v>
      </c>
      <c r="F619" s="13" t="s">
        <v>21</v>
      </c>
      <c r="G619" s="13" t="s">
        <v>30</v>
      </c>
      <c r="H619" s="13" t="s">
        <v>19</v>
      </c>
      <c r="I619" s="13">
        <v>7</v>
      </c>
      <c r="J619" s="13">
        <v>6</v>
      </c>
      <c r="K619" s="13">
        <v>1</v>
      </c>
      <c r="L619" s="13">
        <v>3.5</v>
      </c>
      <c r="M619" s="14">
        <f t="shared" si="28"/>
        <v>0.8571428571428571</v>
      </c>
      <c r="N619" s="14">
        <f t="shared" si="29"/>
        <v>0.14285714285714285</v>
      </c>
    </row>
    <row r="620" spans="1:14" x14ac:dyDescent="0.25">
      <c r="A620" s="9" t="s">
        <v>36</v>
      </c>
      <c r="B620" s="9">
        <f t="shared" si="27"/>
        <v>44986</v>
      </c>
      <c r="C620" s="9" t="str">
        <f>TEXT('Cleaned Datasets'!$B620,"MMMM")</f>
        <v>March</v>
      </c>
      <c r="D620" s="10" t="s">
        <v>34</v>
      </c>
      <c r="E620" s="10" t="s">
        <v>51</v>
      </c>
      <c r="F620" s="10" t="s">
        <v>40</v>
      </c>
      <c r="G620" s="10" t="s">
        <v>27</v>
      </c>
      <c r="H620" s="10" t="s">
        <v>19</v>
      </c>
      <c r="I620" s="10">
        <v>4</v>
      </c>
      <c r="J620" s="10">
        <v>4</v>
      </c>
      <c r="K620" s="10">
        <v>0</v>
      </c>
      <c r="L620" s="10">
        <v>2.2000000000000002</v>
      </c>
      <c r="M620" s="11">
        <f t="shared" si="28"/>
        <v>1</v>
      </c>
      <c r="N620" s="11">
        <f t="shared" si="29"/>
        <v>0</v>
      </c>
    </row>
    <row r="621" spans="1:14" x14ac:dyDescent="0.25">
      <c r="A621" s="12" t="s">
        <v>20</v>
      </c>
      <c r="B621" s="12">
        <f t="shared" si="27"/>
        <v>45078</v>
      </c>
      <c r="C621" s="12" t="str">
        <f>TEXT('Cleaned Datasets'!$B621,"MMMM")</f>
        <v>June</v>
      </c>
      <c r="D621" s="13" t="s">
        <v>46</v>
      </c>
      <c r="E621" s="13" t="s">
        <v>47</v>
      </c>
      <c r="F621" s="13" t="s">
        <v>26</v>
      </c>
      <c r="G621" s="13" t="s">
        <v>30</v>
      </c>
      <c r="H621" s="13" t="s">
        <v>15</v>
      </c>
      <c r="I621" s="13">
        <v>4</v>
      </c>
      <c r="J621" s="13">
        <v>3</v>
      </c>
      <c r="K621" s="13">
        <v>0</v>
      </c>
      <c r="L621" s="13">
        <v>3.6</v>
      </c>
      <c r="M621" s="14">
        <f t="shared" si="28"/>
        <v>0.75</v>
      </c>
      <c r="N621" s="14">
        <f t="shared" si="29"/>
        <v>0</v>
      </c>
    </row>
    <row r="622" spans="1:14" x14ac:dyDescent="0.25">
      <c r="A622" s="9" t="s">
        <v>55</v>
      </c>
      <c r="B622" s="9">
        <f t="shared" si="27"/>
        <v>45261</v>
      </c>
      <c r="C622" s="9" t="str">
        <f>TEXT('Cleaned Datasets'!$B622,"MMMM")</f>
        <v>December</v>
      </c>
      <c r="D622" s="10" t="s">
        <v>16</v>
      </c>
      <c r="E622" s="10" t="s">
        <v>60</v>
      </c>
      <c r="F622" s="10" t="s">
        <v>32</v>
      </c>
      <c r="G622" s="10" t="s">
        <v>18</v>
      </c>
      <c r="H622" s="10" t="s">
        <v>15</v>
      </c>
      <c r="I622" s="10">
        <v>4</v>
      </c>
      <c r="J622" s="10">
        <v>3</v>
      </c>
      <c r="K622" s="10">
        <v>0</v>
      </c>
      <c r="L622" s="10">
        <v>2.2000000000000002</v>
      </c>
      <c r="M622" s="11">
        <f t="shared" si="28"/>
        <v>0.75</v>
      </c>
      <c r="N622" s="11">
        <f t="shared" si="29"/>
        <v>0</v>
      </c>
    </row>
    <row r="623" spans="1:14" x14ac:dyDescent="0.25">
      <c r="A623" s="12" t="s">
        <v>59</v>
      </c>
      <c r="B623" s="12">
        <f t="shared" si="27"/>
        <v>45170</v>
      </c>
      <c r="C623" s="12" t="str">
        <f>TEXT('Cleaned Datasets'!$B623,"MMMM")</f>
        <v>September</v>
      </c>
      <c r="D623" s="13" t="s">
        <v>48</v>
      </c>
      <c r="E623" s="13" t="s">
        <v>49</v>
      </c>
      <c r="F623" s="13" t="s">
        <v>32</v>
      </c>
      <c r="G623" s="13" t="s">
        <v>14</v>
      </c>
      <c r="H623" s="13" t="s">
        <v>19</v>
      </c>
      <c r="I623" s="13">
        <v>5</v>
      </c>
      <c r="J623" s="13">
        <v>5</v>
      </c>
      <c r="K623" s="13">
        <v>0</v>
      </c>
      <c r="L623" s="13">
        <v>4.0999999999999996</v>
      </c>
      <c r="M623" s="14">
        <f t="shared" si="28"/>
        <v>1</v>
      </c>
      <c r="N623" s="14">
        <f t="shared" si="29"/>
        <v>0</v>
      </c>
    </row>
    <row r="624" spans="1:14" x14ac:dyDescent="0.25">
      <c r="A624" s="9" t="s">
        <v>59</v>
      </c>
      <c r="B624" s="9">
        <f t="shared" si="27"/>
        <v>45170</v>
      </c>
      <c r="C624" s="9" t="str">
        <f>TEXT('Cleaned Datasets'!$B624,"MMMM")</f>
        <v>September</v>
      </c>
      <c r="D624" s="10" t="s">
        <v>16</v>
      </c>
      <c r="E624" s="10" t="s">
        <v>17</v>
      </c>
      <c r="F624" s="10" t="s">
        <v>40</v>
      </c>
      <c r="G624" s="10" t="s">
        <v>14</v>
      </c>
      <c r="H624" s="10" t="s">
        <v>19</v>
      </c>
      <c r="I624" s="10">
        <v>6</v>
      </c>
      <c r="J624" s="10">
        <v>4</v>
      </c>
      <c r="K624" s="10">
        <v>0</v>
      </c>
      <c r="L624" s="10">
        <v>3.2</v>
      </c>
      <c r="M624" s="11">
        <f t="shared" si="28"/>
        <v>0.66666666666666663</v>
      </c>
      <c r="N624" s="11">
        <f t="shared" si="29"/>
        <v>0</v>
      </c>
    </row>
    <row r="625" spans="1:14" x14ac:dyDescent="0.25">
      <c r="A625" s="12" t="s">
        <v>43</v>
      </c>
      <c r="B625" s="12">
        <f t="shared" si="27"/>
        <v>44958</v>
      </c>
      <c r="C625" s="12" t="str">
        <f>TEXT('Cleaned Datasets'!$B625,"MMMM")</f>
        <v>February</v>
      </c>
      <c r="D625" s="13" t="s">
        <v>24</v>
      </c>
      <c r="E625" s="13" t="s">
        <v>25</v>
      </c>
      <c r="F625" s="13" t="s">
        <v>40</v>
      </c>
      <c r="G625" s="13" t="s">
        <v>27</v>
      </c>
      <c r="H625" s="13" t="s">
        <v>19</v>
      </c>
      <c r="I625" s="13">
        <v>3</v>
      </c>
      <c r="J625" s="13">
        <v>3</v>
      </c>
      <c r="K625" s="13">
        <v>0</v>
      </c>
      <c r="L625" s="13">
        <v>3.4</v>
      </c>
      <c r="M625" s="14">
        <f t="shared" si="28"/>
        <v>1</v>
      </c>
      <c r="N625" s="14">
        <f t="shared" si="29"/>
        <v>0</v>
      </c>
    </row>
    <row r="626" spans="1:14" x14ac:dyDescent="0.25">
      <c r="A626" s="9" t="s">
        <v>20</v>
      </c>
      <c r="B626" s="9">
        <f t="shared" si="27"/>
        <v>45078</v>
      </c>
      <c r="C626" s="9" t="str">
        <f>TEXT('Cleaned Datasets'!$B626,"MMMM")</f>
        <v>June</v>
      </c>
      <c r="D626" s="10" t="s">
        <v>46</v>
      </c>
      <c r="E626" s="10" t="s">
        <v>47</v>
      </c>
      <c r="F626" s="10" t="s">
        <v>26</v>
      </c>
      <c r="G626" s="10" t="s">
        <v>18</v>
      </c>
      <c r="H626" s="10" t="s">
        <v>19</v>
      </c>
      <c r="I626" s="10">
        <v>3</v>
      </c>
      <c r="J626" s="10">
        <v>3</v>
      </c>
      <c r="K626" s="10">
        <v>0</v>
      </c>
      <c r="L626" s="10">
        <v>4.3</v>
      </c>
      <c r="M626" s="11">
        <f t="shared" si="28"/>
        <v>1</v>
      </c>
      <c r="N626" s="11">
        <f t="shared" si="29"/>
        <v>0</v>
      </c>
    </row>
    <row r="627" spans="1:14" x14ac:dyDescent="0.25">
      <c r="A627" s="12" t="s">
        <v>20</v>
      </c>
      <c r="B627" s="12">
        <f t="shared" si="27"/>
        <v>45078</v>
      </c>
      <c r="C627" s="12" t="str">
        <f>TEXT('Cleaned Datasets'!$B627,"MMMM")</f>
        <v>June</v>
      </c>
      <c r="D627" s="13" t="s">
        <v>24</v>
      </c>
      <c r="E627" s="13" t="s">
        <v>25</v>
      </c>
      <c r="F627" s="13" t="s">
        <v>21</v>
      </c>
      <c r="G627" s="13" t="s">
        <v>18</v>
      </c>
      <c r="H627" s="13" t="s">
        <v>15</v>
      </c>
      <c r="I627" s="13">
        <v>5</v>
      </c>
      <c r="J627" s="13">
        <v>5</v>
      </c>
      <c r="K627" s="13">
        <v>1</v>
      </c>
      <c r="L627" s="13">
        <v>1.7</v>
      </c>
      <c r="M627" s="14">
        <f t="shared" si="28"/>
        <v>1</v>
      </c>
      <c r="N627" s="14">
        <f t="shared" si="29"/>
        <v>0.2</v>
      </c>
    </row>
    <row r="628" spans="1:14" x14ac:dyDescent="0.25">
      <c r="A628" s="9" t="s">
        <v>59</v>
      </c>
      <c r="B628" s="9">
        <f t="shared" si="27"/>
        <v>45170</v>
      </c>
      <c r="C628" s="9" t="str">
        <f>TEXT('Cleaned Datasets'!$B628,"MMMM")</f>
        <v>September</v>
      </c>
      <c r="D628" s="10" t="s">
        <v>11</v>
      </c>
      <c r="E628" s="10" t="s">
        <v>52</v>
      </c>
      <c r="F628" s="10" t="s">
        <v>32</v>
      </c>
      <c r="G628" s="10" t="s">
        <v>14</v>
      </c>
      <c r="H628" s="10" t="s">
        <v>15</v>
      </c>
      <c r="I628" s="10">
        <v>9</v>
      </c>
      <c r="J628" s="10">
        <v>7</v>
      </c>
      <c r="K628" s="10">
        <v>0</v>
      </c>
      <c r="L628" s="10">
        <v>3.1</v>
      </c>
      <c r="M628" s="11">
        <f t="shared" si="28"/>
        <v>0.77777777777777779</v>
      </c>
      <c r="N628" s="11">
        <f t="shared" si="29"/>
        <v>0</v>
      </c>
    </row>
    <row r="629" spans="1:14" x14ac:dyDescent="0.25">
      <c r="A629" s="12" t="s">
        <v>50</v>
      </c>
      <c r="B629" s="12">
        <f t="shared" si="27"/>
        <v>45108</v>
      </c>
      <c r="C629" s="12" t="str">
        <f>TEXT('Cleaned Datasets'!$B629,"MMMM")</f>
        <v>July</v>
      </c>
      <c r="D629" s="13" t="s">
        <v>46</v>
      </c>
      <c r="E629" s="13" t="s">
        <v>54</v>
      </c>
      <c r="F629" s="13" t="s">
        <v>21</v>
      </c>
      <c r="G629" s="13" t="s">
        <v>27</v>
      </c>
      <c r="H629" s="13" t="s">
        <v>15</v>
      </c>
      <c r="I629" s="13">
        <v>8</v>
      </c>
      <c r="J629" s="13">
        <v>6</v>
      </c>
      <c r="K629" s="13">
        <v>1</v>
      </c>
      <c r="L629" s="13">
        <v>3.1</v>
      </c>
      <c r="M629" s="14">
        <f t="shared" si="28"/>
        <v>0.75</v>
      </c>
      <c r="N629" s="14">
        <f t="shared" si="29"/>
        <v>0.125</v>
      </c>
    </row>
    <row r="630" spans="1:14" x14ac:dyDescent="0.25">
      <c r="A630" s="9" t="s">
        <v>23</v>
      </c>
      <c r="B630" s="9">
        <f t="shared" si="27"/>
        <v>45200</v>
      </c>
      <c r="C630" s="9" t="str">
        <f>TEXT('Cleaned Datasets'!$B630,"MMMM")</f>
        <v>October</v>
      </c>
      <c r="D630" s="10" t="s">
        <v>41</v>
      </c>
      <c r="E630" s="10" t="s">
        <v>44</v>
      </c>
      <c r="F630" s="10" t="s">
        <v>26</v>
      </c>
      <c r="G630" s="10" t="s">
        <v>22</v>
      </c>
      <c r="H630" s="10" t="s">
        <v>19</v>
      </c>
      <c r="I630" s="10">
        <v>2</v>
      </c>
      <c r="J630" s="10">
        <v>1</v>
      </c>
      <c r="K630" s="10">
        <v>0</v>
      </c>
      <c r="L630" s="10">
        <v>2</v>
      </c>
      <c r="M630" s="11">
        <f t="shared" si="28"/>
        <v>0.5</v>
      </c>
      <c r="N630" s="11">
        <f t="shared" si="29"/>
        <v>0</v>
      </c>
    </row>
    <row r="631" spans="1:14" x14ac:dyDescent="0.25">
      <c r="A631" s="12" t="s">
        <v>55</v>
      </c>
      <c r="B631" s="12">
        <f t="shared" si="27"/>
        <v>45261</v>
      </c>
      <c r="C631" s="12" t="str">
        <f>TEXT('Cleaned Datasets'!$B631,"MMMM")</f>
        <v>December</v>
      </c>
      <c r="D631" s="13" t="s">
        <v>48</v>
      </c>
      <c r="E631" s="13" t="s">
        <v>49</v>
      </c>
      <c r="F631" s="13" t="s">
        <v>22</v>
      </c>
      <c r="G631" s="13" t="s">
        <v>30</v>
      </c>
      <c r="H631" s="13" t="s">
        <v>19</v>
      </c>
      <c r="I631" s="13">
        <v>3</v>
      </c>
      <c r="J631" s="13">
        <v>3</v>
      </c>
      <c r="K631" s="13">
        <v>0</v>
      </c>
      <c r="L631" s="13">
        <v>3.9</v>
      </c>
      <c r="M631" s="14">
        <f t="shared" si="28"/>
        <v>1</v>
      </c>
      <c r="N631" s="14">
        <f t="shared" si="29"/>
        <v>0</v>
      </c>
    </row>
    <row r="632" spans="1:14" x14ac:dyDescent="0.25">
      <c r="A632" s="9" t="s">
        <v>50</v>
      </c>
      <c r="B632" s="9">
        <f t="shared" si="27"/>
        <v>45108</v>
      </c>
      <c r="C632" s="9" t="str">
        <f>TEXT('Cleaned Datasets'!$B632,"MMMM")</f>
        <v>July</v>
      </c>
      <c r="D632" s="10" t="s">
        <v>24</v>
      </c>
      <c r="E632" s="10" t="s">
        <v>25</v>
      </c>
      <c r="F632" s="10" t="s">
        <v>22</v>
      </c>
      <c r="G632" s="10" t="s">
        <v>18</v>
      </c>
      <c r="H632" s="10" t="s">
        <v>19</v>
      </c>
      <c r="I632" s="10">
        <v>4</v>
      </c>
      <c r="J632" s="10">
        <v>4</v>
      </c>
      <c r="K632" s="10">
        <v>1</v>
      </c>
      <c r="L632" s="10">
        <v>3.8</v>
      </c>
      <c r="M632" s="11">
        <f t="shared" si="28"/>
        <v>1</v>
      </c>
      <c r="N632" s="11">
        <f t="shared" si="29"/>
        <v>0.25</v>
      </c>
    </row>
    <row r="633" spans="1:14" x14ac:dyDescent="0.25">
      <c r="A633" s="12" t="s">
        <v>59</v>
      </c>
      <c r="B633" s="12">
        <f t="shared" si="27"/>
        <v>45170</v>
      </c>
      <c r="C633" s="12" t="str">
        <f>TEXT('Cleaned Datasets'!$B633,"MMMM")</f>
        <v>September</v>
      </c>
      <c r="D633" s="13" t="s">
        <v>34</v>
      </c>
      <c r="E633" s="13" t="s">
        <v>35</v>
      </c>
      <c r="F633" s="13" t="s">
        <v>32</v>
      </c>
      <c r="G633" s="13" t="s">
        <v>18</v>
      </c>
      <c r="H633" s="13" t="s">
        <v>19</v>
      </c>
      <c r="I633" s="13">
        <v>8</v>
      </c>
      <c r="J633" s="13">
        <v>5</v>
      </c>
      <c r="K633" s="13">
        <v>2</v>
      </c>
      <c r="L633" s="13">
        <v>2.4</v>
      </c>
      <c r="M633" s="14">
        <f t="shared" si="28"/>
        <v>0.625</v>
      </c>
      <c r="N633" s="14">
        <f t="shared" si="29"/>
        <v>0.25</v>
      </c>
    </row>
    <row r="634" spans="1:14" x14ac:dyDescent="0.25">
      <c r="A634" s="9" t="s">
        <v>31</v>
      </c>
      <c r="B634" s="9">
        <f t="shared" si="27"/>
        <v>45139</v>
      </c>
      <c r="C634" s="9" t="str">
        <f>TEXT('Cleaned Datasets'!$B634,"MMMM")</f>
        <v>August</v>
      </c>
      <c r="D634" s="10" t="s">
        <v>11</v>
      </c>
      <c r="E634" s="10" t="s">
        <v>12</v>
      </c>
      <c r="F634" s="10" t="s">
        <v>21</v>
      </c>
      <c r="G634" s="10" t="s">
        <v>27</v>
      </c>
      <c r="H634" s="10" t="s">
        <v>19</v>
      </c>
      <c r="I634" s="10">
        <v>2</v>
      </c>
      <c r="J634" s="10">
        <v>2</v>
      </c>
      <c r="K634" s="10">
        <v>0</v>
      </c>
      <c r="L634" s="10">
        <v>2.2999999999999998</v>
      </c>
      <c r="M634" s="11">
        <f t="shared" si="28"/>
        <v>1</v>
      </c>
      <c r="N634" s="11">
        <f t="shared" si="29"/>
        <v>0</v>
      </c>
    </row>
    <row r="635" spans="1:14" x14ac:dyDescent="0.25">
      <c r="A635" s="12" t="s">
        <v>59</v>
      </c>
      <c r="B635" s="12">
        <f t="shared" si="27"/>
        <v>45170</v>
      </c>
      <c r="C635" s="12" t="str">
        <f>TEXT('Cleaned Datasets'!$B635,"MMMM")</f>
        <v>September</v>
      </c>
      <c r="D635" s="13" t="s">
        <v>41</v>
      </c>
      <c r="E635" s="13" t="s">
        <v>44</v>
      </c>
      <c r="F635" s="13" t="s">
        <v>40</v>
      </c>
      <c r="G635" s="13" t="s">
        <v>30</v>
      </c>
      <c r="H635" s="13" t="s">
        <v>15</v>
      </c>
      <c r="I635" s="13">
        <v>7</v>
      </c>
      <c r="J635" s="13">
        <v>7</v>
      </c>
      <c r="K635" s="13">
        <v>0</v>
      </c>
      <c r="L635" s="13">
        <v>2.8</v>
      </c>
      <c r="M635" s="14">
        <f t="shared" si="28"/>
        <v>1</v>
      </c>
      <c r="N635" s="14">
        <f t="shared" si="29"/>
        <v>0</v>
      </c>
    </row>
    <row r="636" spans="1:14" x14ac:dyDescent="0.25">
      <c r="A636" s="9" t="s">
        <v>45</v>
      </c>
      <c r="B636" s="9">
        <f t="shared" si="27"/>
        <v>45047</v>
      </c>
      <c r="C636" s="9" t="str">
        <f>TEXT('Cleaned Datasets'!$B636,"MMMM")</f>
        <v>May</v>
      </c>
      <c r="D636" s="10" t="s">
        <v>24</v>
      </c>
      <c r="E636" s="10" t="s">
        <v>64</v>
      </c>
      <c r="F636" s="10" t="s">
        <v>22</v>
      </c>
      <c r="G636" s="10" t="s">
        <v>14</v>
      </c>
      <c r="H636" s="10" t="s">
        <v>19</v>
      </c>
      <c r="I636" s="10">
        <v>7</v>
      </c>
      <c r="J636" s="10">
        <v>7</v>
      </c>
      <c r="K636" s="10">
        <v>0</v>
      </c>
      <c r="L636" s="10">
        <v>2.4</v>
      </c>
      <c r="M636" s="11">
        <f t="shared" si="28"/>
        <v>1</v>
      </c>
      <c r="N636" s="11">
        <f t="shared" si="29"/>
        <v>0</v>
      </c>
    </row>
    <row r="637" spans="1:14" x14ac:dyDescent="0.25">
      <c r="A637" s="12" t="s">
        <v>10</v>
      </c>
      <c r="B637" s="12">
        <f t="shared" si="27"/>
        <v>45017</v>
      </c>
      <c r="C637" s="12" t="str">
        <f>TEXT('Cleaned Datasets'!$B637,"MMMM")</f>
        <v>April</v>
      </c>
      <c r="D637" s="13" t="s">
        <v>56</v>
      </c>
      <c r="E637" s="13" t="s">
        <v>57</v>
      </c>
      <c r="F637" s="13" t="s">
        <v>26</v>
      </c>
      <c r="G637" s="13" t="s">
        <v>18</v>
      </c>
      <c r="H637" s="13" t="s">
        <v>19</v>
      </c>
      <c r="I637" s="13">
        <v>9</v>
      </c>
      <c r="J637" s="13">
        <v>8</v>
      </c>
      <c r="K637" s="13">
        <v>0</v>
      </c>
      <c r="L637" s="13">
        <v>3.2</v>
      </c>
      <c r="M637" s="14">
        <f t="shared" si="28"/>
        <v>0.88888888888888884</v>
      </c>
      <c r="N637" s="14">
        <f t="shared" si="29"/>
        <v>0</v>
      </c>
    </row>
    <row r="638" spans="1:14" x14ac:dyDescent="0.25">
      <c r="A638" s="9" t="s">
        <v>43</v>
      </c>
      <c r="B638" s="9">
        <f t="shared" si="27"/>
        <v>44958</v>
      </c>
      <c r="C638" s="9" t="str">
        <f>TEXT('Cleaned Datasets'!$B638,"MMMM")</f>
        <v>February</v>
      </c>
      <c r="D638" s="10" t="s">
        <v>48</v>
      </c>
      <c r="E638" s="10" t="s">
        <v>63</v>
      </c>
      <c r="F638" s="10" t="s">
        <v>40</v>
      </c>
      <c r="G638" s="10" t="s">
        <v>22</v>
      </c>
      <c r="H638" s="10" t="s">
        <v>19</v>
      </c>
      <c r="I638" s="10">
        <v>2</v>
      </c>
      <c r="J638" s="10">
        <v>2</v>
      </c>
      <c r="K638" s="10">
        <v>0</v>
      </c>
      <c r="L638" s="10">
        <v>2.2999999999999998</v>
      </c>
      <c r="M638" s="11">
        <f t="shared" si="28"/>
        <v>1</v>
      </c>
      <c r="N638" s="11">
        <f t="shared" si="29"/>
        <v>0</v>
      </c>
    </row>
    <row r="639" spans="1:14" x14ac:dyDescent="0.25">
      <c r="A639" s="12" t="s">
        <v>33</v>
      </c>
      <c r="B639" s="12">
        <f t="shared" si="27"/>
        <v>44927</v>
      </c>
      <c r="C639" s="12" t="str">
        <f>TEXT('Cleaned Datasets'!$B639,"MMMM")</f>
        <v>January</v>
      </c>
      <c r="D639" s="13" t="s">
        <v>11</v>
      </c>
      <c r="E639" s="13" t="s">
        <v>52</v>
      </c>
      <c r="F639" s="13" t="s">
        <v>32</v>
      </c>
      <c r="G639" s="13" t="s">
        <v>27</v>
      </c>
      <c r="H639" s="13" t="s">
        <v>19</v>
      </c>
      <c r="I639" s="13">
        <v>7</v>
      </c>
      <c r="J639" s="13">
        <v>6</v>
      </c>
      <c r="K639" s="13">
        <v>0</v>
      </c>
      <c r="L639" s="13">
        <v>2.2999999999999998</v>
      </c>
      <c r="M639" s="14">
        <f t="shared" si="28"/>
        <v>0.8571428571428571</v>
      </c>
      <c r="N639" s="14">
        <f t="shared" si="29"/>
        <v>0</v>
      </c>
    </row>
    <row r="640" spans="1:14" x14ac:dyDescent="0.25">
      <c r="A640" s="9" t="s">
        <v>31</v>
      </c>
      <c r="B640" s="9">
        <f t="shared" si="27"/>
        <v>45139</v>
      </c>
      <c r="C640" s="9" t="str">
        <f>TEXT('Cleaned Datasets'!$B640,"MMMM")</f>
        <v>August</v>
      </c>
      <c r="D640" s="10" t="s">
        <v>56</v>
      </c>
      <c r="E640" s="10" t="s">
        <v>62</v>
      </c>
      <c r="F640" s="10" t="s">
        <v>40</v>
      </c>
      <c r="G640" s="10" t="s">
        <v>53</v>
      </c>
      <c r="H640" s="10" t="s">
        <v>15</v>
      </c>
      <c r="I640" s="10">
        <v>1</v>
      </c>
      <c r="J640" s="10">
        <v>1</v>
      </c>
      <c r="K640" s="10">
        <v>0</v>
      </c>
      <c r="L640" s="10">
        <v>2.8</v>
      </c>
      <c r="M640" s="11">
        <f t="shared" si="28"/>
        <v>1</v>
      </c>
      <c r="N640" s="11">
        <f t="shared" si="29"/>
        <v>0</v>
      </c>
    </row>
    <row r="641" spans="1:14" x14ac:dyDescent="0.25">
      <c r="A641" s="12" t="s">
        <v>33</v>
      </c>
      <c r="B641" s="12">
        <f t="shared" si="27"/>
        <v>44927</v>
      </c>
      <c r="C641" s="12" t="str">
        <f>TEXT('Cleaned Datasets'!$B641,"MMMM")</f>
        <v>January</v>
      </c>
      <c r="D641" s="13" t="s">
        <v>16</v>
      </c>
      <c r="E641" s="13" t="s">
        <v>17</v>
      </c>
      <c r="F641" s="13" t="s">
        <v>22</v>
      </c>
      <c r="G641" s="13" t="s">
        <v>27</v>
      </c>
      <c r="H641" s="13" t="s">
        <v>15</v>
      </c>
      <c r="I641" s="13">
        <v>7</v>
      </c>
      <c r="J641" s="13">
        <v>7</v>
      </c>
      <c r="K641" s="13">
        <v>0</v>
      </c>
      <c r="L641" s="13">
        <v>3</v>
      </c>
      <c r="M641" s="14">
        <f t="shared" si="28"/>
        <v>1</v>
      </c>
      <c r="N641" s="14">
        <f t="shared" si="29"/>
        <v>0</v>
      </c>
    </row>
    <row r="642" spans="1:14" x14ac:dyDescent="0.25">
      <c r="A642" s="9" t="s">
        <v>20</v>
      </c>
      <c r="B642" s="9">
        <f t="shared" si="27"/>
        <v>45078</v>
      </c>
      <c r="C642" s="9" t="str">
        <f>TEXT('Cleaned Datasets'!$B642,"MMMM")</f>
        <v>June</v>
      </c>
      <c r="D642" s="10" t="s">
        <v>34</v>
      </c>
      <c r="E642" s="10" t="s">
        <v>35</v>
      </c>
      <c r="F642" s="10" t="s">
        <v>21</v>
      </c>
      <c r="G642" s="10" t="s">
        <v>18</v>
      </c>
      <c r="H642" s="10" t="s">
        <v>19</v>
      </c>
      <c r="I642" s="10">
        <v>7</v>
      </c>
      <c r="J642" s="10">
        <v>6</v>
      </c>
      <c r="K642" s="10">
        <v>0</v>
      </c>
      <c r="L642" s="10">
        <v>3</v>
      </c>
      <c r="M642" s="11">
        <f t="shared" si="28"/>
        <v>0.8571428571428571</v>
      </c>
      <c r="N642" s="11">
        <f t="shared" si="29"/>
        <v>0</v>
      </c>
    </row>
    <row r="643" spans="1:14" x14ac:dyDescent="0.25">
      <c r="A643" s="12" t="s">
        <v>23</v>
      </c>
      <c r="B643" s="12">
        <f t="shared" ref="B643:B706" si="30">DATE(LEFT(A643,4), RIGHT(A643,2), 1)</f>
        <v>45200</v>
      </c>
      <c r="C643" s="12" t="str">
        <f>TEXT('Cleaned Datasets'!$B643,"MMMM")</f>
        <v>October</v>
      </c>
      <c r="D643" s="13" t="s">
        <v>37</v>
      </c>
      <c r="E643" s="13" t="s">
        <v>38</v>
      </c>
      <c r="F643" s="13" t="s">
        <v>26</v>
      </c>
      <c r="G643" s="13" t="s">
        <v>53</v>
      </c>
      <c r="H643" s="13" t="s">
        <v>19</v>
      </c>
      <c r="I643" s="13">
        <v>8</v>
      </c>
      <c r="J643" s="13">
        <v>7</v>
      </c>
      <c r="K643" s="13">
        <v>0</v>
      </c>
      <c r="L643" s="13">
        <v>3.2</v>
      </c>
      <c r="M643" s="14">
        <f t="shared" ref="M643:M706" si="31">IFERROR(J643/I643,0)</f>
        <v>0.875</v>
      </c>
      <c r="N643" s="14">
        <f t="shared" ref="N643:N706" si="32">IFERROR(K643/I643,0)</f>
        <v>0</v>
      </c>
    </row>
    <row r="644" spans="1:14" x14ac:dyDescent="0.25">
      <c r="A644" s="9" t="s">
        <v>43</v>
      </c>
      <c r="B644" s="9">
        <f t="shared" si="30"/>
        <v>44958</v>
      </c>
      <c r="C644" s="9" t="str">
        <f>TEXT('Cleaned Datasets'!$B644,"MMMM")</f>
        <v>February</v>
      </c>
      <c r="D644" s="10" t="s">
        <v>48</v>
      </c>
      <c r="E644" s="10" t="s">
        <v>49</v>
      </c>
      <c r="F644" s="10" t="s">
        <v>13</v>
      </c>
      <c r="G644" s="10" t="s">
        <v>53</v>
      </c>
      <c r="H644" s="10" t="s">
        <v>15</v>
      </c>
      <c r="I644" s="10">
        <v>7</v>
      </c>
      <c r="J644" s="10">
        <v>7</v>
      </c>
      <c r="K644" s="10">
        <v>0</v>
      </c>
      <c r="L644" s="10">
        <v>4.5</v>
      </c>
      <c r="M644" s="11">
        <f t="shared" si="31"/>
        <v>1</v>
      </c>
      <c r="N644" s="11">
        <f t="shared" si="32"/>
        <v>0</v>
      </c>
    </row>
    <row r="645" spans="1:14" x14ac:dyDescent="0.25">
      <c r="A645" s="12" t="s">
        <v>45</v>
      </c>
      <c r="B645" s="12">
        <f t="shared" si="30"/>
        <v>45047</v>
      </c>
      <c r="C645" s="12" t="str">
        <f>TEXT('Cleaned Datasets'!$B645,"MMMM")</f>
        <v>May</v>
      </c>
      <c r="D645" s="13" t="s">
        <v>11</v>
      </c>
      <c r="E645" s="13" t="s">
        <v>52</v>
      </c>
      <c r="F645" s="13" t="s">
        <v>21</v>
      </c>
      <c r="G645" s="13" t="s">
        <v>22</v>
      </c>
      <c r="H645" s="13" t="s">
        <v>19</v>
      </c>
      <c r="I645" s="13">
        <v>5</v>
      </c>
      <c r="J645" s="13">
        <v>5</v>
      </c>
      <c r="K645" s="13">
        <v>0</v>
      </c>
      <c r="L645" s="13">
        <v>2.7</v>
      </c>
      <c r="M645" s="14">
        <f t="shared" si="31"/>
        <v>1</v>
      </c>
      <c r="N645" s="14">
        <f t="shared" si="32"/>
        <v>0</v>
      </c>
    </row>
    <row r="646" spans="1:14" x14ac:dyDescent="0.25">
      <c r="A646" s="9" t="s">
        <v>31</v>
      </c>
      <c r="B646" s="9">
        <f t="shared" si="30"/>
        <v>45139</v>
      </c>
      <c r="C646" s="9" t="str">
        <f>TEXT('Cleaned Datasets'!$B646,"MMMM")</f>
        <v>August</v>
      </c>
      <c r="D646" s="10" t="s">
        <v>56</v>
      </c>
      <c r="E646" s="10" t="s">
        <v>62</v>
      </c>
      <c r="F646" s="10" t="s">
        <v>40</v>
      </c>
      <c r="G646" s="10" t="s">
        <v>18</v>
      </c>
      <c r="H646" s="10" t="s">
        <v>15</v>
      </c>
      <c r="I646" s="10">
        <v>6</v>
      </c>
      <c r="J646" s="10">
        <v>5</v>
      </c>
      <c r="K646" s="10">
        <v>0</v>
      </c>
      <c r="L646" s="10">
        <v>3.9</v>
      </c>
      <c r="M646" s="11">
        <f t="shared" si="31"/>
        <v>0.83333333333333337</v>
      </c>
      <c r="N646" s="11">
        <f t="shared" si="32"/>
        <v>0</v>
      </c>
    </row>
    <row r="647" spans="1:14" x14ac:dyDescent="0.25">
      <c r="A647" s="12" t="s">
        <v>59</v>
      </c>
      <c r="B647" s="12">
        <f t="shared" si="30"/>
        <v>45170</v>
      </c>
      <c r="C647" s="12" t="str">
        <f>TEXT('Cleaned Datasets'!$B647,"MMMM")</f>
        <v>September</v>
      </c>
      <c r="D647" s="13" t="s">
        <v>34</v>
      </c>
      <c r="E647" s="13" t="s">
        <v>35</v>
      </c>
      <c r="F647" s="13" t="s">
        <v>21</v>
      </c>
      <c r="G647" s="13" t="s">
        <v>22</v>
      </c>
      <c r="H647" s="13" t="s">
        <v>19</v>
      </c>
      <c r="I647" s="13">
        <v>5</v>
      </c>
      <c r="J647" s="13">
        <v>3</v>
      </c>
      <c r="K647" s="13">
        <v>0</v>
      </c>
      <c r="L647" s="13">
        <v>3.7</v>
      </c>
      <c r="M647" s="14">
        <f t="shared" si="31"/>
        <v>0.6</v>
      </c>
      <c r="N647" s="14">
        <f t="shared" si="32"/>
        <v>0</v>
      </c>
    </row>
    <row r="648" spans="1:14" x14ac:dyDescent="0.25">
      <c r="A648" s="9" t="s">
        <v>10</v>
      </c>
      <c r="B648" s="9">
        <f t="shared" si="30"/>
        <v>45017</v>
      </c>
      <c r="C648" s="9" t="str">
        <f>TEXT('Cleaned Datasets'!$B648,"MMMM")</f>
        <v>April</v>
      </c>
      <c r="D648" s="10" t="s">
        <v>11</v>
      </c>
      <c r="E648" s="10" t="s">
        <v>12</v>
      </c>
      <c r="F648" s="10" t="s">
        <v>22</v>
      </c>
      <c r="G648" s="10" t="s">
        <v>27</v>
      </c>
      <c r="H648" s="10" t="s">
        <v>19</v>
      </c>
      <c r="I648" s="10">
        <v>5</v>
      </c>
      <c r="J648" s="10">
        <v>5</v>
      </c>
      <c r="K648" s="10">
        <v>0</v>
      </c>
      <c r="L648" s="10">
        <v>1.7</v>
      </c>
      <c r="M648" s="11">
        <f t="shared" si="31"/>
        <v>1</v>
      </c>
      <c r="N648" s="11">
        <f t="shared" si="32"/>
        <v>0</v>
      </c>
    </row>
    <row r="649" spans="1:14" x14ac:dyDescent="0.25">
      <c r="A649" s="12" t="s">
        <v>23</v>
      </c>
      <c r="B649" s="12">
        <f t="shared" si="30"/>
        <v>45200</v>
      </c>
      <c r="C649" s="12" t="str">
        <f>TEXT('Cleaned Datasets'!$B649,"MMMM")</f>
        <v>October</v>
      </c>
      <c r="D649" s="13" t="s">
        <v>16</v>
      </c>
      <c r="E649" s="13" t="s">
        <v>17</v>
      </c>
      <c r="F649" s="13" t="s">
        <v>40</v>
      </c>
      <c r="G649" s="13" t="s">
        <v>30</v>
      </c>
      <c r="H649" s="13" t="s">
        <v>19</v>
      </c>
      <c r="I649" s="13">
        <v>1</v>
      </c>
      <c r="J649" s="13">
        <v>1</v>
      </c>
      <c r="K649" s="13">
        <v>0</v>
      </c>
      <c r="L649" s="13">
        <v>1.8</v>
      </c>
      <c r="M649" s="14">
        <f t="shared" si="31"/>
        <v>1</v>
      </c>
      <c r="N649" s="14">
        <f t="shared" si="32"/>
        <v>0</v>
      </c>
    </row>
    <row r="650" spans="1:14" x14ac:dyDescent="0.25">
      <c r="A650" s="9" t="s">
        <v>50</v>
      </c>
      <c r="B650" s="9">
        <f t="shared" si="30"/>
        <v>45108</v>
      </c>
      <c r="C650" s="9" t="str">
        <f>TEXT('Cleaned Datasets'!$B650,"MMMM")</f>
        <v>July</v>
      </c>
      <c r="D650" s="10" t="s">
        <v>37</v>
      </c>
      <c r="E650" s="10" t="s">
        <v>39</v>
      </c>
      <c r="F650" s="10" t="s">
        <v>32</v>
      </c>
      <c r="G650" s="10" t="s">
        <v>22</v>
      </c>
      <c r="H650" s="10" t="s">
        <v>19</v>
      </c>
      <c r="I650" s="10">
        <v>3</v>
      </c>
      <c r="J650" s="10">
        <v>3</v>
      </c>
      <c r="K650" s="10">
        <v>0</v>
      </c>
      <c r="L650" s="10">
        <v>4.3</v>
      </c>
      <c r="M650" s="11">
        <f t="shared" si="31"/>
        <v>1</v>
      </c>
      <c r="N650" s="11">
        <f t="shared" si="32"/>
        <v>0</v>
      </c>
    </row>
    <row r="651" spans="1:14" x14ac:dyDescent="0.25">
      <c r="A651" s="12" t="s">
        <v>45</v>
      </c>
      <c r="B651" s="12">
        <f t="shared" si="30"/>
        <v>45047</v>
      </c>
      <c r="C651" s="12" t="str">
        <f>TEXT('Cleaned Datasets'!$B651,"MMMM")</f>
        <v>May</v>
      </c>
      <c r="D651" s="13" t="s">
        <v>46</v>
      </c>
      <c r="E651" s="13" t="s">
        <v>47</v>
      </c>
      <c r="F651" s="13" t="s">
        <v>22</v>
      </c>
      <c r="G651" s="13" t="s">
        <v>30</v>
      </c>
      <c r="H651" s="13" t="s">
        <v>15</v>
      </c>
      <c r="I651" s="13">
        <v>8</v>
      </c>
      <c r="J651" s="13">
        <v>6</v>
      </c>
      <c r="K651" s="13">
        <v>1</v>
      </c>
      <c r="L651" s="13">
        <v>2.4</v>
      </c>
      <c r="M651" s="14">
        <f t="shared" si="31"/>
        <v>0.75</v>
      </c>
      <c r="N651" s="14">
        <f t="shared" si="32"/>
        <v>0.125</v>
      </c>
    </row>
    <row r="652" spans="1:14" x14ac:dyDescent="0.25">
      <c r="A652" s="9" t="s">
        <v>61</v>
      </c>
      <c r="B652" s="9">
        <f t="shared" si="30"/>
        <v>45231</v>
      </c>
      <c r="C652" s="9" t="str">
        <f>TEXT('Cleaned Datasets'!$B652,"MMMM")</f>
        <v>November</v>
      </c>
      <c r="D652" s="10" t="s">
        <v>28</v>
      </c>
      <c r="E652" s="10" t="s">
        <v>58</v>
      </c>
      <c r="F652" s="10" t="s">
        <v>26</v>
      </c>
      <c r="G652" s="10" t="s">
        <v>18</v>
      </c>
      <c r="H652" s="10" t="s">
        <v>15</v>
      </c>
      <c r="I652" s="10">
        <v>6</v>
      </c>
      <c r="J652" s="10">
        <v>6</v>
      </c>
      <c r="K652" s="10">
        <v>0</v>
      </c>
      <c r="L652" s="10">
        <v>4.9000000000000004</v>
      </c>
      <c r="M652" s="11">
        <f t="shared" si="31"/>
        <v>1</v>
      </c>
      <c r="N652" s="11">
        <f t="shared" si="32"/>
        <v>0</v>
      </c>
    </row>
    <row r="653" spans="1:14" x14ac:dyDescent="0.25">
      <c r="A653" s="12" t="s">
        <v>61</v>
      </c>
      <c r="B653" s="12">
        <f t="shared" si="30"/>
        <v>45231</v>
      </c>
      <c r="C653" s="12" t="str">
        <f>TEXT('Cleaned Datasets'!$B653,"MMMM")</f>
        <v>November</v>
      </c>
      <c r="D653" s="13" t="s">
        <v>56</v>
      </c>
      <c r="E653" s="13" t="s">
        <v>57</v>
      </c>
      <c r="F653" s="13" t="s">
        <v>40</v>
      </c>
      <c r="G653" s="13" t="s">
        <v>30</v>
      </c>
      <c r="H653" s="13" t="s">
        <v>19</v>
      </c>
      <c r="I653" s="13">
        <v>2</v>
      </c>
      <c r="J653" s="13">
        <v>2</v>
      </c>
      <c r="K653" s="13">
        <v>0</v>
      </c>
      <c r="L653" s="13">
        <v>4</v>
      </c>
      <c r="M653" s="14">
        <f t="shared" si="31"/>
        <v>1</v>
      </c>
      <c r="N653" s="14">
        <f t="shared" si="32"/>
        <v>0</v>
      </c>
    </row>
    <row r="654" spans="1:14" x14ac:dyDescent="0.25">
      <c r="A654" s="9" t="s">
        <v>33</v>
      </c>
      <c r="B654" s="9">
        <f t="shared" si="30"/>
        <v>44927</v>
      </c>
      <c r="C654" s="9" t="str">
        <f>TEXT('Cleaned Datasets'!$B654,"MMMM")</f>
        <v>January</v>
      </c>
      <c r="D654" s="10" t="s">
        <v>48</v>
      </c>
      <c r="E654" s="10" t="s">
        <v>63</v>
      </c>
      <c r="F654" s="10" t="s">
        <v>40</v>
      </c>
      <c r="G654" s="10" t="s">
        <v>18</v>
      </c>
      <c r="H654" s="10" t="s">
        <v>19</v>
      </c>
      <c r="I654" s="10">
        <v>4</v>
      </c>
      <c r="J654" s="10">
        <v>4</v>
      </c>
      <c r="K654" s="10">
        <v>0</v>
      </c>
      <c r="L654" s="10">
        <v>2.2000000000000002</v>
      </c>
      <c r="M654" s="11">
        <f t="shared" si="31"/>
        <v>1</v>
      </c>
      <c r="N654" s="11">
        <f t="shared" si="32"/>
        <v>0</v>
      </c>
    </row>
    <row r="655" spans="1:14" x14ac:dyDescent="0.25">
      <c r="A655" s="12" t="s">
        <v>45</v>
      </c>
      <c r="B655" s="12">
        <f t="shared" si="30"/>
        <v>45047</v>
      </c>
      <c r="C655" s="12" t="str">
        <f>TEXT('Cleaned Datasets'!$B655,"MMMM")</f>
        <v>May</v>
      </c>
      <c r="D655" s="13" t="s">
        <v>28</v>
      </c>
      <c r="E655" s="13" t="s">
        <v>58</v>
      </c>
      <c r="F655" s="13" t="s">
        <v>26</v>
      </c>
      <c r="G655" s="13" t="s">
        <v>22</v>
      </c>
      <c r="H655" s="13" t="s">
        <v>15</v>
      </c>
      <c r="I655" s="13">
        <v>6</v>
      </c>
      <c r="J655" s="13">
        <v>5</v>
      </c>
      <c r="K655" s="13">
        <v>0</v>
      </c>
      <c r="L655" s="13">
        <v>3</v>
      </c>
      <c r="M655" s="14">
        <f t="shared" si="31"/>
        <v>0.83333333333333337</v>
      </c>
      <c r="N655" s="14">
        <f t="shared" si="32"/>
        <v>0</v>
      </c>
    </row>
    <row r="656" spans="1:14" x14ac:dyDescent="0.25">
      <c r="A656" s="9" t="s">
        <v>36</v>
      </c>
      <c r="B656" s="9">
        <f t="shared" si="30"/>
        <v>44986</v>
      </c>
      <c r="C656" s="9" t="str">
        <f>TEXT('Cleaned Datasets'!$B656,"MMMM")</f>
        <v>March</v>
      </c>
      <c r="D656" s="10" t="s">
        <v>16</v>
      </c>
      <c r="E656" s="10" t="s">
        <v>17</v>
      </c>
      <c r="F656" s="10" t="s">
        <v>26</v>
      </c>
      <c r="G656" s="10" t="s">
        <v>27</v>
      </c>
      <c r="H656" s="10" t="s">
        <v>15</v>
      </c>
      <c r="I656" s="10">
        <v>3</v>
      </c>
      <c r="J656" s="10">
        <v>3</v>
      </c>
      <c r="K656" s="10">
        <v>0</v>
      </c>
      <c r="L656" s="10">
        <v>3.5</v>
      </c>
      <c r="M656" s="11">
        <f t="shared" si="31"/>
        <v>1</v>
      </c>
      <c r="N656" s="11">
        <f t="shared" si="32"/>
        <v>0</v>
      </c>
    </row>
    <row r="657" spans="1:14" x14ac:dyDescent="0.25">
      <c r="A657" s="12" t="s">
        <v>59</v>
      </c>
      <c r="B657" s="12">
        <f t="shared" si="30"/>
        <v>45170</v>
      </c>
      <c r="C657" s="12" t="str">
        <f>TEXT('Cleaned Datasets'!$B657,"MMMM")</f>
        <v>September</v>
      </c>
      <c r="D657" s="13" t="s">
        <v>16</v>
      </c>
      <c r="E657" s="13" t="s">
        <v>17</v>
      </c>
      <c r="F657" s="13" t="s">
        <v>32</v>
      </c>
      <c r="G657" s="13" t="s">
        <v>53</v>
      </c>
      <c r="H657" s="13" t="s">
        <v>15</v>
      </c>
      <c r="I657" s="13">
        <v>6</v>
      </c>
      <c r="J657" s="13">
        <v>6</v>
      </c>
      <c r="K657" s="13">
        <v>0</v>
      </c>
      <c r="L657" s="13">
        <v>3.5</v>
      </c>
      <c r="M657" s="14">
        <f t="shared" si="31"/>
        <v>1</v>
      </c>
      <c r="N657" s="14">
        <f t="shared" si="32"/>
        <v>0</v>
      </c>
    </row>
    <row r="658" spans="1:14" x14ac:dyDescent="0.25">
      <c r="A658" s="9" t="s">
        <v>33</v>
      </c>
      <c r="B658" s="9">
        <f t="shared" si="30"/>
        <v>44927</v>
      </c>
      <c r="C658" s="9" t="str">
        <f>TEXT('Cleaned Datasets'!$B658,"MMMM")</f>
        <v>January</v>
      </c>
      <c r="D658" s="10" t="s">
        <v>37</v>
      </c>
      <c r="E658" s="10" t="s">
        <v>38</v>
      </c>
      <c r="F658" s="10" t="s">
        <v>26</v>
      </c>
      <c r="G658" s="10" t="s">
        <v>30</v>
      </c>
      <c r="H658" s="10" t="s">
        <v>19</v>
      </c>
      <c r="I658" s="10">
        <v>3</v>
      </c>
      <c r="J658" s="10">
        <v>3</v>
      </c>
      <c r="K658" s="10">
        <v>1</v>
      </c>
      <c r="L658" s="10">
        <v>3.4</v>
      </c>
      <c r="M658" s="11">
        <f t="shared" si="31"/>
        <v>1</v>
      </c>
      <c r="N658" s="11">
        <f t="shared" si="32"/>
        <v>0.33333333333333331</v>
      </c>
    </row>
    <row r="659" spans="1:14" x14ac:dyDescent="0.25">
      <c r="A659" s="12" t="s">
        <v>59</v>
      </c>
      <c r="B659" s="12">
        <f t="shared" si="30"/>
        <v>45170</v>
      </c>
      <c r="C659" s="12" t="str">
        <f>TEXT('Cleaned Datasets'!$B659,"MMMM")</f>
        <v>September</v>
      </c>
      <c r="D659" s="13" t="s">
        <v>48</v>
      </c>
      <c r="E659" s="13" t="s">
        <v>49</v>
      </c>
      <c r="F659" s="13" t="s">
        <v>26</v>
      </c>
      <c r="G659" s="13" t="s">
        <v>18</v>
      </c>
      <c r="H659" s="13" t="s">
        <v>19</v>
      </c>
      <c r="I659" s="13">
        <v>4</v>
      </c>
      <c r="J659" s="13">
        <v>4</v>
      </c>
      <c r="K659" s="13">
        <v>0</v>
      </c>
      <c r="L659" s="13">
        <v>2.2999999999999998</v>
      </c>
      <c r="M659" s="14">
        <f t="shared" si="31"/>
        <v>1</v>
      </c>
      <c r="N659" s="14">
        <f t="shared" si="32"/>
        <v>0</v>
      </c>
    </row>
    <row r="660" spans="1:14" x14ac:dyDescent="0.25">
      <c r="A660" s="9" t="s">
        <v>55</v>
      </c>
      <c r="B660" s="9">
        <f t="shared" si="30"/>
        <v>45261</v>
      </c>
      <c r="C660" s="9" t="str">
        <f>TEXT('Cleaned Datasets'!$B660,"MMMM")</f>
        <v>December</v>
      </c>
      <c r="D660" s="10" t="s">
        <v>28</v>
      </c>
      <c r="E660" s="10" t="s">
        <v>58</v>
      </c>
      <c r="F660" s="10" t="s">
        <v>21</v>
      </c>
      <c r="G660" s="10" t="s">
        <v>30</v>
      </c>
      <c r="H660" s="10" t="s">
        <v>19</v>
      </c>
      <c r="I660" s="10">
        <v>5</v>
      </c>
      <c r="J660" s="10">
        <v>5</v>
      </c>
      <c r="K660" s="10">
        <v>0</v>
      </c>
      <c r="L660" s="10">
        <v>4</v>
      </c>
      <c r="M660" s="11">
        <f t="shared" si="31"/>
        <v>1</v>
      </c>
      <c r="N660" s="11">
        <f t="shared" si="32"/>
        <v>0</v>
      </c>
    </row>
    <row r="661" spans="1:14" x14ac:dyDescent="0.25">
      <c r="A661" s="12" t="s">
        <v>50</v>
      </c>
      <c r="B661" s="12">
        <f t="shared" si="30"/>
        <v>45108</v>
      </c>
      <c r="C661" s="12" t="str">
        <f>TEXT('Cleaned Datasets'!$B661,"MMMM")</f>
        <v>July</v>
      </c>
      <c r="D661" s="13" t="s">
        <v>46</v>
      </c>
      <c r="E661" s="13" t="s">
        <v>54</v>
      </c>
      <c r="F661" s="13" t="s">
        <v>22</v>
      </c>
      <c r="G661" s="13" t="s">
        <v>27</v>
      </c>
      <c r="H661" s="13" t="s">
        <v>19</v>
      </c>
      <c r="I661" s="13">
        <v>7</v>
      </c>
      <c r="J661" s="13">
        <v>6</v>
      </c>
      <c r="K661" s="13">
        <v>0</v>
      </c>
      <c r="L661" s="13">
        <v>3.8</v>
      </c>
      <c r="M661" s="14">
        <f t="shared" si="31"/>
        <v>0.8571428571428571</v>
      </c>
      <c r="N661" s="14">
        <f t="shared" si="32"/>
        <v>0</v>
      </c>
    </row>
    <row r="662" spans="1:14" x14ac:dyDescent="0.25">
      <c r="A662" s="9" t="s">
        <v>50</v>
      </c>
      <c r="B662" s="9">
        <f t="shared" si="30"/>
        <v>45108</v>
      </c>
      <c r="C662" s="9" t="str">
        <f>TEXT('Cleaned Datasets'!$B662,"MMMM")</f>
        <v>July</v>
      </c>
      <c r="D662" s="10" t="s">
        <v>11</v>
      </c>
      <c r="E662" s="10" t="s">
        <v>52</v>
      </c>
      <c r="F662" s="10" t="s">
        <v>40</v>
      </c>
      <c r="G662" s="10" t="s">
        <v>30</v>
      </c>
      <c r="H662" s="10" t="s">
        <v>15</v>
      </c>
      <c r="I662" s="10">
        <v>7</v>
      </c>
      <c r="J662" s="10">
        <v>7</v>
      </c>
      <c r="K662" s="10">
        <v>1</v>
      </c>
      <c r="L662" s="10">
        <v>0.9</v>
      </c>
      <c r="M662" s="11">
        <f t="shared" si="31"/>
        <v>1</v>
      </c>
      <c r="N662" s="11">
        <f t="shared" si="32"/>
        <v>0.14285714285714285</v>
      </c>
    </row>
    <row r="663" spans="1:14" x14ac:dyDescent="0.25">
      <c r="A663" s="12" t="s">
        <v>50</v>
      </c>
      <c r="B663" s="12">
        <f t="shared" si="30"/>
        <v>45108</v>
      </c>
      <c r="C663" s="12" t="str">
        <f>TEXT('Cleaned Datasets'!$B663,"MMMM")</f>
        <v>July</v>
      </c>
      <c r="D663" s="13" t="s">
        <v>56</v>
      </c>
      <c r="E663" s="13" t="s">
        <v>57</v>
      </c>
      <c r="F663" s="13" t="s">
        <v>22</v>
      </c>
      <c r="G663" s="13" t="s">
        <v>30</v>
      </c>
      <c r="H663" s="13" t="s">
        <v>19</v>
      </c>
      <c r="I663" s="13">
        <v>4</v>
      </c>
      <c r="J663" s="13">
        <v>4</v>
      </c>
      <c r="K663" s="13">
        <v>0</v>
      </c>
      <c r="L663" s="13">
        <v>2.8</v>
      </c>
      <c r="M663" s="14">
        <f t="shared" si="31"/>
        <v>1</v>
      </c>
      <c r="N663" s="14">
        <f t="shared" si="32"/>
        <v>0</v>
      </c>
    </row>
    <row r="664" spans="1:14" x14ac:dyDescent="0.25">
      <c r="A664" s="9" t="s">
        <v>20</v>
      </c>
      <c r="B664" s="9">
        <f t="shared" si="30"/>
        <v>45078</v>
      </c>
      <c r="C664" s="9" t="str">
        <f>TEXT('Cleaned Datasets'!$B664,"MMMM")</f>
        <v>June</v>
      </c>
      <c r="D664" s="10" t="s">
        <v>24</v>
      </c>
      <c r="E664" s="10" t="s">
        <v>64</v>
      </c>
      <c r="F664" s="10" t="s">
        <v>32</v>
      </c>
      <c r="G664" s="10" t="s">
        <v>14</v>
      </c>
      <c r="H664" s="10" t="s">
        <v>15</v>
      </c>
      <c r="I664" s="10">
        <v>2</v>
      </c>
      <c r="J664" s="10">
        <v>2</v>
      </c>
      <c r="K664" s="10">
        <v>0</v>
      </c>
      <c r="L664" s="10">
        <v>3.5</v>
      </c>
      <c r="M664" s="11">
        <f t="shared" si="31"/>
        <v>1</v>
      </c>
      <c r="N664" s="11">
        <f t="shared" si="32"/>
        <v>0</v>
      </c>
    </row>
    <row r="665" spans="1:14" x14ac:dyDescent="0.25">
      <c r="A665" s="12" t="s">
        <v>43</v>
      </c>
      <c r="B665" s="12">
        <f t="shared" si="30"/>
        <v>44958</v>
      </c>
      <c r="C665" s="12" t="str">
        <f>TEXT('Cleaned Datasets'!$B665,"MMMM")</f>
        <v>February</v>
      </c>
      <c r="D665" s="13" t="s">
        <v>34</v>
      </c>
      <c r="E665" s="13" t="s">
        <v>35</v>
      </c>
      <c r="F665" s="13" t="s">
        <v>22</v>
      </c>
      <c r="G665" s="13" t="s">
        <v>14</v>
      </c>
      <c r="H665" s="13" t="s">
        <v>19</v>
      </c>
      <c r="I665" s="13">
        <v>5</v>
      </c>
      <c r="J665" s="13">
        <v>4</v>
      </c>
      <c r="K665" s="13">
        <v>0</v>
      </c>
      <c r="L665" s="13">
        <v>2.9</v>
      </c>
      <c r="M665" s="14">
        <f t="shared" si="31"/>
        <v>0.8</v>
      </c>
      <c r="N665" s="14">
        <f t="shared" si="32"/>
        <v>0</v>
      </c>
    </row>
    <row r="666" spans="1:14" x14ac:dyDescent="0.25">
      <c r="A666" s="9" t="s">
        <v>50</v>
      </c>
      <c r="B666" s="9">
        <f t="shared" si="30"/>
        <v>45108</v>
      </c>
      <c r="C666" s="9" t="str">
        <f>TEXT('Cleaned Datasets'!$B666,"MMMM")</f>
        <v>July</v>
      </c>
      <c r="D666" s="10" t="s">
        <v>41</v>
      </c>
      <c r="E666" s="10" t="s">
        <v>44</v>
      </c>
      <c r="F666" s="10" t="s">
        <v>40</v>
      </c>
      <c r="G666" s="10" t="s">
        <v>27</v>
      </c>
      <c r="H666" s="10" t="s">
        <v>15</v>
      </c>
      <c r="I666" s="10">
        <v>6</v>
      </c>
      <c r="J666" s="10">
        <v>5</v>
      </c>
      <c r="K666" s="10">
        <v>0</v>
      </c>
      <c r="L666" s="10">
        <v>2.7</v>
      </c>
      <c r="M666" s="11">
        <f t="shared" si="31"/>
        <v>0.83333333333333337</v>
      </c>
      <c r="N666" s="11">
        <f t="shared" si="32"/>
        <v>0</v>
      </c>
    </row>
    <row r="667" spans="1:14" x14ac:dyDescent="0.25">
      <c r="A667" s="12" t="s">
        <v>50</v>
      </c>
      <c r="B667" s="12">
        <f t="shared" si="30"/>
        <v>45108</v>
      </c>
      <c r="C667" s="12" t="str">
        <f>TEXT('Cleaned Datasets'!$B667,"MMMM")</f>
        <v>July</v>
      </c>
      <c r="D667" s="13" t="s">
        <v>24</v>
      </c>
      <c r="E667" s="13" t="s">
        <v>25</v>
      </c>
      <c r="F667" s="13" t="s">
        <v>40</v>
      </c>
      <c r="G667" s="13" t="s">
        <v>30</v>
      </c>
      <c r="H667" s="13" t="s">
        <v>15</v>
      </c>
      <c r="I667" s="13">
        <v>4</v>
      </c>
      <c r="J667" s="13">
        <v>4</v>
      </c>
      <c r="K667" s="13">
        <v>0</v>
      </c>
      <c r="L667" s="13">
        <v>3.9</v>
      </c>
      <c r="M667" s="14">
        <f t="shared" si="31"/>
        <v>1</v>
      </c>
      <c r="N667" s="14">
        <f t="shared" si="32"/>
        <v>0</v>
      </c>
    </row>
    <row r="668" spans="1:14" x14ac:dyDescent="0.25">
      <c r="A668" s="9" t="s">
        <v>10</v>
      </c>
      <c r="B668" s="9">
        <f t="shared" si="30"/>
        <v>45017</v>
      </c>
      <c r="C668" s="9" t="str">
        <f>TEXT('Cleaned Datasets'!$B668,"MMMM")</f>
        <v>April</v>
      </c>
      <c r="D668" s="10" t="s">
        <v>24</v>
      </c>
      <c r="E668" s="10" t="s">
        <v>64</v>
      </c>
      <c r="F668" s="10" t="s">
        <v>22</v>
      </c>
      <c r="G668" s="10" t="s">
        <v>22</v>
      </c>
      <c r="H668" s="10" t="s">
        <v>15</v>
      </c>
      <c r="I668" s="10">
        <v>7</v>
      </c>
      <c r="J668" s="10">
        <v>6</v>
      </c>
      <c r="K668" s="10">
        <v>2</v>
      </c>
      <c r="L668" s="10">
        <v>3.9</v>
      </c>
      <c r="M668" s="11">
        <f t="shared" si="31"/>
        <v>0.8571428571428571</v>
      </c>
      <c r="N668" s="11">
        <f t="shared" si="32"/>
        <v>0.2857142857142857</v>
      </c>
    </row>
    <row r="669" spans="1:14" x14ac:dyDescent="0.25">
      <c r="A669" s="12" t="s">
        <v>59</v>
      </c>
      <c r="B669" s="12">
        <f t="shared" si="30"/>
        <v>45170</v>
      </c>
      <c r="C669" s="12" t="str">
        <f>TEXT('Cleaned Datasets'!$B669,"MMMM")</f>
        <v>September</v>
      </c>
      <c r="D669" s="13" t="s">
        <v>24</v>
      </c>
      <c r="E669" s="13" t="s">
        <v>64</v>
      </c>
      <c r="F669" s="13" t="s">
        <v>32</v>
      </c>
      <c r="G669" s="13" t="s">
        <v>18</v>
      </c>
      <c r="H669" s="13" t="s">
        <v>15</v>
      </c>
      <c r="I669" s="13">
        <v>1</v>
      </c>
      <c r="J669" s="13">
        <v>1</v>
      </c>
      <c r="K669" s="13">
        <v>1</v>
      </c>
      <c r="L669" s="13">
        <v>1.8</v>
      </c>
      <c r="M669" s="14">
        <f t="shared" si="31"/>
        <v>1</v>
      </c>
      <c r="N669" s="14">
        <f t="shared" si="32"/>
        <v>1</v>
      </c>
    </row>
    <row r="670" spans="1:14" x14ac:dyDescent="0.25">
      <c r="A670" s="9" t="s">
        <v>45</v>
      </c>
      <c r="B670" s="9">
        <f t="shared" si="30"/>
        <v>45047</v>
      </c>
      <c r="C670" s="9" t="str">
        <f>TEXT('Cleaned Datasets'!$B670,"MMMM")</f>
        <v>May</v>
      </c>
      <c r="D670" s="10" t="s">
        <v>41</v>
      </c>
      <c r="E670" s="10" t="s">
        <v>44</v>
      </c>
      <c r="F670" s="10" t="s">
        <v>32</v>
      </c>
      <c r="G670" s="10" t="s">
        <v>14</v>
      </c>
      <c r="H670" s="10" t="s">
        <v>19</v>
      </c>
      <c r="I670" s="10">
        <v>5</v>
      </c>
      <c r="J670" s="10">
        <v>5</v>
      </c>
      <c r="K670" s="10">
        <v>0</v>
      </c>
      <c r="L670" s="10">
        <v>2.2000000000000002</v>
      </c>
      <c r="M670" s="11">
        <f t="shared" si="31"/>
        <v>1</v>
      </c>
      <c r="N670" s="11">
        <f t="shared" si="32"/>
        <v>0</v>
      </c>
    </row>
    <row r="671" spans="1:14" x14ac:dyDescent="0.25">
      <c r="A671" s="12" t="s">
        <v>10</v>
      </c>
      <c r="B671" s="12">
        <f t="shared" si="30"/>
        <v>45017</v>
      </c>
      <c r="C671" s="12" t="str">
        <f>TEXT('Cleaned Datasets'!$B671,"MMMM")</f>
        <v>April</v>
      </c>
      <c r="D671" s="13" t="s">
        <v>46</v>
      </c>
      <c r="E671" s="13" t="s">
        <v>54</v>
      </c>
      <c r="F671" s="13" t="s">
        <v>21</v>
      </c>
      <c r="G671" s="13" t="s">
        <v>14</v>
      </c>
      <c r="H671" s="13" t="s">
        <v>19</v>
      </c>
      <c r="I671" s="13">
        <v>1</v>
      </c>
      <c r="J671" s="13">
        <v>1</v>
      </c>
      <c r="K671" s="13">
        <v>0</v>
      </c>
      <c r="L671" s="13">
        <v>3.1</v>
      </c>
      <c r="M671" s="14">
        <f t="shared" si="31"/>
        <v>1</v>
      </c>
      <c r="N671" s="14">
        <f t="shared" si="32"/>
        <v>0</v>
      </c>
    </row>
    <row r="672" spans="1:14" x14ac:dyDescent="0.25">
      <c r="A672" s="9" t="s">
        <v>33</v>
      </c>
      <c r="B672" s="9">
        <f t="shared" si="30"/>
        <v>44927</v>
      </c>
      <c r="C672" s="9" t="str">
        <f>TEXT('Cleaned Datasets'!$B672,"MMMM")</f>
        <v>January</v>
      </c>
      <c r="D672" s="10" t="s">
        <v>37</v>
      </c>
      <c r="E672" s="10" t="s">
        <v>38</v>
      </c>
      <c r="F672" s="10" t="s">
        <v>13</v>
      </c>
      <c r="G672" s="10" t="s">
        <v>22</v>
      </c>
      <c r="H672" s="10" t="s">
        <v>15</v>
      </c>
      <c r="I672" s="10">
        <v>6</v>
      </c>
      <c r="J672" s="10">
        <v>6</v>
      </c>
      <c r="K672" s="10">
        <v>0</v>
      </c>
      <c r="L672" s="10">
        <v>5.3</v>
      </c>
      <c r="M672" s="11">
        <f t="shared" si="31"/>
        <v>1</v>
      </c>
      <c r="N672" s="11">
        <f t="shared" si="32"/>
        <v>0</v>
      </c>
    </row>
    <row r="673" spans="1:14" x14ac:dyDescent="0.25">
      <c r="A673" s="12" t="s">
        <v>36</v>
      </c>
      <c r="B673" s="12">
        <f t="shared" si="30"/>
        <v>44986</v>
      </c>
      <c r="C673" s="12" t="str">
        <f>TEXT('Cleaned Datasets'!$B673,"MMMM")</f>
        <v>March</v>
      </c>
      <c r="D673" s="13" t="s">
        <v>24</v>
      </c>
      <c r="E673" s="13" t="s">
        <v>64</v>
      </c>
      <c r="F673" s="13" t="s">
        <v>26</v>
      </c>
      <c r="G673" s="13" t="s">
        <v>18</v>
      </c>
      <c r="H673" s="13" t="s">
        <v>15</v>
      </c>
      <c r="I673" s="13">
        <v>4</v>
      </c>
      <c r="J673" s="13">
        <v>4</v>
      </c>
      <c r="K673" s="13">
        <v>0</v>
      </c>
      <c r="L673" s="13">
        <v>2.8</v>
      </c>
      <c r="M673" s="14">
        <f t="shared" si="31"/>
        <v>1</v>
      </c>
      <c r="N673" s="14">
        <f t="shared" si="32"/>
        <v>0</v>
      </c>
    </row>
    <row r="674" spans="1:14" x14ac:dyDescent="0.25">
      <c r="A674" s="9" t="s">
        <v>55</v>
      </c>
      <c r="B674" s="9">
        <f t="shared" si="30"/>
        <v>45261</v>
      </c>
      <c r="C674" s="9" t="str">
        <f>TEXT('Cleaned Datasets'!$B674,"MMMM")</f>
        <v>December</v>
      </c>
      <c r="D674" s="10" t="s">
        <v>46</v>
      </c>
      <c r="E674" s="10" t="s">
        <v>54</v>
      </c>
      <c r="F674" s="10" t="s">
        <v>40</v>
      </c>
      <c r="G674" s="10" t="s">
        <v>30</v>
      </c>
      <c r="H674" s="10" t="s">
        <v>19</v>
      </c>
      <c r="I674" s="10">
        <v>5</v>
      </c>
      <c r="J674" s="10">
        <v>5</v>
      </c>
      <c r="K674" s="10">
        <v>0</v>
      </c>
      <c r="L674" s="10">
        <v>2.9</v>
      </c>
      <c r="M674" s="11">
        <f t="shared" si="31"/>
        <v>1</v>
      </c>
      <c r="N674" s="11">
        <f t="shared" si="32"/>
        <v>0</v>
      </c>
    </row>
    <row r="675" spans="1:14" x14ac:dyDescent="0.25">
      <c r="A675" s="12" t="s">
        <v>59</v>
      </c>
      <c r="B675" s="12">
        <f t="shared" si="30"/>
        <v>45170</v>
      </c>
      <c r="C675" s="12" t="str">
        <f>TEXT('Cleaned Datasets'!$B675,"MMMM")</f>
        <v>September</v>
      </c>
      <c r="D675" s="13" t="s">
        <v>48</v>
      </c>
      <c r="E675" s="13" t="s">
        <v>49</v>
      </c>
      <c r="F675" s="13" t="s">
        <v>40</v>
      </c>
      <c r="G675" s="13" t="s">
        <v>27</v>
      </c>
      <c r="H675" s="13" t="s">
        <v>15</v>
      </c>
      <c r="I675" s="13">
        <v>3</v>
      </c>
      <c r="J675" s="13">
        <v>3</v>
      </c>
      <c r="K675" s="13">
        <v>0</v>
      </c>
      <c r="L675" s="13">
        <v>1.3</v>
      </c>
      <c r="M675" s="14">
        <f t="shared" si="31"/>
        <v>1</v>
      </c>
      <c r="N675" s="14">
        <f t="shared" si="32"/>
        <v>0</v>
      </c>
    </row>
    <row r="676" spans="1:14" x14ac:dyDescent="0.25">
      <c r="A676" s="9" t="s">
        <v>20</v>
      </c>
      <c r="B676" s="9">
        <f t="shared" si="30"/>
        <v>45078</v>
      </c>
      <c r="C676" s="9" t="str">
        <f>TEXT('Cleaned Datasets'!$B676,"MMMM")</f>
        <v>June</v>
      </c>
      <c r="D676" s="10" t="s">
        <v>24</v>
      </c>
      <c r="E676" s="10" t="s">
        <v>64</v>
      </c>
      <c r="F676" s="10" t="s">
        <v>21</v>
      </c>
      <c r="G676" s="10" t="s">
        <v>27</v>
      </c>
      <c r="H676" s="10" t="s">
        <v>15</v>
      </c>
      <c r="I676" s="10">
        <v>5</v>
      </c>
      <c r="J676" s="10">
        <v>5</v>
      </c>
      <c r="K676" s="10">
        <v>0</v>
      </c>
      <c r="L676" s="10">
        <v>1.7</v>
      </c>
      <c r="M676" s="11">
        <f t="shared" si="31"/>
        <v>1</v>
      </c>
      <c r="N676" s="11">
        <f t="shared" si="32"/>
        <v>0</v>
      </c>
    </row>
    <row r="677" spans="1:14" x14ac:dyDescent="0.25">
      <c r="A677" s="12" t="s">
        <v>59</v>
      </c>
      <c r="B677" s="12">
        <f t="shared" si="30"/>
        <v>45170</v>
      </c>
      <c r="C677" s="12" t="str">
        <f>TEXT('Cleaned Datasets'!$B677,"MMMM")</f>
        <v>September</v>
      </c>
      <c r="D677" s="13" t="s">
        <v>11</v>
      </c>
      <c r="E677" s="13" t="s">
        <v>12</v>
      </c>
      <c r="F677" s="13" t="s">
        <v>26</v>
      </c>
      <c r="G677" s="13" t="s">
        <v>30</v>
      </c>
      <c r="H677" s="13" t="s">
        <v>15</v>
      </c>
      <c r="I677" s="13">
        <v>2</v>
      </c>
      <c r="J677" s="13">
        <v>2</v>
      </c>
      <c r="K677" s="13">
        <v>0</v>
      </c>
      <c r="L677" s="13">
        <v>3.4</v>
      </c>
      <c r="M677" s="14">
        <f t="shared" si="31"/>
        <v>1</v>
      </c>
      <c r="N677" s="14">
        <f t="shared" si="32"/>
        <v>0</v>
      </c>
    </row>
    <row r="678" spans="1:14" x14ac:dyDescent="0.25">
      <c r="A678" s="9" t="s">
        <v>59</v>
      </c>
      <c r="B678" s="9">
        <f t="shared" si="30"/>
        <v>45170</v>
      </c>
      <c r="C678" s="9" t="str">
        <f>TEXT('Cleaned Datasets'!$B678,"MMMM")</f>
        <v>September</v>
      </c>
      <c r="D678" s="10" t="s">
        <v>41</v>
      </c>
      <c r="E678" s="10" t="s">
        <v>42</v>
      </c>
      <c r="F678" s="10" t="s">
        <v>40</v>
      </c>
      <c r="G678" s="10" t="s">
        <v>30</v>
      </c>
      <c r="H678" s="10" t="s">
        <v>19</v>
      </c>
      <c r="I678" s="10">
        <v>2</v>
      </c>
      <c r="J678" s="10">
        <v>2</v>
      </c>
      <c r="K678" s="10">
        <v>0</v>
      </c>
      <c r="L678" s="10">
        <v>2.1</v>
      </c>
      <c r="M678" s="11">
        <f t="shared" si="31"/>
        <v>1</v>
      </c>
      <c r="N678" s="11">
        <f t="shared" si="32"/>
        <v>0</v>
      </c>
    </row>
    <row r="679" spans="1:14" x14ac:dyDescent="0.25">
      <c r="A679" s="12" t="s">
        <v>36</v>
      </c>
      <c r="B679" s="12">
        <f t="shared" si="30"/>
        <v>44986</v>
      </c>
      <c r="C679" s="12" t="str">
        <f>TEXT('Cleaned Datasets'!$B679,"MMMM")</f>
        <v>March</v>
      </c>
      <c r="D679" s="13" t="s">
        <v>56</v>
      </c>
      <c r="E679" s="13" t="s">
        <v>57</v>
      </c>
      <c r="F679" s="13" t="s">
        <v>40</v>
      </c>
      <c r="G679" s="13" t="s">
        <v>27</v>
      </c>
      <c r="H679" s="13" t="s">
        <v>19</v>
      </c>
      <c r="I679" s="13">
        <v>3</v>
      </c>
      <c r="J679" s="13">
        <v>3</v>
      </c>
      <c r="K679" s="13">
        <v>0</v>
      </c>
      <c r="L679" s="13">
        <v>3.5</v>
      </c>
      <c r="M679" s="14">
        <f t="shared" si="31"/>
        <v>1</v>
      </c>
      <c r="N679" s="14">
        <f t="shared" si="32"/>
        <v>0</v>
      </c>
    </row>
    <row r="680" spans="1:14" x14ac:dyDescent="0.25">
      <c r="A680" s="9" t="s">
        <v>23</v>
      </c>
      <c r="B680" s="9">
        <f t="shared" si="30"/>
        <v>45200</v>
      </c>
      <c r="C680" s="9" t="str">
        <f>TEXT('Cleaned Datasets'!$B680,"MMMM")</f>
        <v>October</v>
      </c>
      <c r="D680" s="10" t="s">
        <v>37</v>
      </c>
      <c r="E680" s="10" t="s">
        <v>39</v>
      </c>
      <c r="F680" s="10" t="s">
        <v>13</v>
      </c>
      <c r="G680" s="10" t="s">
        <v>22</v>
      </c>
      <c r="H680" s="10" t="s">
        <v>15</v>
      </c>
      <c r="I680" s="10">
        <v>5</v>
      </c>
      <c r="J680" s="10">
        <v>5</v>
      </c>
      <c r="K680" s="10">
        <v>0</v>
      </c>
      <c r="L680" s="10">
        <v>1.9</v>
      </c>
      <c r="M680" s="11">
        <f t="shared" si="31"/>
        <v>1</v>
      </c>
      <c r="N680" s="11">
        <f t="shared" si="32"/>
        <v>0</v>
      </c>
    </row>
    <row r="681" spans="1:14" x14ac:dyDescent="0.25">
      <c r="A681" s="12" t="s">
        <v>10</v>
      </c>
      <c r="B681" s="12">
        <f t="shared" si="30"/>
        <v>45017</v>
      </c>
      <c r="C681" s="12" t="str">
        <f>TEXT('Cleaned Datasets'!$B681,"MMMM")</f>
        <v>April</v>
      </c>
      <c r="D681" s="13" t="s">
        <v>56</v>
      </c>
      <c r="E681" s="13" t="s">
        <v>62</v>
      </c>
      <c r="F681" s="13" t="s">
        <v>22</v>
      </c>
      <c r="G681" s="13" t="s">
        <v>53</v>
      </c>
      <c r="H681" s="13" t="s">
        <v>15</v>
      </c>
      <c r="I681" s="13">
        <v>5</v>
      </c>
      <c r="J681" s="13">
        <v>5</v>
      </c>
      <c r="K681" s="13">
        <v>0</v>
      </c>
      <c r="L681" s="13">
        <v>3</v>
      </c>
      <c r="M681" s="14">
        <f t="shared" si="31"/>
        <v>1</v>
      </c>
      <c r="N681" s="14">
        <f t="shared" si="32"/>
        <v>0</v>
      </c>
    </row>
    <row r="682" spans="1:14" x14ac:dyDescent="0.25">
      <c r="A682" s="9" t="s">
        <v>45</v>
      </c>
      <c r="B682" s="9">
        <f t="shared" si="30"/>
        <v>45047</v>
      </c>
      <c r="C682" s="9" t="str">
        <f>TEXT('Cleaned Datasets'!$B682,"MMMM")</f>
        <v>May</v>
      </c>
      <c r="D682" s="10" t="s">
        <v>48</v>
      </c>
      <c r="E682" s="10" t="s">
        <v>49</v>
      </c>
      <c r="F682" s="10" t="s">
        <v>22</v>
      </c>
      <c r="G682" s="10" t="s">
        <v>27</v>
      </c>
      <c r="H682" s="10" t="s">
        <v>19</v>
      </c>
      <c r="I682" s="10">
        <v>4</v>
      </c>
      <c r="J682" s="10">
        <v>4</v>
      </c>
      <c r="K682" s="10">
        <v>0</v>
      </c>
      <c r="L682" s="10">
        <v>4.3</v>
      </c>
      <c r="M682" s="11">
        <f t="shared" si="31"/>
        <v>1</v>
      </c>
      <c r="N682" s="11">
        <f t="shared" si="32"/>
        <v>0</v>
      </c>
    </row>
    <row r="683" spans="1:14" x14ac:dyDescent="0.25">
      <c r="A683" s="12" t="s">
        <v>61</v>
      </c>
      <c r="B683" s="12">
        <f t="shared" si="30"/>
        <v>45231</v>
      </c>
      <c r="C683" s="12" t="str">
        <f>TEXT('Cleaned Datasets'!$B683,"MMMM")</f>
        <v>November</v>
      </c>
      <c r="D683" s="13" t="s">
        <v>16</v>
      </c>
      <c r="E683" s="13" t="s">
        <v>17</v>
      </c>
      <c r="F683" s="13" t="s">
        <v>13</v>
      </c>
      <c r="G683" s="13" t="s">
        <v>18</v>
      </c>
      <c r="H683" s="13" t="s">
        <v>15</v>
      </c>
      <c r="I683" s="13">
        <v>10</v>
      </c>
      <c r="J683" s="13">
        <v>9</v>
      </c>
      <c r="K683" s="13">
        <v>1</v>
      </c>
      <c r="L683" s="13">
        <v>1.1000000000000001</v>
      </c>
      <c r="M683" s="14">
        <f t="shared" si="31"/>
        <v>0.9</v>
      </c>
      <c r="N683" s="14">
        <f t="shared" si="32"/>
        <v>0.1</v>
      </c>
    </row>
    <row r="684" spans="1:14" x14ac:dyDescent="0.25">
      <c r="A684" s="9" t="s">
        <v>10</v>
      </c>
      <c r="B684" s="9">
        <f t="shared" si="30"/>
        <v>45017</v>
      </c>
      <c r="C684" s="9" t="str">
        <f>TEXT('Cleaned Datasets'!$B684,"MMMM")</f>
        <v>April</v>
      </c>
      <c r="D684" s="10" t="s">
        <v>46</v>
      </c>
      <c r="E684" s="10" t="s">
        <v>54</v>
      </c>
      <c r="F684" s="10" t="s">
        <v>22</v>
      </c>
      <c r="G684" s="10" t="s">
        <v>14</v>
      </c>
      <c r="H684" s="10" t="s">
        <v>19</v>
      </c>
      <c r="I684" s="10">
        <v>5</v>
      </c>
      <c r="J684" s="10">
        <v>5</v>
      </c>
      <c r="K684" s="10">
        <v>0</v>
      </c>
      <c r="L684" s="10">
        <v>4.0999999999999996</v>
      </c>
      <c r="M684" s="11">
        <f t="shared" si="31"/>
        <v>1</v>
      </c>
      <c r="N684" s="11">
        <f t="shared" si="32"/>
        <v>0</v>
      </c>
    </row>
    <row r="685" spans="1:14" x14ac:dyDescent="0.25">
      <c r="A685" s="12" t="s">
        <v>59</v>
      </c>
      <c r="B685" s="12">
        <f t="shared" si="30"/>
        <v>45170</v>
      </c>
      <c r="C685" s="12" t="str">
        <f>TEXT('Cleaned Datasets'!$B685,"MMMM")</f>
        <v>September</v>
      </c>
      <c r="D685" s="13" t="s">
        <v>34</v>
      </c>
      <c r="E685" s="13" t="s">
        <v>51</v>
      </c>
      <c r="F685" s="13" t="s">
        <v>22</v>
      </c>
      <c r="G685" s="13" t="s">
        <v>22</v>
      </c>
      <c r="H685" s="13" t="s">
        <v>15</v>
      </c>
      <c r="I685" s="13">
        <v>6</v>
      </c>
      <c r="J685" s="13">
        <v>4</v>
      </c>
      <c r="K685" s="13">
        <v>1</v>
      </c>
      <c r="L685" s="13">
        <v>0.8</v>
      </c>
      <c r="M685" s="14">
        <f t="shared" si="31"/>
        <v>0.66666666666666663</v>
      </c>
      <c r="N685" s="14">
        <f t="shared" si="32"/>
        <v>0.16666666666666666</v>
      </c>
    </row>
    <row r="686" spans="1:14" x14ac:dyDescent="0.25">
      <c r="A686" s="9" t="s">
        <v>10</v>
      </c>
      <c r="B686" s="9">
        <f t="shared" si="30"/>
        <v>45017</v>
      </c>
      <c r="C686" s="9" t="str">
        <f>TEXT('Cleaned Datasets'!$B686,"MMMM")</f>
        <v>April</v>
      </c>
      <c r="D686" s="10" t="s">
        <v>24</v>
      </c>
      <c r="E686" s="10" t="s">
        <v>25</v>
      </c>
      <c r="F686" s="10" t="s">
        <v>32</v>
      </c>
      <c r="G686" s="10" t="s">
        <v>53</v>
      </c>
      <c r="H686" s="10" t="s">
        <v>19</v>
      </c>
      <c r="I686" s="10">
        <v>5</v>
      </c>
      <c r="J686" s="10">
        <v>3</v>
      </c>
      <c r="K686" s="10">
        <v>0</v>
      </c>
      <c r="L686" s="10">
        <v>5.2</v>
      </c>
      <c r="M686" s="11">
        <f t="shared" si="31"/>
        <v>0.6</v>
      </c>
      <c r="N686" s="11">
        <f t="shared" si="32"/>
        <v>0</v>
      </c>
    </row>
    <row r="687" spans="1:14" x14ac:dyDescent="0.25">
      <c r="A687" s="12" t="s">
        <v>50</v>
      </c>
      <c r="B687" s="12">
        <f t="shared" si="30"/>
        <v>45108</v>
      </c>
      <c r="C687" s="12" t="str">
        <f>TEXT('Cleaned Datasets'!$B687,"MMMM")</f>
        <v>July</v>
      </c>
      <c r="D687" s="13" t="s">
        <v>11</v>
      </c>
      <c r="E687" s="13" t="s">
        <v>12</v>
      </c>
      <c r="F687" s="13" t="s">
        <v>21</v>
      </c>
      <c r="G687" s="13" t="s">
        <v>22</v>
      </c>
      <c r="H687" s="13" t="s">
        <v>15</v>
      </c>
      <c r="I687" s="13">
        <v>6</v>
      </c>
      <c r="J687" s="13">
        <v>5</v>
      </c>
      <c r="K687" s="13">
        <v>0</v>
      </c>
      <c r="L687" s="13">
        <v>4.2</v>
      </c>
      <c r="M687" s="14">
        <f t="shared" si="31"/>
        <v>0.83333333333333337</v>
      </c>
      <c r="N687" s="14">
        <f t="shared" si="32"/>
        <v>0</v>
      </c>
    </row>
    <row r="688" spans="1:14" x14ac:dyDescent="0.25">
      <c r="A688" s="9" t="s">
        <v>36</v>
      </c>
      <c r="B688" s="9">
        <f t="shared" si="30"/>
        <v>44986</v>
      </c>
      <c r="C688" s="9" t="str">
        <f>TEXT('Cleaned Datasets'!$B688,"MMMM")</f>
        <v>March</v>
      </c>
      <c r="D688" s="10" t="s">
        <v>37</v>
      </c>
      <c r="E688" s="10" t="s">
        <v>39</v>
      </c>
      <c r="F688" s="10" t="s">
        <v>13</v>
      </c>
      <c r="G688" s="10" t="s">
        <v>30</v>
      </c>
      <c r="H688" s="10" t="s">
        <v>15</v>
      </c>
      <c r="I688" s="10">
        <v>6</v>
      </c>
      <c r="J688" s="10">
        <v>6</v>
      </c>
      <c r="K688" s="10">
        <v>1</v>
      </c>
      <c r="L688" s="10">
        <v>3.8</v>
      </c>
      <c r="M688" s="11">
        <f t="shared" si="31"/>
        <v>1</v>
      </c>
      <c r="N688" s="11">
        <f t="shared" si="32"/>
        <v>0.16666666666666666</v>
      </c>
    </row>
    <row r="689" spans="1:14" x14ac:dyDescent="0.25">
      <c r="A689" s="12" t="s">
        <v>20</v>
      </c>
      <c r="B689" s="12">
        <f t="shared" si="30"/>
        <v>45078</v>
      </c>
      <c r="C689" s="12" t="str">
        <f>TEXT('Cleaned Datasets'!$B689,"MMMM")</f>
        <v>June</v>
      </c>
      <c r="D689" s="13" t="s">
        <v>48</v>
      </c>
      <c r="E689" s="13" t="s">
        <v>63</v>
      </c>
      <c r="F689" s="13" t="s">
        <v>40</v>
      </c>
      <c r="G689" s="13" t="s">
        <v>14</v>
      </c>
      <c r="H689" s="13" t="s">
        <v>19</v>
      </c>
      <c r="I689" s="13">
        <v>4</v>
      </c>
      <c r="J689" s="13">
        <v>3</v>
      </c>
      <c r="K689" s="13">
        <v>0</v>
      </c>
      <c r="L689" s="13">
        <v>2.6</v>
      </c>
      <c r="M689" s="14">
        <f t="shared" si="31"/>
        <v>0.75</v>
      </c>
      <c r="N689" s="14">
        <f t="shared" si="32"/>
        <v>0</v>
      </c>
    </row>
    <row r="690" spans="1:14" x14ac:dyDescent="0.25">
      <c r="A690" s="9" t="s">
        <v>23</v>
      </c>
      <c r="B690" s="9">
        <f t="shared" si="30"/>
        <v>45200</v>
      </c>
      <c r="C690" s="9" t="str">
        <f>TEXT('Cleaned Datasets'!$B690,"MMMM")</f>
        <v>October</v>
      </c>
      <c r="D690" s="10" t="s">
        <v>24</v>
      </c>
      <c r="E690" s="10" t="s">
        <v>64</v>
      </c>
      <c r="F690" s="10" t="s">
        <v>40</v>
      </c>
      <c r="G690" s="10" t="s">
        <v>30</v>
      </c>
      <c r="H690" s="10" t="s">
        <v>19</v>
      </c>
      <c r="I690" s="10">
        <v>6</v>
      </c>
      <c r="J690" s="10">
        <v>5</v>
      </c>
      <c r="K690" s="10">
        <v>0</v>
      </c>
      <c r="L690" s="10">
        <v>5</v>
      </c>
      <c r="M690" s="11">
        <f t="shared" si="31"/>
        <v>0.83333333333333337</v>
      </c>
      <c r="N690" s="11">
        <f t="shared" si="32"/>
        <v>0</v>
      </c>
    </row>
    <row r="691" spans="1:14" x14ac:dyDescent="0.25">
      <c r="A691" s="12" t="s">
        <v>45</v>
      </c>
      <c r="B691" s="12">
        <f t="shared" si="30"/>
        <v>45047</v>
      </c>
      <c r="C691" s="12" t="str">
        <f>TEXT('Cleaned Datasets'!$B691,"MMMM")</f>
        <v>May</v>
      </c>
      <c r="D691" s="13" t="s">
        <v>37</v>
      </c>
      <c r="E691" s="13" t="s">
        <v>38</v>
      </c>
      <c r="F691" s="13" t="s">
        <v>22</v>
      </c>
      <c r="G691" s="13" t="s">
        <v>30</v>
      </c>
      <c r="H691" s="13" t="s">
        <v>19</v>
      </c>
      <c r="I691" s="13">
        <v>6</v>
      </c>
      <c r="J691" s="13">
        <v>5</v>
      </c>
      <c r="K691" s="13">
        <v>0</v>
      </c>
      <c r="L691" s="13">
        <v>3.3</v>
      </c>
      <c r="M691" s="14">
        <f t="shared" si="31"/>
        <v>0.83333333333333337</v>
      </c>
      <c r="N691" s="14">
        <f t="shared" si="32"/>
        <v>0</v>
      </c>
    </row>
    <row r="692" spans="1:14" x14ac:dyDescent="0.25">
      <c r="A692" s="9" t="s">
        <v>33</v>
      </c>
      <c r="B692" s="9">
        <f t="shared" si="30"/>
        <v>44927</v>
      </c>
      <c r="C692" s="9" t="str">
        <f>TEXT('Cleaned Datasets'!$B692,"MMMM")</f>
        <v>January</v>
      </c>
      <c r="D692" s="10" t="s">
        <v>56</v>
      </c>
      <c r="E692" s="10" t="s">
        <v>62</v>
      </c>
      <c r="F692" s="10" t="s">
        <v>22</v>
      </c>
      <c r="G692" s="10" t="s">
        <v>30</v>
      </c>
      <c r="H692" s="10" t="s">
        <v>15</v>
      </c>
      <c r="I692" s="10">
        <v>3</v>
      </c>
      <c r="J692" s="10">
        <v>2</v>
      </c>
      <c r="K692" s="10">
        <v>0</v>
      </c>
      <c r="L692" s="10">
        <v>2.2999999999999998</v>
      </c>
      <c r="M692" s="11">
        <f t="shared" si="31"/>
        <v>0.66666666666666663</v>
      </c>
      <c r="N692" s="11">
        <f t="shared" si="32"/>
        <v>0</v>
      </c>
    </row>
    <row r="693" spans="1:14" x14ac:dyDescent="0.25">
      <c r="A693" s="12" t="s">
        <v>23</v>
      </c>
      <c r="B693" s="12">
        <f t="shared" si="30"/>
        <v>45200</v>
      </c>
      <c r="C693" s="12" t="str">
        <f>TEXT('Cleaned Datasets'!$B693,"MMMM")</f>
        <v>October</v>
      </c>
      <c r="D693" s="13" t="s">
        <v>11</v>
      </c>
      <c r="E693" s="13" t="s">
        <v>12</v>
      </c>
      <c r="F693" s="13" t="s">
        <v>21</v>
      </c>
      <c r="G693" s="13" t="s">
        <v>22</v>
      </c>
      <c r="H693" s="13" t="s">
        <v>15</v>
      </c>
      <c r="I693" s="13">
        <v>4</v>
      </c>
      <c r="J693" s="13">
        <v>3</v>
      </c>
      <c r="K693" s="13">
        <v>0</v>
      </c>
      <c r="L693" s="13">
        <v>3</v>
      </c>
      <c r="M693" s="14">
        <f t="shared" si="31"/>
        <v>0.75</v>
      </c>
      <c r="N693" s="14">
        <f t="shared" si="32"/>
        <v>0</v>
      </c>
    </row>
    <row r="694" spans="1:14" x14ac:dyDescent="0.25">
      <c r="A694" s="9" t="s">
        <v>36</v>
      </c>
      <c r="B694" s="9">
        <f t="shared" si="30"/>
        <v>44986</v>
      </c>
      <c r="C694" s="9" t="str">
        <f>TEXT('Cleaned Datasets'!$B694,"MMMM")</f>
        <v>March</v>
      </c>
      <c r="D694" s="10" t="s">
        <v>37</v>
      </c>
      <c r="E694" s="10" t="s">
        <v>38</v>
      </c>
      <c r="F694" s="10" t="s">
        <v>21</v>
      </c>
      <c r="G694" s="10" t="s">
        <v>30</v>
      </c>
      <c r="H694" s="10" t="s">
        <v>19</v>
      </c>
      <c r="I694" s="10">
        <v>3</v>
      </c>
      <c r="J694" s="10">
        <v>3</v>
      </c>
      <c r="K694" s="10">
        <v>0</v>
      </c>
      <c r="L694" s="10">
        <v>2.7</v>
      </c>
      <c r="M694" s="11">
        <f t="shared" si="31"/>
        <v>1</v>
      </c>
      <c r="N694" s="11">
        <f t="shared" si="32"/>
        <v>0</v>
      </c>
    </row>
    <row r="695" spans="1:14" x14ac:dyDescent="0.25">
      <c r="A695" s="12" t="s">
        <v>36</v>
      </c>
      <c r="B695" s="12">
        <f t="shared" si="30"/>
        <v>44986</v>
      </c>
      <c r="C695" s="12" t="str">
        <f>TEXT('Cleaned Datasets'!$B695,"MMMM")</f>
        <v>March</v>
      </c>
      <c r="D695" s="13" t="s">
        <v>46</v>
      </c>
      <c r="E695" s="13" t="s">
        <v>54</v>
      </c>
      <c r="F695" s="13" t="s">
        <v>26</v>
      </c>
      <c r="G695" s="13" t="s">
        <v>53</v>
      </c>
      <c r="H695" s="13" t="s">
        <v>15</v>
      </c>
      <c r="I695" s="13">
        <v>5</v>
      </c>
      <c r="J695" s="13">
        <v>5</v>
      </c>
      <c r="K695" s="13">
        <v>0</v>
      </c>
      <c r="L695" s="13">
        <v>4.2</v>
      </c>
      <c r="M695" s="14">
        <f t="shared" si="31"/>
        <v>1</v>
      </c>
      <c r="N695" s="14">
        <f t="shared" si="32"/>
        <v>0</v>
      </c>
    </row>
    <row r="696" spans="1:14" x14ac:dyDescent="0.25">
      <c r="A696" s="9" t="s">
        <v>36</v>
      </c>
      <c r="B696" s="9">
        <f t="shared" si="30"/>
        <v>44986</v>
      </c>
      <c r="C696" s="9" t="str">
        <f>TEXT('Cleaned Datasets'!$B696,"MMMM")</f>
        <v>March</v>
      </c>
      <c r="D696" s="10" t="s">
        <v>34</v>
      </c>
      <c r="E696" s="10" t="s">
        <v>35</v>
      </c>
      <c r="F696" s="10" t="s">
        <v>13</v>
      </c>
      <c r="G696" s="10" t="s">
        <v>14</v>
      </c>
      <c r="H696" s="10" t="s">
        <v>15</v>
      </c>
      <c r="I696" s="10">
        <v>7</v>
      </c>
      <c r="J696" s="10">
        <v>7</v>
      </c>
      <c r="K696" s="10">
        <v>0</v>
      </c>
      <c r="L696" s="10">
        <v>0.5</v>
      </c>
      <c r="M696" s="11">
        <f t="shared" si="31"/>
        <v>1</v>
      </c>
      <c r="N696" s="11">
        <f t="shared" si="32"/>
        <v>0</v>
      </c>
    </row>
    <row r="697" spans="1:14" x14ac:dyDescent="0.25">
      <c r="A697" s="12" t="s">
        <v>45</v>
      </c>
      <c r="B697" s="12">
        <f t="shared" si="30"/>
        <v>45047</v>
      </c>
      <c r="C697" s="12" t="str">
        <f>TEXT('Cleaned Datasets'!$B697,"MMMM")</f>
        <v>May</v>
      </c>
      <c r="D697" s="13" t="s">
        <v>48</v>
      </c>
      <c r="E697" s="13" t="s">
        <v>49</v>
      </c>
      <c r="F697" s="13" t="s">
        <v>22</v>
      </c>
      <c r="G697" s="13" t="s">
        <v>30</v>
      </c>
      <c r="H697" s="13" t="s">
        <v>19</v>
      </c>
      <c r="I697" s="13">
        <v>6</v>
      </c>
      <c r="J697" s="13">
        <v>4</v>
      </c>
      <c r="K697" s="13">
        <v>1</v>
      </c>
      <c r="L697" s="13">
        <v>1.3</v>
      </c>
      <c r="M697" s="14">
        <f t="shared" si="31"/>
        <v>0.66666666666666663</v>
      </c>
      <c r="N697" s="14">
        <f t="shared" si="32"/>
        <v>0.16666666666666666</v>
      </c>
    </row>
    <row r="698" spans="1:14" x14ac:dyDescent="0.25">
      <c r="A698" s="9" t="s">
        <v>36</v>
      </c>
      <c r="B698" s="9">
        <f t="shared" si="30"/>
        <v>44986</v>
      </c>
      <c r="C698" s="9" t="str">
        <f>TEXT('Cleaned Datasets'!$B698,"MMMM")</f>
        <v>March</v>
      </c>
      <c r="D698" s="10" t="s">
        <v>34</v>
      </c>
      <c r="E698" s="10" t="s">
        <v>35</v>
      </c>
      <c r="F698" s="10" t="s">
        <v>32</v>
      </c>
      <c r="G698" s="10" t="s">
        <v>30</v>
      </c>
      <c r="H698" s="10" t="s">
        <v>19</v>
      </c>
      <c r="I698" s="10">
        <v>2</v>
      </c>
      <c r="J698" s="10">
        <v>1</v>
      </c>
      <c r="K698" s="10">
        <v>1</v>
      </c>
      <c r="L698" s="10">
        <v>3.2</v>
      </c>
      <c r="M698" s="11">
        <f t="shared" si="31"/>
        <v>0.5</v>
      </c>
      <c r="N698" s="11">
        <f t="shared" si="32"/>
        <v>0.5</v>
      </c>
    </row>
    <row r="699" spans="1:14" x14ac:dyDescent="0.25">
      <c r="A699" s="12" t="s">
        <v>43</v>
      </c>
      <c r="B699" s="12">
        <f t="shared" si="30"/>
        <v>44958</v>
      </c>
      <c r="C699" s="12" t="str">
        <f>TEXT('Cleaned Datasets'!$B699,"MMMM")</f>
        <v>February</v>
      </c>
      <c r="D699" s="13" t="s">
        <v>48</v>
      </c>
      <c r="E699" s="13" t="s">
        <v>49</v>
      </c>
      <c r="F699" s="13" t="s">
        <v>13</v>
      </c>
      <c r="G699" s="13" t="s">
        <v>53</v>
      </c>
      <c r="H699" s="13" t="s">
        <v>19</v>
      </c>
      <c r="I699" s="13">
        <v>2</v>
      </c>
      <c r="J699" s="13">
        <v>2</v>
      </c>
      <c r="K699" s="13">
        <v>0</v>
      </c>
      <c r="L699" s="13">
        <v>3.9</v>
      </c>
      <c r="M699" s="14">
        <f t="shared" si="31"/>
        <v>1</v>
      </c>
      <c r="N699" s="14">
        <f t="shared" si="32"/>
        <v>0</v>
      </c>
    </row>
    <row r="700" spans="1:14" x14ac:dyDescent="0.25">
      <c r="A700" s="9" t="s">
        <v>10</v>
      </c>
      <c r="B700" s="9">
        <f t="shared" si="30"/>
        <v>45017</v>
      </c>
      <c r="C700" s="9" t="str">
        <f>TEXT('Cleaned Datasets'!$B700,"MMMM")</f>
        <v>April</v>
      </c>
      <c r="D700" s="10" t="s">
        <v>34</v>
      </c>
      <c r="E700" s="10" t="s">
        <v>51</v>
      </c>
      <c r="F700" s="10" t="s">
        <v>40</v>
      </c>
      <c r="G700" s="10" t="s">
        <v>14</v>
      </c>
      <c r="H700" s="10" t="s">
        <v>15</v>
      </c>
      <c r="I700" s="10">
        <v>4</v>
      </c>
      <c r="J700" s="10">
        <v>4</v>
      </c>
      <c r="K700" s="10">
        <v>0</v>
      </c>
      <c r="L700" s="10">
        <v>3</v>
      </c>
      <c r="M700" s="11">
        <f t="shared" si="31"/>
        <v>1</v>
      </c>
      <c r="N700" s="11">
        <f t="shared" si="32"/>
        <v>0</v>
      </c>
    </row>
    <row r="701" spans="1:14" x14ac:dyDescent="0.25">
      <c r="A701" s="12" t="s">
        <v>10</v>
      </c>
      <c r="B701" s="12">
        <f t="shared" si="30"/>
        <v>45017</v>
      </c>
      <c r="C701" s="12" t="str">
        <f>TEXT('Cleaned Datasets'!$B701,"MMMM")</f>
        <v>April</v>
      </c>
      <c r="D701" s="13" t="s">
        <v>56</v>
      </c>
      <c r="E701" s="13" t="s">
        <v>62</v>
      </c>
      <c r="F701" s="13" t="s">
        <v>13</v>
      </c>
      <c r="G701" s="13" t="s">
        <v>53</v>
      </c>
      <c r="H701" s="13" t="s">
        <v>15</v>
      </c>
      <c r="I701" s="13">
        <v>7</v>
      </c>
      <c r="J701" s="13">
        <v>5</v>
      </c>
      <c r="K701" s="13">
        <v>0</v>
      </c>
      <c r="L701" s="13">
        <v>1.2</v>
      </c>
      <c r="M701" s="14">
        <f t="shared" si="31"/>
        <v>0.7142857142857143</v>
      </c>
      <c r="N701" s="14">
        <f t="shared" si="32"/>
        <v>0</v>
      </c>
    </row>
    <row r="702" spans="1:14" x14ac:dyDescent="0.25">
      <c r="A702" s="9" t="s">
        <v>45</v>
      </c>
      <c r="B702" s="9">
        <f t="shared" si="30"/>
        <v>45047</v>
      </c>
      <c r="C702" s="9" t="str">
        <f>TEXT('Cleaned Datasets'!$B702,"MMMM")</f>
        <v>May</v>
      </c>
      <c r="D702" s="10" t="s">
        <v>37</v>
      </c>
      <c r="E702" s="10" t="s">
        <v>39</v>
      </c>
      <c r="F702" s="10" t="s">
        <v>13</v>
      </c>
      <c r="G702" s="10" t="s">
        <v>18</v>
      </c>
      <c r="H702" s="10" t="s">
        <v>19</v>
      </c>
      <c r="I702" s="10">
        <v>4</v>
      </c>
      <c r="J702" s="10">
        <v>3</v>
      </c>
      <c r="K702" s="10">
        <v>0</v>
      </c>
      <c r="L702" s="10">
        <v>2.7</v>
      </c>
      <c r="M702" s="11">
        <f t="shared" si="31"/>
        <v>0.75</v>
      </c>
      <c r="N702" s="11">
        <f t="shared" si="32"/>
        <v>0</v>
      </c>
    </row>
    <row r="703" spans="1:14" x14ac:dyDescent="0.25">
      <c r="A703" s="12" t="s">
        <v>61</v>
      </c>
      <c r="B703" s="12">
        <f t="shared" si="30"/>
        <v>45231</v>
      </c>
      <c r="C703" s="12" t="str">
        <f>TEXT('Cleaned Datasets'!$B703,"MMMM")</f>
        <v>November</v>
      </c>
      <c r="D703" s="13" t="s">
        <v>48</v>
      </c>
      <c r="E703" s="13" t="s">
        <v>49</v>
      </c>
      <c r="F703" s="13" t="s">
        <v>32</v>
      </c>
      <c r="G703" s="13" t="s">
        <v>30</v>
      </c>
      <c r="H703" s="13" t="s">
        <v>19</v>
      </c>
      <c r="I703" s="13">
        <v>6</v>
      </c>
      <c r="J703" s="13">
        <v>6</v>
      </c>
      <c r="K703" s="13">
        <v>0</v>
      </c>
      <c r="L703" s="13">
        <v>1.7</v>
      </c>
      <c r="M703" s="14">
        <f t="shared" si="31"/>
        <v>1</v>
      </c>
      <c r="N703" s="14">
        <f t="shared" si="32"/>
        <v>0</v>
      </c>
    </row>
    <row r="704" spans="1:14" x14ac:dyDescent="0.25">
      <c r="A704" s="9" t="s">
        <v>50</v>
      </c>
      <c r="B704" s="9">
        <f t="shared" si="30"/>
        <v>45108</v>
      </c>
      <c r="C704" s="9" t="str">
        <f>TEXT('Cleaned Datasets'!$B704,"MMMM")</f>
        <v>July</v>
      </c>
      <c r="D704" s="10" t="s">
        <v>46</v>
      </c>
      <c r="E704" s="10" t="s">
        <v>54</v>
      </c>
      <c r="F704" s="10" t="s">
        <v>13</v>
      </c>
      <c r="G704" s="10" t="s">
        <v>27</v>
      </c>
      <c r="H704" s="10" t="s">
        <v>15</v>
      </c>
      <c r="I704" s="10">
        <v>8</v>
      </c>
      <c r="J704" s="10">
        <v>7</v>
      </c>
      <c r="K704" s="10">
        <v>0</v>
      </c>
      <c r="L704" s="10">
        <v>2</v>
      </c>
      <c r="M704" s="11">
        <f t="shared" si="31"/>
        <v>0.875</v>
      </c>
      <c r="N704" s="11">
        <f t="shared" si="32"/>
        <v>0</v>
      </c>
    </row>
    <row r="705" spans="1:14" x14ac:dyDescent="0.25">
      <c r="A705" s="12" t="s">
        <v>10</v>
      </c>
      <c r="B705" s="12">
        <f t="shared" si="30"/>
        <v>45017</v>
      </c>
      <c r="C705" s="12" t="str">
        <f>TEXT('Cleaned Datasets'!$B705,"MMMM")</f>
        <v>April</v>
      </c>
      <c r="D705" s="13" t="s">
        <v>48</v>
      </c>
      <c r="E705" s="13" t="s">
        <v>63</v>
      </c>
      <c r="F705" s="13" t="s">
        <v>13</v>
      </c>
      <c r="G705" s="13" t="s">
        <v>18</v>
      </c>
      <c r="H705" s="13" t="s">
        <v>15</v>
      </c>
      <c r="I705" s="13">
        <v>3</v>
      </c>
      <c r="J705" s="13">
        <v>3</v>
      </c>
      <c r="K705" s="13">
        <v>0</v>
      </c>
      <c r="L705" s="13">
        <v>3.1</v>
      </c>
      <c r="M705" s="14">
        <f t="shared" si="31"/>
        <v>1</v>
      </c>
      <c r="N705" s="14">
        <f t="shared" si="32"/>
        <v>0</v>
      </c>
    </row>
    <row r="706" spans="1:14" x14ac:dyDescent="0.25">
      <c r="A706" s="9" t="s">
        <v>31</v>
      </c>
      <c r="B706" s="9">
        <f t="shared" si="30"/>
        <v>45139</v>
      </c>
      <c r="C706" s="9" t="str">
        <f>TEXT('Cleaned Datasets'!$B706,"MMMM")</f>
        <v>August</v>
      </c>
      <c r="D706" s="10" t="s">
        <v>37</v>
      </c>
      <c r="E706" s="10" t="s">
        <v>38</v>
      </c>
      <c r="F706" s="10" t="s">
        <v>40</v>
      </c>
      <c r="G706" s="10" t="s">
        <v>14</v>
      </c>
      <c r="H706" s="10" t="s">
        <v>19</v>
      </c>
      <c r="I706" s="10">
        <v>5</v>
      </c>
      <c r="J706" s="10">
        <v>4</v>
      </c>
      <c r="K706" s="10">
        <v>2</v>
      </c>
      <c r="L706" s="10">
        <v>1.2</v>
      </c>
      <c r="M706" s="11">
        <f t="shared" si="31"/>
        <v>0.8</v>
      </c>
      <c r="N706" s="11">
        <f t="shared" si="32"/>
        <v>0.4</v>
      </c>
    </row>
    <row r="707" spans="1:14" x14ac:dyDescent="0.25">
      <c r="A707" s="12" t="s">
        <v>10</v>
      </c>
      <c r="B707" s="12">
        <f t="shared" ref="B707:B770" si="33">DATE(LEFT(A707,4), RIGHT(A707,2), 1)</f>
        <v>45017</v>
      </c>
      <c r="C707" s="12" t="str">
        <f>TEXT('Cleaned Datasets'!$B707,"MMMM")</f>
        <v>April</v>
      </c>
      <c r="D707" s="13" t="s">
        <v>28</v>
      </c>
      <c r="E707" s="13" t="s">
        <v>58</v>
      </c>
      <c r="F707" s="13" t="s">
        <v>26</v>
      </c>
      <c r="G707" s="13" t="s">
        <v>27</v>
      </c>
      <c r="H707" s="13" t="s">
        <v>15</v>
      </c>
      <c r="I707" s="13">
        <v>4</v>
      </c>
      <c r="J707" s="13">
        <v>4</v>
      </c>
      <c r="K707" s="13">
        <v>0</v>
      </c>
      <c r="L707" s="13">
        <v>2.2999999999999998</v>
      </c>
      <c r="M707" s="14">
        <f t="shared" ref="M707:M770" si="34">IFERROR(J707/I707,0)</f>
        <v>1</v>
      </c>
      <c r="N707" s="14">
        <f t="shared" ref="N707:N770" si="35">IFERROR(K707/I707,0)</f>
        <v>0</v>
      </c>
    </row>
    <row r="708" spans="1:14" x14ac:dyDescent="0.25">
      <c r="A708" s="9" t="s">
        <v>50</v>
      </c>
      <c r="B708" s="9">
        <f t="shared" si="33"/>
        <v>45108</v>
      </c>
      <c r="C708" s="9" t="str">
        <f>TEXT('Cleaned Datasets'!$B708,"MMMM")</f>
        <v>July</v>
      </c>
      <c r="D708" s="10" t="s">
        <v>37</v>
      </c>
      <c r="E708" s="10" t="s">
        <v>39</v>
      </c>
      <c r="F708" s="10" t="s">
        <v>21</v>
      </c>
      <c r="G708" s="10" t="s">
        <v>18</v>
      </c>
      <c r="H708" s="10" t="s">
        <v>19</v>
      </c>
      <c r="I708" s="10">
        <v>5</v>
      </c>
      <c r="J708" s="10">
        <v>5</v>
      </c>
      <c r="K708" s="10">
        <v>1</v>
      </c>
      <c r="L708" s="10">
        <v>3.7</v>
      </c>
      <c r="M708" s="11">
        <f t="shared" si="34"/>
        <v>1</v>
      </c>
      <c r="N708" s="11">
        <f t="shared" si="35"/>
        <v>0.2</v>
      </c>
    </row>
    <row r="709" spans="1:14" x14ac:dyDescent="0.25">
      <c r="A709" s="12" t="s">
        <v>59</v>
      </c>
      <c r="B709" s="12">
        <f t="shared" si="33"/>
        <v>45170</v>
      </c>
      <c r="C709" s="12" t="str">
        <f>TEXT('Cleaned Datasets'!$B709,"MMMM")</f>
        <v>September</v>
      </c>
      <c r="D709" s="13" t="s">
        <v>37</v>
      </c>
      <c r="E709" s="13" t="s">
        <v>38</v>
      </c>
      <c r="F709" s="13" t="s">
        <v>22</v>
      </c>
      <c r="G709" s="13" t="s">
        <v>27</v>
      </c>
      <c r="H709" s="13" t="s">
        <v>15</v>
      </c>
      <c r="I709" s="13">
        <v>8</v>
      </c>
      <c r="J709" s="13">
        <v>7</v>
      </c>
      <c r="K709" s="13">
        <v>0</v>
      </c>
      <c r="L709" s="13">
        <v>4.2</v>
      </c>
      <c r="M709" s="14">
        <f t="shared" si="34"/>
        <v>0.875</v>
      </c>
      <c r="N709" s="14">
        <f t="shared" si="35"/>
        <v>0</v>
      </c>
    </row>
    <row r="710" spans="1:14" x14ac:dyDescent="0.25">
      <c r="A710" s="9" t="s">
        <v>61</v>
      </c>
      <c r="B710" s="9">
        <f t="shared" si="33"/>
        <v>45231</v>
      </c>
      <c r="C710" s="9" t="str">
        <f>TEXT('Cleaned Datasets'!$B710,"MMMM")</f>
        <v>November</v>
      </c>
      <c r="D710" s="10" t="s">
        <v>56</v>
      </c>
      <c r="E710" s="10" t="s">
        <v>57</v>
      </c>
      <c r="F710" s="10" t="s">
        <v>22</v>
      </c>
      <c r="G710" s="10" t="s">
        <v>53</v>
      </c>
      <c r="H710" s="10" t="s">
        <v>15</v>
      </c>
      <c r="I710" s="10">
        <v>1</v>
      </c>
      <c r="J710" s="10">
        <v>1</v>
      </c>
      <c r="K710" s="10">
        <v>0</v>
      </c>
      <c r="L710" s="10">
        <v>2.9</v>
      </c>
      <c r="M710" s="11">
        <f t="shared" si="34"/>
        <v>1</v>
      </c>
      <c r="N710" s="11">
        <f t="shared" si="35"/>
        <v>0</v>
      </c>
    </row>
    <row r="711" spans="1:14" x14ac:dyDescent="0.25">
      <c r="A711" s="12" t="s">
        <v>45</v>
      </c>
      <c r="B711" s="12">
        <f t="shared" si="33"/>
        <v>45047</v>
      </c>
      <c r="C711" s="12" t="str">
        <f>TEXT('Cleaned Datasets'!$B711,"MMMM")</f>
        <v>May</v>
      </c>
      <c r="D711" s="13" t="s">
        <v>34</v>
      </c>
      <c r="E711" s="13" t="s">
        <v>35</v>
      </c>
      <c r="F711" s="13" t="s">
        <v>26</v>
      </c>
      <c r="G711" s="13" t="s">
        <v>53</v>
      </c>
      <c r="H711" s="13" t="s">
        <v>19</v>
      </c>
      <c r="I711" s="13">
        <v>5</v>
      </c>
      <c r="J711" s="13">
        <v>3</v>
      </c>
      <c r="K711" s="13">
        <v>0</v>
      </c>
      <c r="L711" s="13">
        <v>3.5</v>
      </c>
      <c r="M711" s="14">
        <f t="shared" si="34"/>
        <v>0.6</v>
      </c>
      <c r="N711" s="14">
        <f t="shared" si="35"/>
        <v>0</v>
      </c>
    </row>
    <row r="712" spans="1:14" x14ac:dyDescent="0.25">
      <c r="A712" s="9" t="s">
        <v>61</v>
      </c>
      <c r="B712" s="9">
        <f t="shared" si="33"/>
        <v>45231</v>
      </c>
      <c r="C712" s="9" t="str">
        <f>TEXT('Cleaned Datasets'!$B712,"MMMM")</f>
        <v>November</v>
      </c>
      <c r="D712" s="10" t="s">
        <v>11</v>
      </c>
      <c r="E712" s="10" t="s">
        <v>52</v>
      </c>
      <c r="F712" s="10" t="s">
        <v>21</v>
      </c>
      <c r="G712" s="10" t="s">
        <v>14</v>
      </c>
      <c r="H712" s="10" t="s">
        <v>15</v>
      </c>
      <c r="I712" s="10">
        <v>2</v>
      </c>
      <c r="J712" s="10">
        <v>2</v>
      </c>
      <c r="K712" s="10">
        <v>0</v>
      </c>
      <c r="L712" s="10">
        <v>2.9</v>
      </c>
      <c r="M712" s="11">
        <f t="shared" si="34"/>
        <v>1</v>
      </c>
      <c r="N712" s="11">
        <f t="shared" si="35"/>
        <v>0</v>
      </c>
    </row>
    <row r="713" spans="1:14" x14ac:dyDescent="0.25">
      <c r="A713" s="12" t="s">
        <v>31</v>
      </c>
      <c r="B713" s="12">
        <f t="shared" si="33"/>
        <v>45139</v>
      </c>
      <c r="C713" s="12" t="str">
        <f>TEXT('Cleaned Datasets'!$B713,"MMMM")</f>
        <v>August</v>
      </c>
      <c r="D713" s="13" t="s">
        <v>16</v>
      </c>
      <c r="E713" s="13" t="s">
        <v>60</v>
      </c>
      <c r="F713" s="13" t="s">
        <v>21</v>
      </c>
      <c r="G713" s="13" t="s">
        <v>14</v>
      </c>
      <c r="H713" s="13" t="s">
        <v>19</v>
      </c>
      <c r="I713" s="13">
        <v>1</v>
      </c>
      <c r="J713" s="13">
        <v>1</v>
      </c>
      <c r="K713" s="13">
        <v>0</v>
      </c>
      <c r="L713" s="13">
        <v>2.2000000000000002</v>
      </c>
      <c r="M713" s="14">
        <f t="shared" si="34"/>
        <v>1</v>
      </c>
      <c r="N713" s="14">
        <f t="shared" si="35"/>
        <v>0</v>
      </c>
    </row>
    <row r="714" spans="1:14" x14ac:dyDescent="0.25">
      <c r="A714" s="9" t="s">
        <v>61</v>
      </c>
      <c r="B714" s="9">
        <f t="shared" si="33"/>
        <v>45231</v>
      </c>
      <c r="C714" s="9" t="str">
        <f>TEXT('Cleaned Datasets'!$B714,"MMMM")</f>
        <v>November</v>
      </c>
      <c r="D714" s="10" t="s">
        <v>11</v>
      </c>
      <c r="E714" s="10" t="s">
        <v>52</v>
      </c>
      <c r="F714" s="10" t="s">
        <v>32</v>
      </c>
      <c r="G714" s="10" t="s">
        <v>53</v>
      </c>
      <c r="H714" s="10" t="s">
        <v>15</v>
      </c>
      <c r="I714" s="10">
        <v>8</v>
      </c>
      <c r="J714" s="10">
        <v>6</v>
      </c>
      <c r="K714" s="10">
        <v>1</v>
      </c>
      <c r="L714" s="10">
        <v>2.2999999999999998</v>
      </c>
      <c r="M714" s="11">
        <f t="shared" si="34"/>
        <v>0.75</v>
      </c>
      <c r="N714" s="11">
        <f t="shared" si="35"/>
        <v>0.125</v>
      </c>
    </row>
    <row r="715" spans="1:14" x14ac:dyDescent="0.25">
      <c r="A715" s="12" t="s">
        <v>10</v>
      </c>
      <c r="B715" s="12">
        <f t="shared" si="33"/>
        <v>45017</v>
      </c>
      <c r="C715" s="12" t="str">
        <f>TEXT('Cleaned Datasets'!$B715,"MMMM")</f>
        <v>April</v>
      </c>
      <c r="D715" s="13" t="s">
        <v>16</v>
      </c>
      <c r="E715" s="13" t="s">
        <v>60</v>
      </c>
      <c r="F715" s="13" t="s">
        <v>13</v>
      </c>
      <c r="G715" s="13" t="s">
        <v>27</v>
      </c>
      <c r="H715" s="13" t="s">
        <v>19</v>
      </c>
      <c r="I715" s="13">
        <v>4</v>
      </c>
      <c r="J715" s="13">
        <v>3</v>
      </c>
      <c r="K715" s="13">
        <v>0</v>
      </c>
      <c r="L715" s="13">
        <v>2.2999999999999998</v>
      </c>
      <c r="M715" s="14">
        <f t="shared" si="34"/>
        <v>0.75</v>
      </c>
      <c r="N715" s="14">
        <f t="shared" si="35"/>
        <v>0</v>
      </c>
    </row>
    <row r="716" spans="1:14" x14ac:dyDescent="0.25">
      <c r="A716" s="9" t="s">
        <v>50</v>
      </c>
      <c r="B716" s="9">
        <f t="shared" si="33"/>
        <v>45108</v>
      </c>
      <c r="C716" s="9" t="str">
        <f>TEXT('Cleaned Datasets'!$B716,"MMMM")</f>
        <v>July</v>
      </c>
      <c r="D716" s="10" t="s">
        <v>28</v>
      </c>
      <c r="E716" s="10" t="s">
        <v>29</v>
      </c>
      <c r="F716" s="10" t="s">
        <v>32</v>
      </c>
      <c r="G716" s="10" t="s">
        <v>30</v>
      </c>
      <c r="H716" s="10" t="s">
        <v>15</v>
      </c>
      <c r="I716" s="10">
        <v>4</v>
      </c>
      <c r="J716" s="10">
        <v>4</v>
      </c>
      <c r="K716" s="10">
        <v>0</v>
      </c>
      <c r="L716" s="10">
        <v>3.7</v>
      </c>
      <c r="M716" s="11">
        <f t="shared" si="34"/>
        <v>1</v>
      </c>
      <c r="N716" s="11">
        <f t="shared" si="35"/>
        <v>0</v>
      </c>
    </row>
    <row r="717" spans="1:14" x14ac:dyDescent="0.25">
      <c r="A717" s="12" t="s">
        <v>31</v>
      </c>
      <c r="B717" s="12">
        <f t="shared" si="33"/>
        <v>45139</v>
      </c>
      <c r="C717" s="12" t="str">
        <f>TEXT('Cleaned Datasets'!$B717,"MMMM")</f>
        <v>August</v>
      </c>
      <c r="D717" s="13" t="s">
        <v>56</v>
      </c>
      <c r="E717" s="13" t="s">
        <v>62</v>
      </c>
      <c r="F717" s="13" t="s">
        <v>21</v>
      </c>
      <c r="G717" s="13" t="s">
        <v>22</v>
      </c>
      <c r="H717" s="13" t="s">
        <v>15</v>
      </c>
      <c r="I717" s="13">
        <v>6</v>
      </c>
      <c r="J717" s="13">
        <v>6</v>
      </c>
      <c r="K717" s="13">
        <v>0</v>
      </c>
      <c r="L717" s="13">
        <v>3.3</v>
      </c>
      <c r="M717" s="14">
        <f t="shared" si="34"/>
        <v>1</v>
      </c>
      <c r="N717" s="14">
        <f t="shared" si="35"/>
        <v>0</v>
      </c>
    </row>
    <row r="718" spans="1:14" x14ac:dyDescent="0.25">
      <c r="A718" s="9" t="s">
        <v>23</v>
      </c>
      <c r="B718" s="9">
        <f t="shared" si="33"/>
        <v>45200</v>
      </c>
      <c r="C718" s="9" t="str">
        <f>TEXT('Cleaned Datasets'!$B718,"MMMM")</f>
        <v>October</v>
      </c>
      <c r="D718" s="10" t="s">
        <v>24</v>
      </c>
      <c r="E718" s="10" t="s">
        <v>64</v>
      </c>
      <c r="F718" s="10" t="s">
        <v>13</v>
      </c>
      <c r="G718" s="10" t="s">
        <v>22</v>
      </c>
      <c r="H718" s="10" t="s">
        <v>15</v>
      </c>
      <c r="I718" s="10">
        <v>4</v>
      </c>
      <c r="J718" s="10">
        <v>4</v>
      </c>
      <c r="K718" s="10">
        <v>0</v>
      </c>
      <c r="L718" s="10">
        <v>3.8</v>
      </c>
      <c r="M718" s="11">
        <f t="shared" si="34"/>
        <v>1</v>
      </c>
      <c r="N718" s="11">
        <f t="shared" si="35"/>
        <v>0</v>
      </c>
    </row>
    <row r="719" spans="1:14" x14ac:dyDescent="0.25">
      <c r="A719" s="12" t="s">
        <v>59</v>
      </c>
      <c r="B719" s="12">
        <f t="shared" si="33"/>
        <v>45170</v>
      </c>
      <c r="C719" s="12" t="str">
        <f>TEXT('Cleaned Datasets'!$B719,"MMMM")</f>
        <v>September</v>
      </c>
      <c r="D719" s="13" t="s">
        <v>34</v>
      </c>
      <c r="E719" s="13" t="s">
        <v>51</v>
      </c>
      <c r="F719" s="13" t="s">
        <v>21</v>
      </c>
      <c r="G719" s="13" t="s">
        <v>27</v>
      </c>
      <c r="H719" s="13" t="s">
        <v>15</v>
      </c>
      <c r="I719" s="13">
        <v>4</v>
      </c>
      <c r="J719" s="13">
        <v>4</v>
      </c>
      <c r="K719" s="13">
        <v>0</v>
      </c>
      <c r="L719" s="13">
        <v>4</v>
      </c>
      <c r="M719" s="14">
        <f t="shared" si="34"/>
        <v>1</v>
      </c>
      <c r="N719" s="14">
        <f t="shared" si="35"/>
        <v>0</v>
      </c>
    </row>
    <row r="720" spans="1:14" x14ac:dyDescent="0.25">
      <c r="A720" s="9" t="s">
        <v>45</v>
      </c>
      <c r="B720" s="9">
        <f t="shared" si="33"/>
        <v>45047</v>
      </c>
      <c r="C720" s="9" t="str">
        <f>TEXT('Cleaned Datasets'!$B720,"MMMM")</f>
        <v>May</v>
      </c>
      <c r="D720" s="10" t="s">
        <v>56</v>
      </c>
      <c r="E720" s="10" t="s">
        <v>57</v>
      </c>
      <c r="F720" s="10" t="s">
        <v>26</v>
      </c>
      <c r="G720" s="10" t="s">
        <v>22</v>
      </c>
      <c r="H720" s="10" t="s">
        <v>15</v>
      </c>
      <c r="I720" s="10">
        <v>5</v>
      </c>
      <c r="J720" s="10">
        <v>5</v>
      </c>
      <c r="K720" s="10">
        <v>0</v>
      </c>
      <c r="L720" s="10">
        <v>3.5</v>
      </c>
      <c r="M720" s="11">
        <f t="shared" si="34"/>
        <v>1</v>
      </c>
      <c r="N720" s="11">
        <f t="shared" si="35"/>
        <v>0</v>
      </c>
    </row>
    <row r="721" spans="1:14" x14ac:dyDescent="0.25">
      <c r="A721" s="12" t="s">
        <v>23</v>
      </c>
      <c r="B721" s="12">
        <f t="shared" si="33"/>
        <v>45200</v>
      </c>
      <c r="C721" s="12" t="str">
        <f>TEXT('Cleaned Datasets'!$B721,"MMMM")</f>
        <v>October</v>
      </c>
      <c r="D721" s="13" t="s">
        <v>28</v>
      </c>
      <c r="E721" s="13" t="s">
        <v>29</v>
      </c>
      <c r="F721" s="13" t="s">
        <v>21</v>
      </c>
      <c r="G721" s="13" t="s">
        <v>22</v>
      </c>
      <c r="H721" s="13" t="s">
        <v>19</v>
      </c>
      <c r="I721" s="13">
        <v>6</v>
      </c>
      <c r="J721" s="13">
        <v>5</v>
      </c>
      <c r="K721" s="13">
        <v>0</v>
      </c>
      <c r="L721" s="13">
        <v>3.2</v>
      </c>
      <c r="M721" s="14">
        <f t="shared" si="34"/>
        <v>0.83333333333333337</v>
      </c>
      <c r="N721" s="14">
        <f t="shared" si="35"/>
        <v>0</v>
      </c>
    </row>
    <row r="722" spans="1:14" x14ac:dyDescent="0.25">
      <c r="A722" s="9" t="s">
        <v>23</v>
      </c>
      <c r="B722" s="9">
        <f t="shared" si="33"/>
        <v>45200</v>
      </c>
      <c r="C722" s="9" t="str">
        <f>TEXT('Cleaned Datasets'!$B722,"MMMM")</f>
        <v>October</v>
      </c>
      <c r="D722" s="10" t="s">
        <v>24</v>
      </c>
      <c r="E722" s="10" t="s">
        <v>64</v>
      </c>
      <c r="F722" s="10" t="s">
        <v>22</v>
      </c>
      <c r="G722" s="10" t="s">
        <v>18</v>
      </c>
      <c r="H722" s="10" t="s">
        <v>19</v>
      </c>
      <c r="I722" s="10">
        <v>2</v>
      </c>
      <c r="J722" s="10">
        <v>2</v>
      </c>
      <c r="K722" s="10">
        <v>0</v>
      </c>
      <c r="L722" s="10">
        <v>2.1</v>
      </c>
      <c r="M722" s="11">
        <f t="shared" si="34"/>
        <v>1</v>
      </c>
      <c r="N722" s="11">
        <f t="shared" si="35"/>
        <v>0</v>
      </c>
    </row>
    <row r="723" spans="1:14" x14ac:dyDescent="0.25">
      <c r="A723" s="12" t="s">
        <v>23</v>
      </c>
      <c r="B723" s="12">
        <f t="shared" si="33"/>
        <v>45200</v>
      </c>
      <c r="C723" s="12" t="str">
        <f>TEXT('Cleaned Datasets'!$B723,"MMMM")</f>
        <v>October</v>
      </c>
      <c r="D723" s="13" t="s">
        <v>41</v>
      </c>
      <c r="E723" s="13" t="s">
        <v>42</v>
      </c>
      <c r="F723" s="13" t="s">
        <v>40</v>
      </c>
      <c r="G723" s="13" t="s">
        <v>53</v>
      </c>
      <c r="H723" s="13" t="s">
        <v>15</v>
      </c>
      <c r="I723" s="13">
        <v>4</v>
      </c>
      <c r="J723" s="13">
        <v>3</v>
      </c>
      <c r="K723" s="13">
        <v>0</v>
      </c>
      <c r="L723" s="13">
        <v>1.5</v>
      </c>
      <c r="M723" s="14">
        <f t="shared" si="34"/>
        <v>0.75</v>
      </c>
      <c r="N723" s="14">
        <f t="shared" si="35"/>
        <v>0</v>
      </c>
    </row>
    <row r="724" spans="1:14" x14ac:dyDescent="0.25">
      <c r="A724" s="9" t="s">
        <v>61</v>
      </c>
      <c r="B724" s="9">
        <f t="shared" si="33"/>
        <v>45231</v>
      </c>
      <c r="C724" s="9" t="str">
        <f>TEXT('Cleaned Datasets'!$B724,"MMMM")</f>
        <v>November</v>
      </c>
      <c r="D724" s="10" t="s">
        <v>41</v>
      </c>
      <c r="E724" s="10" t="s">
        <v>44</v>
      </c>
      <c r="F724" s="10" t="s">
        <v>26</v>
      </c>
      <c r="G724" s="10" t="s">
        <v>22</v>
      </c>
      <c r="H724" s="10" t="s">
        <v>19</v>
      </c>
      <c r="I724" s="10">
        <v>5</v>
      </c>
      <c r="J724" s="10">
        <v>5</v>
      </c>
      <c r="K724" s="10">
        <v>0</v>
      </c>
      <c r="L724" s="10">
        <v>2.8</v>
      </c>
      <c r="M724" s="11">
        <f t="shared" si="34"/>
        <v>1</v>
      </c>
      <c r="N724" s="11">
        <f t="shared" si="35"/>
        <v>0</v>
      </c>
    </row>
    <row r="725" spans="1:14" x14ac:dyDescent="0.25">
      <c r="A725" s="12" t="s">
        <v>10</v>
      </c>
      <c r="B725" s="12">
        <f t="shared" si="33"/>
        <v>45017</v>
      </c>
      <c r="C725" s="12" t="str">
        <f>TEXT('Cleaned Datasets'!$B725,"MMMM")</f>
        <v>April</v>
      </c>
      <c r="D725" s="13" t="s">
        <v>41</v>
      </c>
      <c r="E725" s="13" t="s">
        <v>44</v>
      </c>
      <c r="F725" s="13" t="s">
        <v>40</v>
      </c>
      <c r="G725" s="13" t="s">
        <v>22</v>
      </c>
      <c r="H725" s="13" t="s">
        <v>19</v>
      </c>
      <c r="I725" s="13">
        <v>3</v>
      </c>
      <c r="J725" s="13">
        <v>3</v>
      </c>
      <c r="K725" s="13">
        <v>0</v>
      </c>
      <c r="L725" s="13">
        <v>3.4</v>
      </c>
      <c r="M725" s="14">
        <f t="shared" si="34"/>
        <v>1</v>
      </c>
      <c r="N725" s="14">
        <f t="shared" si="35"/>
        <v>0</v>
      </c>
    </row>
    <row r="726" spans="1:14" x14ac:dyDescent="0.25">
      <c r="A726" s="9" t="s">
        <v>31</v>
      </c>
      <c r="B726" s="9">
        <f t="shared" si="33"/>
        <v>45139</v>
      </c>
      <c r="C726" s="9" t="str">
        <f>TEXT('Cleaned Datasets'!$B726,"MMMM")</f>
        <v>August</v>
      </c>
      <c r="D726" s="10" t="s">
        <v>37</v>
      </c>
      <c r="E726" s="10" t="s">
        <v>38</v>
      </c>
      <c r="F726" s="10" t="s">
        <v>26</v>
      </c>
      <c r="G726" s="10" t="s">
        <v>14</v>
      </c>
      <c r="H726" s="10" t="s">
        <v>19</v>
      </c>
      <c r="I726" s="10">
        <v>4</v>
      </c>
      <c r="J726" s="10">
        <v>4</v>
      </c>
      <c r="K726" s="10">
        <v>0</v>
      </c>
      <c r="L726" s="10">
        <v>4.3</v>
      </c>
      <c r="M726" s="11">
        <f t="shared" si="34"/>
        <v>1</v>
      </c>
      <c r="N726" s="11">
        <f t="shared" si="35"/>
        <v>0</v>
      </c>
    </row>
    <row r="727" spans="1:14" x14ac:dyDescent="0.25">
      <c r="A727" s="12" t="s">
        <v>23</v>
      </c>
      <c r="B727" s="12">
        <f t="shared" si="33"/>
        <v>45200</v>
      </c>
      <c r="C727" s="12" t="str">
        <f>TEXT('Cleaned Datasets'!$B727,"MMMM")</f>
        <v>October</v>
      </c>
      <c r="D727" s="13" t="s">
        <v>24</v>
      </c>
      <c r="E727" s="13" t="s">
        <v>64</v>
      </c>
      <c r="F727" s="13" t="s">
        <v>40</v>
      </c>
      <c r="G727" s="13" t="s">
        <v>27</v>
      </c>
      <c r="H727" s="13" t="s">
        <v>15</v>
      </c>
      <c r="I727" s="13">
        <v>6</v>
      </c>
      <c r="J727" s="13">
        <v>5</v>
      </c>
      <c r="K727" s="13">
        <v>0</v>
      </c>
      <c r="L727" s="13">
        <v>3.2</v>
      </c>
      <c r="M727" s="14">
        <f t="shared" si="34"/>
        <v>0.83333333333333337</v>
      </c>
      <c r="N727" s="14">
        <f t="shared" si="35"/>
        <v>0</v>
      </c>
    </row>
    <row r="728" spans="1:14" x14ac:dyDescent="0.25">
      <c r="A728" s="9" t="s">
        <v>36</v>
      </c>
      <c r="B728" s="9">
        <f t="shared" si="33"/>
        <v>44986</v>
      </c>
      <c r="C728" s="9" t="str">
        <f>TEXT('Cleaned Datasets'!$B728,"MMMM")</f>
        <v>March</v>
      </c>
      <c r="D728" s="10" t="s">
        <v>48</v>
      </c>
      <c r="E728" s="10" t="s">
        <v>49</v>
      </c>
      <c r="F728" s="10" t="s">
        <v>40</v>
      </c>
      <c r="G728" s="10" t="s">
        <v>18</v>
      </c>
      <c r="H728" s="10" t="s">
        <v>19</v>
      </c>
      <c r="I728" s="10">
        <v>5</v>
      </c>
      <c r="J728" s="10">
        <v>4</v>
      </c>
      <c r="K728" s="10">
        <v>1</v>
      </c>
      <c r="L728" s="10">
        <v>4</v>
      </c>
      <c r="M728" s="11">
        <f t="shared" si="34"/>
        <v>0.8</v>
      </c>
      <c r="N728" s="11">
        <f t="shared" si="35"/>
        <v>0.2</v>
      </c>
    </row>
    <row r="729" spans="1:14" x14ac:dyDescent="0.25">
      <c r="A729" s="12" t="s">
        <v>33</v>
      </c>
      <c r="B729" s="12">
        <f t="shared" si="33"/>
        <v>44927</v>
      </c>
      <c r="C729" s="12" t="str">
        <f>TEXT('Cleaned Datasets'!$B729,"MMMM")</f>
        <v>January</v>
      </c>
      <c r="D729" s="13" t="s">
        <v>16</v>
      </c>
      <c r="E729" s="13" t="s">
        <v>60</v>
      </c>
      <c r="F729" s="13" t="s">
        <v>21</v>
      </c>
      <c r="G729" s="13" t="s">
        <v>18</v>
      </c>
      <c r="H729" s="13" t="s">
        <v>19</v>
      </c>
      <c r="I729" s="13">
        <v>6</v>
      </c>
      <c r="J729" s="13">
        <v>5</v>
      </c>
      <c r="K729" s="13">
        <v>0</v>
      </c>
      <c r="L729" s="13">
        <v>3</v>
      </c>
      <c r="M729" s="14">
        <f t="shared" si="34"/>
        <v>0.83333333333333337</v>
      </c>
      <c r="N729" s="14">
        <f t="shared" si="35"/>
        <v>0</v>
      </c>
    </row>
    <row r="730" spans="1:14" x14ac:dyDescent="0.25">
      <c r="A730" s="9" t="s">
        <v>43</v>
      </c>
      <c r="B730" s="9">
        <f t="shared" si="33"/>
        <v>44958</v>
      </c>
      <c r="C730" s="9" t="str">
        <f>TEXT('Cleaned Datasets'!$B730,"MMMM")</f>
        <v>February</v>
      </c>
      <c r="D730" s="10" t="s">
        <v>24</v>
      </c>
      <c r="E730" s="10" t="s">
        <v>64</v>
      </c>
      <c r="F730" s="10" t="s">
        <v>40</v>
      </c>
      <c r="G730" s="10" t="s">
        <v>53</v>
      </c>
      <c r="H730" s="10" t="s">
        <v>15</v>
      </c>
      <c r="I730" s="10">
        <v>3</v>
      </c>
      <c r="J730" s="10">
        <v>3</v>
      </c>
      <c r="K730" s="10">
        <v>0</v>
      </c>
      <c r="L730" s="10">
        <v>3.6</v>
      </c>
      <c r="M730" s="11">
        <f t="shared" si="34"/>
        <v>1</v>
      </c>
      <c r="N730" s="11">
        <f t="shared" si="35"/>
        <v>0</v>
      </c>
    </row>
    <row r="731" spans="1:14" x14ac:dyDescent="0.25">
      <c r="A731" s="12" t="s">
        <v>23</v>
      </c>
      <c r="B731" s="12">
        <f t="shared" si="33"/>
        <v>45200</v>
      </c>
      <c r="C731" s="12" t="str">
        <f>TEXT('Cleaned Datasets'!$B731,"MMMM")</f>
        <v>October</v>
      </c>
      <c r="D731" s="13" t="s">
        <v>41</v>
      </c>
      <c r="E731" s="13" t="s">
        <v>42</v>
      </c>
      <c r="F731" s="13" t="s">
        <v>13</v>
      </c>
      <c r="G731" s="13" t="s">
        <v>27</v>
      </c>
      <c r="H731" s="13" t="s">
        <v>15</v>
      </c>
      <c r="I731" s="13">
        <v>7</v>
      </c>
      <c r="J731" s="13">
        <v>7</v>
      </c>
      <c r="K731" s="13">
        <v>0</v>
      </c>
      <c r="L731" s="13">
        <v>1.3</v>
      </c>
      <c r="M731" s="14">
        <f t="shared" si="34"/>
        <v>1</v>
      </c>
      <c r="N731" s="14">
        <f t="shared" si="35"/>
        <v>0</v>
      </c>
    </row>
    <row r="732" spans="1:14" x14ac:dyDescent="0.25">
      <c r="A732" s="9" t="s">
        <v>10</v>
      </c>
      <c r="B732" s="9">
        <f t="shared" si="33"/>
        <v>45017</v>
      </c>
      <c r="C732" s="9" t="str">
        <f>TEXT('Cleaned Datasets'!$B732,"MMMM")</f>
        <v>April</v>
      </c>
      <c r="D732" s="10" t="s">
        <v>28</v>
      </c>
      <c r="E732" s="10" t="s">
        <v>29</v>
      </c>
      <c r="F732" s="10" t="s">
        <v>22</v>
      </c>
      <c r="G732" s="10" t="s">
        <v>27</v>
      </c>
      <c r="H732" s="10" t="s">
        <v>15</v>
      </c>
      <c r="I732" s="10">
        <v>3</v>
      </c>
      <c r="J732" s="10">
        <v>2</v>
      </c>
      <c r="K732" s="10">
        <v>0</v>
      </c>
      <c r="L732" s="10">
        <v>3.4</v>
      </c>
      <c r="M732" s="11">
        <f t="shared" si="34"/>
        <v>0.66666666666666663</v>
      </c>
      <c r="N732" s="11">
        <f t="shared" si="35"/>
        <v>0</v>
      </c>
    </row>
    <row r="733" spans="1:14" x14ac:dyDescent="0.25">
      <c r="A733" s="12" t="s">
        <v>45</v>
      </c>
      <c r="B733" s="12">
        <f t="shared" si="33"/>
        <v>45047</v>
      </c>
      <c r="C733" s="12" t="str">
        <f>TEXT('Cleaned Datasets'!$B733,"MMMM")</f>
        <v>May</v>
      </c>
      <c r="D733" s="13" t="s">
        <v>16</v>
      </c>
      <c r="E733" s="13" t="s">
        <v>17</v>
      </c>
      <c r="F733" s="13" t="s">
        <v>40</v>
      </c>
      <c r="G733" s="13" t="s">
        <v>22</v>
      </c>
      <c r="H733" s="13" t="s">
        <v>19</v>
      </c>
      <c r="I733" s="13">
        <v>6</v>
      </c>
      <c r="J733" s="13">
        <v>6</v>
      </c>
      <c r="K733" s="13">
        <v>0</v>
      </c>
      <c r="L733" s="13">
        <v>1.4</v>
      </c>
      <c r="M733" s="14">
        <f t="shared" si="34"/>
        <v>1</v>
      </c>
      <c r="N733" s="14">
        <f t="shared" si="35"/>
        <v>0</v>
      </c>
    </row>
    <row r="734" spans="1:14" x14ac:dyDescent="0.25">
      <c r="A734" s="9" t="s">
        <v>50</v>
      </c>
      <c r="B734" s="9">
        <f t="shared" si="33"/>
        <v>45108</v>
      </c>
      <c r="C734" s="9" t="str">
        <f>TEXT('Cleaned Datasets'!$B734,"MMMM")</f>
        <v>July</v>
      </c>
      <c r="D734" s="10" t="s">
        <v>48</v>
      </c>
      <c r="E734" s="10" t="s">
        <v>49</v>
      </c>
      <c r="F734" s="10" t="s">
        <v>32</v>
      </c>
      <c r="G734" s="10" t="s">
        <v>53</v>
      </c>
      <c r="H734" s="10" t="s">
        <v>15</v>
      </c>
      <c r="I734" s="10">
        <v>4</v>
      </c>
      <c r="J734" s="10">
        <v>3</v>
      </c>
      <c r="K734" s="10">
        <v>0</v>
      </c>
      <c r="L734" s="10">
        <v>3.8</v>
      </c>
      <c r="M734" s="11">
        <f t="shared" si="34"/>
        <v>0.75</v>
      </c>
      <c r="N734" s="11">
        <f t="shared" si="35"/>
        <v>0</v>
      </c>
    </row>
    <row r="735" spans="1:14" x14ac:dyDescent="0.25">
      <c r="A735" s="12" t="s">
        <v>31</v>
      </c>
      <c r="B735" s="12">
        <f t="shared" si="33"/>
        <v>45139</v>
      </c>
      <c r="C735" s="12" t="str">
        <f>TEXT('Cleaned Datasets'!$B735,"MMMM")</f>
        <v>August</v>
      </c>
      <c r="D735" s="13" t="s">
        <v>56</v>
      </c>
      <c r="E735" s="13" t="s">
        <v>57</v>
      </c>
      <c r="F735" s="13" t="s">
        <v>21</v>
      </c>
      <c r="G735" s="13" t="s">
        <v>14</v>
      </c>
      <c r="H735" s="13" t="s">
        <v>15</v>
      </c>
      <c r="I735" s="13">
        <v>6</v>
      </c>
      <c r="J735" s="13">
        <v>6</v>
      </c>
      <c r="K735" s="13">
        <v>1</v>
      </c>
      <c r="L735" s="13">
        <v>4.2</v>
      </c>
      <c r="M735" s="14">
        <f t="shared" si="34"/>
        <v>1</v>
      </c>
      <c r="N735" s="14">
        <f t="shared" si="35"/>
        <v>0.16666666666666666</v>
      </c>
    </row>
    <row r="736" spans="1:14" x14ac:dyDescent="0.25">
      <c r="A736" s="9" t="s">
        <v>20</v>
      </c>
      <c r="B736" s="9">
        <f t="shared" si="33"/>
        <v>45078</v>
      </c>
      <c r="C736" s="9" t="str">
        <f>TEXT('Cleaned Datasets'!$B736,"MMMM")</f>
        <v>June</v>
      </c>
      <c r="D736" s="10" t="s">
        <v>56</v>
      </c>
      <c r="E736" s="10" t="s">
        <v>57</v>
      </c>
      <c r="F736" s="10" t="s">
        <v>21</v>
      </c>
      <c r="G736" s="10" t="s">
        <v>30</v>
      </c>
      <c r="H736" s="10" t="s">
        <v>15</v>
      </c>
      <c r="I736" s="10">
        <v>6</v>
      </c>
      <c r="J736" s="10">
        <v>5</v>
      </c>
      <c r="K736" s="10">
        <v>1</v>
      </c>
      <c r="L736" s="10">
        <v>2.2000000000000002</v>
      </c>
      <c r="M736" s="11">
        <f t="shared" si="34"/>
        <v>0.83333333333333337</v>
      </c>
      <c r="N736" s="11">
        <f t="shared" si="35"/>
        <v>0.16666666666666666</v>
      </c>
    </row>
    <row r="737" spans="1:14" x14ac:dyDescent="0.25">
      <c r="A737" s="12" t="s">
        <v>43</v>
      </c>
      <c r="B737" s="12">
        <f t="shared" si="33"/>
        <v>44958</v>
      </c>
      <c r="C737" s="12" t="str">
        <f>TEXT('Cleaned Datasets'!$B737,"MMMM")</f>
        <v>February</v>
      </c>
      <c r="D737" s="13" t="s">
        <v>41</v>
      </c>
      <c r="E737" s="13" t="s">
        <v>42</v>
      </c>
      <c r="F737" s="13" t="s">
        <v>13</v>
      </c>
      <c r="G737" s="13" t="s">
        <v>14</v>
      </c>
      <c r="H737" s="13" t="s">
        <v>19</v>
      </c>
      <c r="I737" s="13">
        <v>4</v>
      </c>
      <c r="J737" s="13">
        <v>3</v>
      </c>
      <c r="K737" s="13">
        <v>0</v>
      </c>
      <c r="L737" s="13">
        <v>2.8</v>
      </c>
      <c r="M737" s="14">
        <f t="shared" si="34"/>
        <v>0.75</v>
      </c>
      <c r="N737" s="14">
        <f t="shared" si="35"/>
        <v>0</v>
      </c>
    </row>
    <row r="738" spans="1:14" x14ac:dyDescent="0.25">
      <c r="A738" s="9" t="s">
        <v>61</v>
      </c>
      <c r="B738" s="9">
        <f t="shared" si="33"/>
        <v>45231</v>
      </c>
      <c r="C738" s="9" t="str">
        <f>TEXT('Cleaned Datasets'!$B738,"MMMM")</f>
        <v>November</v>
      </c>
      <c r="D738" s="10" t="s">
        <v>56</v>
      </c>
      <c r="E738" s="10" t="s">
        <v>62</v>
      </c>
      <c r="F738" s="10" t="s">
        <v>40</v>
      </c>
      <c r="G738" s="10" t="s">
        <v>53</v>
      </c>
      <c r="H738" s="10" t="s">
        <v>19</v>
      </c>
      <c r="I738" s="10">
        <v>3</v>
      </c>
      <c r="J738" s="10">
        <v>2</v>
      </c>
      <c r="K738" s="10">
        <v>0</v>
      </c>
      <c r="L738" s="10">
        <v>1.5</v>
      </c>
      <c r="M738" s="11">
        <f t="shared" si="34"/>
        <v>0.66666666666666663</v>
      </c>
      <c r="N738" s="11">
        <f t="shared" si="35"/>
        <v>0</v>
      </c>
    </row>
    <row r="739" spans="1:14" x14ac:dyDescent="0.25">
      <c r="A739" s="12" t="s">
        <v>61</v>
      </c>
      <c r="B739" s="12">
        <f t="shared" si="33"/>
        <v>45231</v>
      </c>
      <c r="C739" s="12" t="str">
        <f>TEXT('Cleaned Datasets'!$B739,"MMMM")</f>
        <v>November</v>
      </c>
      <c r="D739" s="13" t="s">
        <v>56</v>
      </c>
      <c r="E739" s="13" t="s">
        <v>57</v>
      </c>
      <c r="F739" s="13" t="s">
        <v>21</v>
      </c>
      <c r="G739" s="13" t="s">
        <v>14</v>
      </c>
      <c r="H739" s="13" t="s">
        <v>19</v>
      </c>
      <c r="I739" s="13">
        <v>5</v>
      </c>
      <c r="J739" s="13">
        <v>5</v>
      </c>
      <c r="K739" s="13">
        <v>1</v>
      </c>
      <c r="L739" s="13">
        <v>2.8</v>
      </c>
      <c r="M739" s="14">
        <f t="shared" si="34"/>
        <v>1</v>
      </c>
      <c r="N739" s="14">
        <f t="shared" si="35"/>
        <v>0.2</v>
      </c>
    </row>
    <row r="740" spans="1:14" x14ac:dyDescent="0.25">
      <c r="A740" s="9" t="s">
        <v>23</v>
      </c>
      <c r="B740" s="9">
        <f t="shared" si="33"/>
        <v>45200</v>
      </c>
      <c r="C740" s="9" t="str">
        <f>TEXT('Cleaned Datasets'!$B740,"MMMM")</f>
        <v>October</v>
      </c>
      <c r="D740" s="10" t="s">
        <v>34</v>
      </c>
      <c r="E740" s="10" t="s">
        <v>35</v>
      </c>
      <c r="F740" s="10" t="s">
        <v>26</v>
      </c>
      <c r="G740" s="10" t="s">
        <v>14</v>
      </c>
      <c r="H740" s="10" t="s">
        <v>15</v>
      </c>
      <c r="I740" s="10">
        <v>4</v>
      </c>
      <c r="J740" s="10">
        <v>2</v>
      </c>
      <c r="K740" s="10">
        <v>0</v>
      </c>
      <c r="L740" s="10">
        <v>1.4</v>
      </c>
      <c r="M740" s="11">
        <f t="shared" si="34"/>
        <v>0.5</v>
      </c>
      <c r="N740" s="11">
        <f t="shared" si="35"/>
        <v>0</v>
      </c>
    </row>
    <row r="741" spans="1:14" x14ac:dyDescent="0.25">
      <c r="A741" s="12" t="s">
        <v>23</v>
      </c>
      <c r="B741" s="12">
        <f t="shared" si="33"/>
        <v>45200</v>
      </c>
      <c r="C741" s="12" t="str">
        <f>TEXT('Cleaned Datasets'!$B741,"MMMM")</f>
        <v>October</v>
      </c>
      <c r="D741" s="13" t="s">
        <v>37</v>
      </c>
      <c r="E741" s="13" t="s">
        <v>39</v>
      </c>
      <c r="F741" s="13" t="s">
        <v>32</v>
      </c>
      <c r="G741" s="13" t="s">
        <v>22</v>
      </c>
      <c r="H741" s="13" t="s">
        <v>15</v>
      </c>
      <c r="I741" s="13">
        <v>3</v>
      </c>
      <c r="J741" s="13">
        <v>3</v>
      </c>
      <c r="K741" s="13">
        <v>0</v>
      </c>
      <c r="L741" s="13">
        <v>2.2999999999999998</v>
      </c>
      <c r="M741" s="14">
        <f t="shared" si="34"/>
        <v>1</v>
      </c>
      <c r="N741" s="14">
        <f t="shared" si="35"/>
        <v>0</v>
      </c>
    </row>
    <row r="742" spans="1:14" x14ac:dyDescent="0.25">
      <c r="A742" s="9" t="s">
        <v>33</v>
      </c>
      <c r="B742" s="9">
        <f t="shared" si="33"/>
        <v>44927</v>
      </c>
      <c r="C742" s="9" t="str">
        <f>TEXT('Cleaned Datasets'!$B742,"MMMM")</f>
        <v>January</v>
      </c>
      <c r="D742" s="10" t="s">
        <v>48</v>
      </c>
      <c r="E742" s="10" t="s">
        <v>63</v>
      </c>
      <c r="F742" s="10" t="s">
        <v>13</v>
      </c>
      <c r="G742" s="10" t="s">
        <v>30</v>
      </c>
      <c r="H742" s="10" t="s">
        <v>15</v>
      </c>
      <c r="I742" s="10">
        <v>5</v>
      </c>
      <c r="J742" s="10">
        <v>5</v>
      </c>
      <c r="K742" s="10">
        <v>1</v>
      </c>
      <c r="L742" s="10">
        <v>3.4</v>
      </c>
      <c r="M742" s="11">
        <f t="shared" si="34"/>
        <v>1</v>
      </c>
      <c r="N742" s="11">
        <f t="shared" si="35"/>
        <v>0.2</v>
      </c>
    </row>
    <row r="743" spans="1:14" x14ac:dyDescent="0.25">
      <c r="A743" s="12" t="s">
        <v>55</v>
      </c>
      <c r="B743" s="12">
        <f t="shared" si="33"/>
        <v>45261</v>
      </c>
      <c r="C743" s="12" t="str">
        <f>TEXT('Cleaned Datasets'!$B743,"MMMM")</f>
        <v>December</v>
      </c>
      <c r="D743" s="13" t="s">
        <v>24</v>
      </c>
      <c r="E743" s="13" t="s">
        <v>64</v>
      </c>
      <c r="F743" s="13" t="s">
        <v>22</v>
      </c>
      <c r="G743" s="13" t="s">
        <v>27</v>
      </c>
      <c r="H743" s="13" t="s">
        <v>19</v>
      </c>
      <c r="I743" s="13">
        <v>4</v>
      </c>
      <c r="J743" s="13">
        <v>4</v>
      </c>
      <c r="K743" s="13">
        <v>0</v>
      </c>
      <c r="L743" s="13">
        <v>2.7</v>
      </c>
      <c r="M743" s="14">
        <f t="shared" si="34"/>
        <v>1</v>
      </c>
      <c r="N743" s="14">
        <f t="shared" si="35"/>
        <v>0</v>
      </c>
    </row>
    <row r="744" spans="1:14" x14ac:dyDescent="0.25">
      <c r="A744" s="9" t="s">
        <v>43</v>
      </c>
      <c r="B744" s="9">
        <f t="shared" si="33"/>
        <v>44958</v>
      </c>
      <c r="C744" s="9" t="str">
        <f>TEXT('Cleaned Datasets'!$B744,"MMMM")</f>
        <v>February</v>
      </c>
      <c r="D744" s="10" t="s">
        <v>37</v>
      </c>
      <c r="E744" s="10" t="s">
        <v>38</v>
      </c>
      <c r="F744" s="10" t="s">
        <v>21</v>
      </c>
      <c r="G744" s="10" t="s">
        <v>14</v>
      </c>
      <c r="H744" s="10" t="s">
        <v>19</v>
      </c>
      <c r="I744" s="10">
        <v>4</v>
      </c>
      <c r="J744" s="10">
        <v>4</v>
      </c>
      <c r="K744" s="10">
        <v>0</v>
      </c>
      <c r="L744" s="10">
        <v>4.0999999999999996</v>
      </c>
      <c r="M744" s="11">
        <f t="shared" si="34"/>
        <v>1</v>
      </c>
      <c r="N744" s="11">
        <f t="shared" si="35"/>
        <v>0</v>
      </c>
    </row>
    <row r="745" spans="1:14" x14ac:dyDescent="0.25">
      <c r="A745" s="12" t="s">
        <v>10</v>
      </c>
      <c r="B745" s="12">
        <f t="shared" si="33"/>
        <v>45017</v>
      </c>
      <c r="C745" s="12" t="str">
        <f>TEXT('Cleaned Datasets'!$B745,"MMMM")</f>
        <v>April</v>
      </c>
      <c r="D745" s="13" t="s">
        <v>37</v>
      </c>
      <c r="E745" s="13" t="s">
        <v>39</v>
      </c>
      <c r="F745" s="13" t="s">
        <v>40</v>
      </c>
      <c r="G745" s="13" t="s">
        <v>30</v>
      </c>
      <c r="H745" s="13" t="s">
        <v>19</v>
      </c>
      <c r="I745" s="13">
        <v>9</v>
      </c>
      <c r="J745" s="13">
        <v>9</v>
      </c>
      <c r="K745" s="13">
        <v>2</v>
      </c>
      <c r="L745" s="13">
        <v>2.1</v>
      </c>
      <c r="M745" s="14">
        <f t="shared" si="34"/>
        <v>1</v>
      </c>
      <c r="N745" s="14">
        <f t="shared" si="35"/>
        <v>0.22222222222222221</v>
      </c>
    </row>
    <row r="746" spans="1:14" x14ac:dyDescent="0.25">
      <c r="A746" s="9" t="s">
        <v>55</v>
      </c>
      <c r="B746" s="9">
        <f t="shared" si="33"/>
        <v>45261</v>
      </c>
      <c r="C746" s="9" t="str">
        <f>TEXT('Cleaned Datasets'!$B746,"MMMM")</f>
        <v>December</v>
      </c>
      <c r="D746" s="10" t="s">
        <v>34</v>
      </c>
      <c r="E746" s="10" t="s">
        <v>35</v>
      </c>
      <c r="F746" s="10" t="s">
        <v>26</v>
      </c>
      <c r="G746" s="10" t="s">
        <v>14</v>
      </c>
      <c r="H746" s="10" t="s">
        <v>19</v>
      </c>
      <c r="I746" s="10">
        <v>3</v>
      </c>
      <c r="J746" s="10">
        <v>3</v>
      </c>
      <c r="K746" s="10">
        <v>0</v>
      </c>
      <c r="L746" s="10">
        <v>0.6</v>
      </c>
      <c r="M746" s="11">
        <f t="shared" si="34"/>
        <v>1</v>
      </c>
      <c r="N746" s="11">
        <f t="shared" si="35"/>
        <v>0</v>
      </c>
    </row>
    <row r="747" spans="1:14" x14ac:dyDescent="0.25">
      <c r="A747" s="12" t="s">
        <v>23</v>
      </c>
      <c r="B747" s="12">
        <f t="shared" si="33"/>
        <v>45200</v>
      </c>
      <c r="C747" s="12" t="str">
        <f>TEXT('Cleaned Datasets'!$B747,"MMMM")</f>
        <v>October</v>
      </c>
      <c r="D747" s="13" t="s">
        <v>48</v>
      </c>
      <c r="E747" s="13" t="s">
        <v>49</v>
      </c>
      <c r="F747" s="13" t="s">
        <v>26</v>
      </c>
      <c r="G747" s="13" t="s">
        <v>18</v>
      </c>
      <c r="H747" s="13" t="s">
        <v>15</v>
      </c>
      <c r="I747" s="13">
        <v>6</v>
      </c>
      <c r="J747" s="13">
        <v>6</v>
      </c>
      <c r="K747" s="13">
        <v>1</v>
      </c>
      <c r="L747" s="13">
        <v>1.7</v>
      </c>
      <c r="M747" s="14">
        <f t="shared" si="34"/>
        <v>1</v>
      </c>
      <c r="N747" s="14">
        <f t="shared" si="35"/>
        <v>0.16666666666666666</v>
      </c>
    </row>
    <row r="748" spans="1:14" x14ac:dyDescent="0.25">
      <c r="A748" s="9" t="s">
        <v>43</v>
      </c>
      <c r="B748" s="9">
        <f t="shared" si="33"/>
        <v>44958</v>
      </c>
      <c r="C748" s="9" t="str">
        <f>TEXT('Cleaned Datasets'!$B748,"MMMM")</f>
        <v>February</v>
      </c>
      <c r="D748" s="10" t="s">
        <v>24</v>
      </c>
      <c r="E748" s="10" t="s">
        <v>25</v>
      </c>
      <c r="F748" s="10" t="s">
        <v>22</v>
      </c>
      <c r="G748" s="10" t="s">
        <v>30</v>
      </c>
      <c r="H748" s="10" t="s">
        <v>15</v>
      </c>
      <c r="I748" s="10">
        <v>6</v>
      </c>
      <c r="J748" s="10">
        <v>6</v>
      </c>
      <c r="K748" s="10">
        <v>2</v>
      </c>
      <c r="L748" s="10">
        <v>2.5</v>
      </c>
      <c r="M748" s="11">
        <f t="shared" si="34"/>
        <v>1</v>
      </c>
      <c r="N748" s="11">
        <f t="shared" si="35"/>
        <v>0.33333333333333331</v>
      </c>
    </row>
    <row r="749" spans="1:14" x14ac:dyDescent="0.25">
      <c r="A749" s="12" t="s">
        <v>36</v>
      </c>
      <c r="B749" s="12">
        <f t="shared" si="33"/>
        <v>44986</v>
      </c>
      <c r="C749" s="12" t="str">
        <f>TEXT('Cleaned Datasets'!$B749,"MMMM")</f>
        <v>March</v>
      </c>
      <c r="D749" s="13" t="s">
        <v>28</v>
      </c>
      <c r="E749" s="13" t="s">
        <v>29</v>
      </c>
      <c r="F749" s="13" t="s">
        <v>21</v>
      </c>
      <c r="G749" s="13" t="s">
        <v>30</v>
      </c>
      <c r="H749" s="13" t="s">
        <v>15</v>
      </c>
      <c r="I749" s="13">
        <v>4</v>
      </c>
      <c r="J749" s="13">
        <v>4</v>
      </c>
      <c r="K749" s="13">
        <v>1</v>
      </c>
      <c r="L749" s="13">
        <v>3.5</v>
      </c>
      <c r="M749" s="14">
        <f t="shared" si="34"/>
        <v>1</v>
      </c>
      <c r="N749" s="14">
        <f t="shared" si="35"/>
        <v>0.25</v>
      </c>
    </row>
    <row r="750" spans="1:14" x14ac:dyDescent="0.25">
      <c r="A750" s="9" t="s">
        <v>23</v>
      </c>
      <c r="B750" s="9">
        <f t="shared" si="33"/>
        <v>45200</v>
      </c>
      <c r="C750" s="9" t="str">
        <f>TEXT('Cleaned Datasets'!$B750,"MMMM")</f>
        <v>October</v>
      </c>
      <c r="D750" s="10" t="s">
        <v>11</v>
      </c>
      <c r="E750" s="10" t="s">
        <v>52</v>
      </c>
      <c r="F750" s="10" t="s">
        <v>32</v>
      </c>
      <c r="G750" s="10" t="s">
        <v>18</v>
      </c>
      <c r="H750" s="10" t="s">
        <v>15</v>
      </c>
      <c r="I750" s="10">
        <v>4</v>
      </c>
      <c r="J750" s="10">
        <v>2</v>
      </c>
      <c r="K750" s="10">
        <v>1</v>
      </c>
      <c r="L750" s="10">
        <v>2.6</v>
      </c>
      <c r="M750" s="11">
        <f t="shared" si="34"/>
        <v>0.5</v>
      </c>
      <c r="N750" s="11">
        <f t="shared" si="35"/>
        <v>0.25</v>
      </c>
    </row>
    <row r="751" spans="1:14" x14ac:dyDescent="0.25">
      <c r="A751" s="12" t="s">
        <v>10</v>
      </c>
      <c r="B751" s="12">
        <f t="shared" si="33"/>
        <v>45017</v>
      </c>
      <c r="C751" s="12" t="str">
        <f>TEXT('Cleaned Datasets'!$B751,"MMMM")</f>
        <v>April</v>
      </c>
      <c r="D751" s="13" t="s">
        <v>46</v>
      </c>
      <c r="E751" s="13" t="s">
        <v>47</v>
      </c>
      <c r="F751" s="13" t="s">
        <v>26</v>
      </c>
      <c r="G751" s="13" t="s">
        <v>14</v>
      </c>
      <c r="H751" s="13" t="s">
        <v>15</v>
      </c>
      <c r="I751" s="13">
        <v>3</v>
      </c>
      <c r="J751" s="13">
        <v>2</v>
      </c>
      <c r="K751" s="13">
        <v>1</v>
      </c>
      <c r="L751" s="13">
        <v>1.7</v>
      </c>
      <c r="M751" s="14">
        <f t="shared" si="34"/>
        <v>0.66666666666666663</v>
      </c>
      <c r="N751" s="14">
        <f t="shared" si="35"/>
        <v>0.33333333333333331</v>
      </c>
    </row>
    <row r="752" spans="1:14" x14ac:dyDescent="0.25">
      <c r="A752" s="9" t="s">
        <v>55</v>
      </c>
      <c r="B752" s="9">
        <f t="shared" si="33"/>
        <v>45261</v>
      </c>
      <c r="C752" s="9" t="str">
        <f>TEXT('Cleaned Datasets'!$B752,"MMMM")</f>
        <v>December</v>
      </c>
      <c r="D752" s="10" t="s">
        <v>48</v>
      </c>
      <c r="E752" s="10" t="s">
        <v>63</v>
      </c>
      <c r="F752" s="10" t="s">
        <v>13</v>
      </c>
      <c r="G752" s="10" t="s">
        <v>22</v>
      </c>
      <c r="H752" s="10" t="s">
        <v>15</v>
      </c>
      <c r="I752" s="10">
        <v>2</v>
      </c>
      <c r="J752" s="10">
        <v>2</v>
      </c>
      <c r="K752" s="10">
        <v>0</v>
      </c>
      <c r="L752" s="10">
        <v>3.2</v>
      </c>
      <c r="M752" s="11">
        <f t="shared" si="34"/>
        <v>1</v>
      </c>
      <c r="N752" s="11">
        <f t="shared" si="35"/>
        <v>0</v>
      </c>
    </row>
    <row r="753" spans="1:14" x14ac:dyDescent="0.25">
      <c r="A753" s="12" t="s">
        <v>50</v>
      </c>
      <c r="B753" s="12">
        <f t="shared" si="33"/>
        <v>45108</v>
      </c>
      <c r="C753" s="12" t="str">
        <f>TEXT('Cleaned Datasets'!$B753,"MMMM")</f>
        <v>July</v>
      </c>
      <c r="D753" s="13" t="s">
        <v>41</v>
      </c>
      <c r="E753" s="13" t="s">
        <v>44</v>
      </c>
      <c r="F753" s="13" t="s">
        <v>26</v>
      </c>
      <c r="G753" s="13" t="s">
        <v>14</v>
      </c>
      <c r="H753" s="13" t="s">
        <v>15</v>
      </c>
      <c r="I753" s="13">
        <v>3</v>
      </c>
      <c r="J753" s="13">
        <v>3</v>
      </c>
      <c r="K753" s="13">
        <v>0</v>
      </c>
      <c r="L753" s="13">
        <v>3.7</v>
      </c>
      <c r="M753" s="14">
        <f t="shared" si="34"/>
        <v>1</v>
      </c>
      <c r="N753" s="14">
        <f t="shared" si="35"/>
        <v>0</v>
      </c>
    </row>
    <row r="754" spans="1:14" x14ac:dyDescent="0.25">
      <c r="A754" s="9" t="s">
        <v>61</v>
      </c>
      <c r="B754" s="9">
        <f t="shared" si="33"/>
        <v>45231</v>
      </c>
      <c r="C754" s="9" t="str">
        <f>TEXT('Cleaned Datasets'!$B754,"MMMM")</f>
        <v>November</v>
      </c>
      <c r="D754" s="10" t="s">
        <v>46</v>
      </c>
      <c r="E754" s="10" t="s">
        <v>47</v>
      </c>
      <c r="F754" s="10" t="s">
        <v>26</v>
      </c>
      <c r="G754" s="10" t="s">
        <v>22</v>
      </c>
      <c r="H754" s="10" t="s">
        <v>15</v>
      </c>
      <c r="I754" s="10">
        <v>5</v>
      </c>
      <c r="J754" s="10">
        <v>4</v>
      </c>
      <c r="K754" s="10">
        <v>0</v>
      </c>
      <c r="L754" s="10">
        <v>2.8</v>
      </c>
      <c r="M754" s="11">
        <f t="shared" si="34"/>
        <v>0.8</v>
      </c>
      <c r="N754" s="11">
        <f t="shared" si="35"/>
        <v>0</v>
      </c>
    </row>
    <row r="755" spans="1:14" x14ac:dyDescent="0.25">
      <c r="A755" s="12" t="s">
        <v>10</v>
      </c>
      <c r="B755" s="12">
        <f t="shared" si="33"/>
        <v>45017</v>
      </c>
      <c r="C755" s="12" t="str">
        <f>TEXT('Cleaned Datasets'!$B755,"MMMM")</f>
        <v>April</v>
      </c>
      <c r="D755" s="13" t="s">
        <v>28</v>
      </c>
      <c r="E755" s="13" t="s">
        <v>58</v>
      </c>
      <c r="F755" s="13" t="s">
        <v>40</v>
      </c>
      <c r="G755" s="13" t="s">
        <v>53</v>
      </c>
      <c r="H755" s="13" t="s">
        <v>15</v>
      </c>
      <c r="I755" s="13">
        <v>4</v>
      </c>
      <c r="J755" s="13">
        <v>4</v>
      </c>
      <c r="K755" s="13">
        <v>0</v>
      </c>
      <c r="L755" s="13">
        <v>4.0999999999999996</v>
      </c>
      <c r="M755" s="14">
        <f t="shared" si="34"/>
        <v>1</v>
      </c>
      <c r="N755" s="14">
        <f t="shared" si="35"/>
        <v>0</v>
      </c>
    </row>
    <row r="756" spans="1:14" x14ac:dyDescent="0.25">
      <c r="A756" s="9" t="s">
        <v>59</v>
      </c>
      <c r="B756" s="9">
        <f t="shared" si="33"/>
        <v>45170</v>
      </c>
      <c r="C756" s="9" t="str">
        <f>TEXT('Cleaned Datasets'!$B756,"MMMM")</f>
        <v>September</v>
      </c>
      <c r="D756" s="10" t="s">
        <v>16</v>
      </c>
      <c r="E756" s="10" t="s">
        <v>17</v>
      </c>
      <c r="F756" s="10" t="s">
        <v>13</v>
      </c>
      <c r="G756" s="10" t="s">
        <v>27</v>
      </c>
      <c r="H756" s="10" t="s">
        <v>15</v>
      </c>
      <c r="I756" s="10">
        <v>5</v>
      </c>
      <c r="J756" s="10">
        <v>5</v>
      </c>
      <c r="K756" s="10">
        <v>0</v>
      </c>
      <c r="L756" s="10">
        <v>2.8</v>
      </c>
      <c r="M756" s="11">
        <f t="shared" si="34"/>
        <v>1</v>
      </c>
      <c r="N756" s="11">
        <f t="shared" si="35"/>
        <v>0</v>
      </c>
    </row>
    <row r="757" spans="1:14" x14ac:dyDescent="0.25">
      <c r="A757" s="12" t="s">
        <v>33</v>
      </c>
      <c r="B757" s="12">
        <f t="shared" si="33"/>
        <v>44927</v>
      </c>
      <c r="C757" s="12" t="str">
        <f>TEXT('Cleaned Datasets'!$B757,"MMMM")</f>
        <v>January</v>
      </c>
      <c r="D757" s="13" t="s">
        <v>41</v>
      </c>
      <c r="E757" s="13" t="s">
        <v>42</v>
      </c>
      <c r="F757" s="13" t="s">
        <v>32</v>
      </c>
      <c r="G757" s="13" t="s">
        <v>22</v>
      </c>
      <c r="H757" s="13" t="s">
        <v>15</v>
      </c>
      <c r="I757" s="13">
        <v>2</v>
      </c>
      <c r="J757" s="13">
        <v>2</v>
      </c>
      <c r="K757" s="13">
        <v>0</v>
      </c>
      <c r="L757" s="13">
        <v>0.6</v>
      </c>
      <c r="M757" s="14">
        <f t="shared" si="34"/>
        <v>1</v>
      </c>
      <c r="N757" s="14">
        <f t="shared" si="35"/>
        <v>0</v>
      </c>
    </row>
    <row r="758" spans="1:14" x14ac:dyDescent="0.25">
      <c r="A758" s="9" t="s">
        <v>23</v>
      </c>
      <c r="B758" s="9">
        <f t="shared" si="33"/>
        <v>45200</v>
      </c>
      <c r="C758" s="9" t="str">
        <f>TEXT('Cleaned Datasets'!$B758,"MMMM")</f>
        <v>October</v>
      </c>
      <c r="D758" s="10" t="s">
        <v>24</v>
      </c>
      <c r="E758" s="10" t="s">
        <v>25</v>
      </c>
      <c r="F758" s="10" t="s">
        <v>40</v>
      </c>
      <c r="G758" s="10" t="s">
        <v>53</v>
      </c>
      <c r="H758" s="10" t="s">
        <v>15</v>
      </c>
      <c r="I758" s="10">
        <v>2</v>
      </c>
      <c r="J758" s="10">
        <v>2</v>
      </c>
      <c r="K758" s="10">
        <v>0</v>
      </c>
      <c r="L758" s="10">
        <v>3.4</v>
      </c>
      <c r="M758" s="11">
        <f t="shared" si="34"/>
        <v>1</v>
      </c>
      <c r="N758" s="11">
        <f t="shared" si="35"/>
        <v>0</v>
      </c>
    </row>
    <row r="759" spans="1:14" x14ac:dyDescent="0.25">
      <c r="A759" s="12" t="s">
        <v>43</v>
      </c>
      <c r="B759" s="12">
        <f t="shared" si="33"/>
        <v>44958</v>
      </c>
      <c r="C759" s="12" t="str">
        <f>TEXT('Cleaned Datasets'!$B759,"MMMM")</f>
        <v>February</v>
      </c>
      <c r="D759" s="13" t="s">
        <v>28</v>
      </c>
      <c r="E759" s="13" t="s">
        <v>58</v>
      </c>
      <c r="F759" s="13" t="s">
        <v>40</v>
      </c>
      <c r="G759" s="13" t="s">
        <v>27</v>
      </c>
      <c r="H759" s="13" t="s">
        <v>19</v>
      </c>
      <c r="I759" s="13">
        <v>5</v>
      </c>
      <c r="J759" s="13">
        <v>5</v>
      </c>
      <c r="K759" s="13">
        <v>0</v>
      </c>
      <c r="L759" s="13">
        <v>3.4</v>
      </c>
      <c r="M759" s="14">
        <f t="shared" si="34"/>
        <v>1</v>
      </c>
      <c r="N759" s="14">
        <f t="shared" si="35"/>
        <v>0</v>
      </c>
    </row>
    <row r="760" spans="1:14" x14ac:dyDescent="0.25">
      <c r="A760" s="9" t="s">
        <v>43</v>
      </c>
      <c r="B760" s="9">
        <f t="shared" si="33"/>
        <v>44958</v>
      </c>
      <c r="C760" s="9" t="str">
        <f>TEXT('Cleaned Datasets'!$B760,"MMMM")</f>
        <v>February</v>
      </c>
      <c r="D760" s="10" t="s">
        <v>11</v>
      </c>
      <c r="E760" s="10" t="s">
        <v>52</v>
      </c>
      <c r="F760" s="10" t="s">
        <v>13</v>
      </c>
      <c r="G760" s="10" t="s">
        <v>14</v>
      </c>
      <c r="H760" s="10" t="s">
        <v>15</v>
      </c>
      <c r="I760" s="10">
        <v>5</v>
      </c>
      <c r="J760" s="10">
        <v>5</v>
      </c>
      <c r="K760" s="10">
        <v>0</v>
      </c>
      <c r="L760" s="10">
        <v>2.9</v>
      </c>
      <c r="M760" s="11">
        <f t="shared" si="34"/>
        <v>1</v>
      </c>
      <c r="N760" s="11">
        <f t="shared" si="35"/>
        <v>0</v>
      </c>
    </row>
    <row r="761" spans="1:14" x14ac:dyDescent="0.25">
      <c r="A761" s="12" t="s">
        <v>45</v>
      </c>
      <c r="B761" s="12">
        <f t="shared" si="33"/>
        <v>45047</v>
      </c>
      <c r="C761" s="12" t="str">
        <f>TEXT('Cleaned Datasets'!$B761,"MMMM")</f>
        <v>May</v>
      </c>
      <c r="D761" s="13" t="s">
        <v>16</v>
      </c>
      <c r="E761" s="13" t="s">
        <v>17</v>
      </c>
      <c r="F761" s="13" t="s">
        <v>22</v>
      </c>
      <c r="G761" s="13" t="s">
        <v>53</v>
      </c>
      <c r="H761" s="13" t="s">
        <v>15</v>
      </c>
      <c r="I761" s="13">
        <v>5</v>
      </c>
      <c r="J761" s="13">
        <v>5</v>
      </c>
      <c r="K761" s="13">
        <v>1</v>
      </c>
      <c r="L761" s="13">
        <v>2.5</v>
      </c>
      <c r="M761" s="14">
        <f t="shared" si="34"/>
        <v>1</v>
      </c>
      <c r="N761" s="14">
        <f t="shared" si="35"/>
        <v>0.2</v>
      </c>
    </row>
    <row r="762" spans="1:14" x14ac:dyDescent="0.25">
      <c r="A762" s="9" t="s">
        <v>36</v>
      </c>
      <c r="B762" s="9">
        <f t="shared" si="33"/>
        <v>44986</v>
      </c>
      <c r="C762" s="9" t="str">
        <f>TEXT('Cleaned Datasets'!$B762,"MMMM")</f>
        <v>March</v>
      </c>
      <c r="D762" s="10" t="s">
        <v>11</v>
      </c>
      <c r="E762" s="10" t="s">
        <v>52</v>
      </c>
      <c r="F762" s="10" t="s">
        <v>26</v>
      </c>
      <c r="G762" s="10" t="s">
        <v>30</v>
      </c>
      <c r="H762" s="10" t="s">
        <v>15</v>
      </c>
      <c r="I762" s="10">
        <v>8</v>
      </c>
      <c r="J762" s="10">
        <v>7</v>
      </c>
      <c r="K762" s="10">
        <v>1</v>
      </c>
      <c r="L762" s="10">
        <v>2.6</v>
      </c>
      <c r="M762" s="11">
        <f t="shared" si="34"/>
        <v>0.875</v>
      </c>
      <c r="N762" s="11">
        <f t="shared" si="35"/>
        <v>0.125</v>
      </c>
    </row>
    <row r="763" spans="1:14" x14ac:dyDescent="0.25">
      <c r="A763" s="12" t="s">
        <v>36</v>
      </c>
      <c r="B763" s="12">
        <f t="shared" si="33"/>
        <v>44986</v>
      </c>
      <c r="C763" s="12" t="str">
        <f>TEXT('Cleaned Datasets'!$B763,"MMMM")</f>
        <v>March</v>
      </c>
      <c r="D763" s="13" t="s">
        <v>16</v>
      </c>
      <c r="E763" s="13" t="s">
        <v>17</v>
      </c>
      <c r="F763" s="13" t="s">
        <v>22</v>
      </c>
      <c r="G763" s="13" t="s">
        <v>53</v>
      </c>
      <c r="H763" s="13" t="s">
        <v>19</v>
      </c>
      <c r="I763" s="13">
        <v>3</v>
      </c>
      <c r="J763" s="13">
        <v>3</v>
      </c>
      <c r="K763" s="13">
        <v>0</v>
      </c>
      <c r="L763" s="13">
        <v>2.5</v>
      </c>
      <c r="M763" s="14">
        <f t="shared" si="34"/>
        <v>1</v>
      </c>
      <c r="N763" s="14">
        <f t="shared" si="35"/>
        <v>0</v>
      </c>
    </row>
    <row r="764" spans="1:14" x14ac:dyDescent="0.25">
      <c r="A764" s="9" t="s">
        <v>33</v>
      </c>
      <c r="B764" s="9">
        <f t="shared" si="33"/>
        <v>44927</v>
      </c>
      <c r="C764" s="9" t="str">
        <f>TEXT('Cleaned Datasets'!$B764,"MMMM")</f>
        <v>January</v>
      </c>
      <c r="D764" s="10" t="s">
        <v>48</v>
      </c>
      <c r="E764" s="10" t="s">
        <v>63</v>
      </c>
      <c r="F764" s="10" t="s">
        <v>21</v>
      </c>
      <c r="G764" s="10" t="s">
        <v>27</v>
      </c>
      <c r="H764" s="10" t="s">
        <v>19</v>
      </c>
      <c r="I764" s="10">
        <v>10</v>
      </c>
      <c r="J764" s="10">
        <v>10</v>
      </c>
      <c r="K764" s="10">
        <v>1</v>
      </c>
      <c r="L764" s="10">
        <v>4.4000000000000004</v>
      </c>
      <c r="M764" s="11">
        <f t="shared" si="34"/>
        <v>1</v>
      </c>
      <c r="N764" s="11">
        <f t="shared" si="35"/>
        <v>0.1</v>
      </c>
    </row>
    <row r="765" spans="1:14" x14ac:dyDescent="0.25">
      <c r="A765" s="12" t="s">
        <v>61</v>
      </c>
      <c r="B765" s="12">
        <f t="shared" si="33"/>
        <v>45231</v>
      </c>
      <c r="C765" s="12" t="str">
        <f>TEXT('Cleaned Datasets'!$B765,"MMMM")</f>
        <v>November</v>
      </c>
      <c r="D765" s="13" t="s">
        <v>41</v>
      </c>
      <c r="E765" s="13" t="s">
        <v>42</v>
      </c>
      <c r="F765" s="13" t="s">
        <v>13</v>
      </c>
      <c r="G765" s="13" t="s">
        <v>30</v>
      </c>
      <c r="H765" s="13" t="s">
        <v>15</v>
      </c>
      <c r="I765" s="13">
        <v>3</v>
      </c>
      <c r="J765" s="13">
        <v>3</v>
      </c>
      <c r="K765" s="13">
        <v>0</v>
      </c>
      <c r="L765" s="13">
        <v>1.8</v>
      </c>
      <c r="M765" s="14">
        <f t="shared" si="34"/>
        <v>1</v>
      </c>
      <c r="N765" s="14">
        <f t="shared" si="35"/>
        <v>0</v>
      </c>
    </row>
    <row r="766" spans="1:14" x14ac:dyDescent="0.25">
      <c r="A766" s="9" t="s">
        <v>43</v>
      </c>
      <c r="B766" s="9">
        <f t="shared" si="33"/>
        <v>44958</v>
      </c>
      <c r="C766" s="9" t="str">
        <f>TEXT('Cleaned Datasets'!$B766,"MMMM")</f>
        <v>February</v>
      </c>
      <c r="D766" s="10" t="s">
        <v>48</v>
      </c>
      <c r="E766" s="10" t="s">
        <v>63</v>
      </c>
      <c r="F766" s="10" t="s">
        <v>22</v>
      </c>
      <c r="G766" s="10" t="s">
        <v>53</v>
      </c>
      <c r="H766" s="10" t="s">
        <v>15</v>
      </c>
      <c r="I766" s="10">
        <v>5</v>
      </c>
      <c r="J766" s="10">
        <v>5</v>
      </c>
      <c r="K766" s="10">
        <v>1</v>
      </c>
      <c r="L766" s="10">
        <v>3.3</v>
      </c>
      <c r="M766" s="11">
        <f t="shared" si="34"/>
        <v>1</v>
      </c>
      <c r="N766" s="11">
        <f t="shared" si="35"/>
        <v>0.2</v>
      </c>
    </row>
    <row r="767" spans="1:14" x14ac:dyDescent="0.25">
      <c r="A767" s="12" t="s">
        <v>31</v>
      </c>
      <c r="B767" s="12">
        <f t="shared" si="33"/>
        <v>45139</v>
      </c>
      <c r="C767" s="12" t="str">
        <f>TEXT('Cleaned Datasets'!$B767,"MMMM")</f>
        <v>August</v>
      </c>
      <c r="D767" s="13" t="s">
        <v>46</v>
      </c>
      <c r="E767" s="13" t="s">
        <v>54</v>
      </c>
      <c r="F767" s="13" t="s">
        <v>22</v>
      </c>
      <c r="G767" s="13" t="s">
        <v>14</v>
      </c>
      <c r="H767" s="13" t="s">
        <v>15</v>
      </c>
      <c r="I767" s="13">
        <v>4</v>
      </c>
      <c r="J767" s="13">
        <v>3</v>
      </c>
      <c r="K767" s="13">
        <v>0</v>
      </c>
      <c r="L767" s="13">
        <v>3.3</v>
      </c>
      <c r="M767" s="14">
        <f t="shared" si="34"/>
        <v>0.75</v>
      </c>
      <c r="N767" s="14">
        <f t="shared" si="35"/>
        <v>0</v>
      </c>
    </row>
    <row r="768" spans="1:14" x14ac:dyDescent="0.25">
      <c r="A768" s="9" t="s">
        <v>10</v>
      </c>
      <c r="B768" s="9">
        <f t="shared" si="33"/>
        <v>45017</v>
      </c>
      <c r="C768" s="9" t="str">
        <f>TEXT('Cleaned Datasets'!$B768,"MMMM")</f>
        <v>April</v>
      </c>
      <c r="D768" s="10" t="s">
        <v>28</v>
      </c>
      <c r="E768" s="10" t="s">
        <v>58</v>
      </c>
      <c r="F768" s="10" t="s">
        <v>13</v>
      </c>
      <c r="G768" s="10" t="s">
        <v>30</v>
      </c>
      <c r="H768" s="10" t="s">
        <v>19</v>
      </c>
      <c r="I768" s="10">
        <v>5</v>
      </c>
      <c r="J768" s="10">
        <v>5</v>
      </c>
      <c r="K768" s="10">
        <v>0</v>
      </c>
      <c r="L768" s="10">
        <v>3.5</v>
      </c>
      <c r="M768" s="11">
        <f t="shared" si="34"/>
        <v>1</v>
      </c>
      <c r="N768" s="11">
        <f t="shared" si="35"/>
        <v>0</v>
      </c>
    </row>
    <row r="769" spans="1:14" x14ac:dyDescent="0.25">
      <c r="A769" s="12" t="s">
        <v>31</v>
      </c>
      <c r="B769" s="12">
        <f t="shared" si="33"/>
        <v>45139</v>
      </c>
      <c r="C769" s="12" t="str">
        <f>TEXT('Cleaned Datasets'!$B769,"MMMM")</f>
        <v>August</v>
      </c>
      <c r="D769" s="13" t="s">
        <v>41</v>
      </c>
      <c r="E769" s="13" t="s">
        <v>42</v>
      </c>
      <c r="F769" s="13" t="s">
        <v>13</v>
      </c>
      <c r="G769" s="13" t="s">
        <v>30</v>
      </c>
      <c r="H769" s="13" t="s">
        <v>15</v>
      </c>
      <c r="I769" s="13">
        <v>3</v>
      </c>
      <c r="J769" s="13">
        <v>3</v>
      </c>
      <c r="K769" s="13">
        <v>0</v>
      </c>
      <c r="L769" s="13">
        <v>3.6</v>
      </c>
      <c r="M769" s="14">
        <f t="shared" si="34"/>
        <v>1</v>
      </c>
      <c r="N769" s="14">
        <f t="shared" si="35"/>
        <v>0</v>
      </c>
    </row>
    <row r="770" spans="1:14" x14ac:dyDescent="0.25">
      <c r="A770" s="9" t="s">
        <v>45</v>
      </c>
      <c r="B770" s="9">
        <f t="shared" si="33"/>
        <v>45047</v>
      </c>
      <c r="C770" s="9" t="str">
        <f>TEXT('Cleaned Datasets'!$B770,"MMMM")</f>
        <v>May</v>
      </c>
      <c r="D770" s="10" t="s">
        <v>46</v>
      </c>
      <c r="E770" s="10" t="s">
        <v>54</v>
      </c>
      <c r="F770" s="10" t="s">
        <v>13</v>
      </c>
      <c r="G770" s="10" t="s">
        <v>18</v>
      </c>
      <c r="H770" s="10" t="s">
        <v>15</v>
      </c>
      <c r="I770" s="10">
        <v>4</v>
      </c>
      <c r="J770" s="10">
        <v>3</v>
      </c>
      <c r="K770" s="10">
        <v>0</v>
      </c>
      <c r="L770" s="10">
        <v>2.8</v>
      </c>
      <c r="M770" s="11">
        <f t="shared" si="34"/>
        <v>0.75</v>
      </c>
      <c r="N770" s="11">
        <f t="shared" si="35"/>
        <v>0</v>
      </c>
    </row>
    <row r="771" spans="1:14" x14ac:dyDescent="0.25">
      <c r="A771" s="12" t="s">
        <v>31</v>
      </c>
      <c r="B771" s="12">
        <f t="shared" ref="B771:B834" si="36">DATE(LEFT(A771,4), RIGHT(A771,2), 1)</f>
        <v>45139</v>
      </c>
      <c r="C771" s="12" t="str">
        <f>TEXT('Cleaned Datasets'!$B771,"MMMM")</f>
        <v>August</v>
      </c>
      <c r="D771" s="13" t="s">
        <v>24</v>
      </c>
      <c r="E771" s="13" t="s">
        <v>25</v>
      </c>
      <c r="F771" s="13" t="s">
        <v>40</v>
      </c>
      <c r="G771" s="13" t="s">
        <v>27</v>
      </c>
      <c r="H771" s="13" t="s">
        <v>15</v>
      </c>
      <c r="I771" s="13">
        <v>7</v>
      </c>
      <c r="J771" s="13">
        <v>4</v>
      </c>
      <c r="K771" s="13">
        <v>0</v>
      </c>
      <c r="L771" s="13">
        <v>2.4</v>
      </c>
      <c r="M771" s="14">
        <f t="shared" ref="M771:M834" si="37">IFERROR(J771/I771,0)</f>
        <v>0.5714285714285714</v>
      </c>
      <c r="N771" s="14">
        <f t="shared" ref="N771:N834" si="38">IFERROR(K771/I771,0)</f>
        <v>0</v>
      </c>
    </row>
    <row r="772" spans="1:14" x14ac:dyDescent="0.25">
      <c r="A772" s="9" t="s">
        <v>36</v>
      </c>
      <c r="B772" s="9">
        <f t="shared" si="36"/>
        <v>44986</v>
      </c>
      <c r="C772" s="9" t="str">
        <f>TEXT('Cleaned Datasets'!$B772,"MMMM")</f>
        <v>March</v>
      </c>
      <c r="D772" s="10" t="s">
        <v>46</v>
      </c>
      <c r="E772" s="10" t="s">
        <v>47</v>
      </c>
      <c r="F772" s="10" t="s">
        <v>22</v>
      </c>
      <c r="G772" s="10" t="s">
        <v>22</v>
      </c>
      <c r="H772" s="10" t="s">
        <v>15</v>
      </c>
      <c r="I772" s="10">
        <v>5</v>
      </c>
      <c r="J772" s="10">
        <v>4</v>
      </c>
      <c r="K772" s="10">
        <v>0</v>
      </c>
      <c r="L772" s="10">
        <v>4.7</v>
      </c>
      <c r="M772" s="11">
        <f t="shared" si="37"/>
        <v>0.8</v>
      </c>
      <c r="N772" s="11">
        <f t="shared" si="38"/>
        <v>0</v>
      </c>
    </row>
    <row r="773" spans="1:14" x14ac:dyDescent="0.25">
      <c r="A773" s="12" t="s">
        <v>31</v>
      </c>
      <c r="B773" s="12">
        <f t="shared" si="36"/>
        <v>45139</v>
      </c>
      <c r="C773" s="12" t="str">
        <f>TEXT('Cleaned Datasets'!$B773,"MMMM")</f>
        <v>August</v>
      </c>
      <c r="D773" s="13" t="s">
        <v>16</v>
      </c>
      <c r="E773" s="13" t="s">
        <v>60</v>
      </c>
      <c r="F773" s="13" t="s">
        <v>13</v>
      </c>
      <c r="G773" s="13" t="s">
        <v>30</v>
      </c>
      <c r="H773" s="13" t="s">
        <v>15</v>
      </c>
      <c r="I773" s="13">
        <v>7</v>
      </c>
      <c r="J773" s="13">
        <v>7</v>
      </c>
      <c r="K773" s="13">
        <v>0</v>
      </c>
      <c r="L773" s="13">
        <v>0.7</v>
      </c>
      <c r="M773" s="14">
        <f t="shared" si="37"/>
        <v>1</v>
      </c>
      <c r="N773" s="14">
        <f t="shared" si="38"/>
        <v>0</v>
      </c>
    </row>
    <row r="774" spans="1:14" x14ac:dyDescent="0.25">
      <c r="A774" s="9" t="s">
        <v>59</v>
      </c>
      <c r="B774" s="9">
        <f t="shared" si="36"/>
        <v>45170</v>
      </c>
      <c r="C774" s="9" t="str">
        <f>TEXT('Cleaned Datasets'!$B774,"MMMM")</f>
        <v>September</v>
      </c>
      <c r="D774" s="10" t="s">
        <v>28</v>
      </c>
      <c r="E774" s="10" t="s">
        <v>58</v>
      </c>
      <c r="F774" s="10" t="s">
        <v>21</v>
      </c>
      <c r="G774" s="10" t="s">
        <v>27</v>
      </c>
      <c r="H774" s="10" t="s">
        <v>15</v>
      </c>
      <c r="I774" s="10">
        <v>6</v>
      </c>
      <c r="J774" s="10">
        <v>5</v>
      </c>
      <c r="K774" s="10">
        <v>0</v>
      </c>
      <c r="L774" s="10">
        <v>3</v>
      </c>
      <c r="M774" s="11">
        <f t="shared" si="37"/>
        <v>0.83333333333333337</v>
      </c>
      <c r="N774" s="11">
        <f t="shared" si="38"/>
        <v>0</v>
      </c>
    </row>
    <row r="775" spans="1:14" x14ac:dyDescent="0.25">
      <c r="A775" s="12" t="s">
        <v>36</v>
      </c>
      <c r="B775" s="12">
        <f t="shared" si="36"/>
        <v>44986</v>
      </c>
      <c r="C775" s="12" t="str">
        <f>TEXT('Cleaned Datasets'!$B775,"MMMM")</f>
        <v>March</v>
      </c>
      <c r="D775" s="13" t="s">
        <v>24</v>
      </c>
      <c r="E775" s="13" t="s">
        <v>25</v>
      </c>
      <c r="F775" s="13" t="s">
        <v>40</v>
      </c>
      <c r="G775" s="13" t="s">
        <v>30</v>
      </c>
      <c r="H775" s="13" t="s">
        <v>15</v>
      </c>
      <c r="I775" s="13">
        <v>4</v>
      </c>
      <c r="J775" s="13">
        <v>4</v>
      </c>
      <c r="K775" s="13">
        <v>0</v>
      </c>
      <c r="L775" s="13">
        <v>3.7</v>
      </c>
      <c r="M775" s="14">
        <f t="shared" si="37"/>
        <v>1</v>
      </c>
      <c r="N775" s="14">
        <f t="shared" si="38"/>
        <v>0</v>
      </c>
    </row>
    <row r="776" spans="1:14" x14ac:dyDescent="0.25">
      <c r="A776" s="9" t="s">
        <v>50</v>
      </c>
      <c r="B776" s="9">
        <f t="shared" si="36"/>
        <v>45108</v>
      </c>
      <c r="C776" s="9" t="str">
        <f>TEXT('Cleaned Datasets'!$B776,"MMMM")</f>
        <v>July</v>
      </c>
      <c r="D776" s="10" t="s">
        <v>37</v>
      </c>
      <c r="E776" s="10" t="s">
        <v>39</v>
      </c>
      <c r="F776" s="10" t="s">
        <v>21</v>
      </c>
      <c r="G776" s="10" t="s">
        <v>27</v>
      </c>
      <c r="H776" s="10" t="s">
        <v>15</v>
      </c>
      <c r="I776" s="10">
        <v>4</v>
      </c>
      <c r="J776" s="10">
        <v>4</v>
      </c>
      <c r="K776" s="10">
        <v>0</v>
      </c>
      <c r="L776" s="10">
        <v>4.9000000000000004</v>
      </c>
      <c r="M776" s="11">
        <f t="shared" si="37"/>
        <v>1</v>
      </c>
      <c r="N776" s="11">
        <f t="shared" si="38"/>
        <v>0</v>
      </c>
    </row>
    <row r="777" spans="1:14" x14ac:dyDescent="0.25">
      <c r="A777" s="12" t="s">
        <v>36</v>
      </c>
      <c r="B777" s="12">
        <f t="shared" si="36"/>
        <v>44986</v>
      </c>
      <c r="C777" s="12" t="str">
        <f>TEXT('Cleaned Datasets'!$B777,"MMMM")</f>
        <v>March</v>
      </c>
      <c r="D777" s="13" t="s">
        <v>16</v>
      </c>
      <c r="E777" s="13" t="s">
        <v>17</v>
      </c>
      <c r="F777" s="13" t="s">
        <v>13</v>
      </c>
      <c r="G777" s="13" t="s">
        <v>53</v>
      </c>
      <c r="H777" s="13" t="s">
        <v>15</v>
      </c>
      <c r="I777" s="13">
        <v>7</v>
      </c>
      <c r="J777" s="13">
        <v>6</v>
      </c>
      <c r="K777" s="13">
        <v>0</v>
      </c>
      <c r="L777" s="13">
        <v>4</v>
      </c>
      <c r="M777" s="14">
        <f t="shared" si="37"/>
        <v>0.8571428571428571</v>
      </c>
      <c r="N777" s="14">
        <f t="shared" si="38"/>
        <v>0</v>
      </c>
    </row>
    <row r="778" spans="1:14" x14ac:dyDescent="0.25">
      <c r="A778" s="9" t="s">
        <v>43</v>
      </c>
      <c r="B778" s="9">
        <f t="shared" si="36"/>
        <v>44958</v>
      </c>
      <c r="C778" s="9" t="str">
        <f>TEXT('Cleaned Datasets'!$B778,"MMMM")</f>
        <v>February</v>
      </c>
      <c r="D778" s="10" t="s">
        <v>37</v>
      </c>
      <c r="E778" s="10" t="s">
        <v>39</v>
      </c>
      <c r="F778" s="10" t="s">
        <v>26</v>
      </c>
      <c r="G778" s="10" t="s">
        <v>27</v>
      </c>
      <c r="H778" s="10" t="s">
        <v>19</v>
      </c>
      <c r="I778" s="10">
        <v>2</v>
      </c>
      <c r="J778" s="10">
        <v>1</v>
      </c>
      <c r="K778" s="10">
        <v>0</v>
      </c>
      <c r="L778" s="10">
        <v>2.7</v>
      </c>
      <c r="M778" s="11">
        <f t="shared" si="37"/>
        <v>0.5</v>
      </c>
      <c r="N778" s="11">
        <f t="shared" si="38"/>
        <v>0</v>
      </c>
    </row>
    <row r="779" spans="1:14" x14ac:dyDescent="0.25">
      <c r="A779" s="12" t="s">
        <v>61</v>
      </c>
      <c r="B779" s="12">
        <f t="shared" si="36"/>
        <v>45231</v>
      </c>
      <c r="C779" s="12" t="str">
        <f>TEXT('Cleaned Datasets'!$B779,"MMMM")</f>
        <v>November</v>
      </c>
      <c r="D779" s="13" t="s">
        <v>24</v>
      </c>
      <c r="E779" s="13" t="s">
        <v>25</v>
      </c>
      <c r="F779" s="13" t="s">
        <v>13</v>
      </c>
      <c r="G779" s="13" t="s">
        <v>30</v>
      </c>
      <c r="H779" s="13" t="s">
        <v>15</v>
      </c>
      <c r="I779" s="13">
        <v>3</v>
      </c>
      <c r="J779" s="13">
        <v>2</v>
      </c>
      <c r="K779" s="13">
        <v>0</v>
      </c>
      <c r="L779" s="13">
        <v>2.1</v>
      </c>
      <c r="M779" s="14">
        <f t="shared" si="37"/>
        <v>0.66666666666666663</v>
      </c>
      <c r="N779" s="14">
        <f t="shared" si="38"/>
        <v>0</v>
      </c>
    </row>
    <row r="780" spans="1:14" x14ac:dyDescent="0.25">
      <c r="A780" s="9" t="s">
        <v>31</v>
      </c>
      <c r="B780" s="9">
        <f t="shared" si="36"/>
        <v>45139</v>
      </c>
      <c r="C780" s="9" t="str">
        <f>TEXT('Cleaned Datasets'!$B780,"MMMM")</f>
        <v>August</v>
      </c>
      <c r="D780" s="10" t="s">
        <v>37</v>
      </c>
      <c r="E780" s="10" t="s">
        <v>39</v>
      </c>
      <c r="F780" s="10" t="s">
        <v>40</v>
      </c>
      <c r="G780" s="10" t="s">
        <v>18</v>
      </c>
      <c r="H780" s="10" t="s">
        <v>15</v>
      </c>
      <c r="I780" s="10">
        <v>4</v>
      </c>
      <c r="J780" s="10">
        <v>4</v>
      </c>
      <c r="K780" s="10">
        <v>0</v>
      </c>
      <c r="L780" s="10">
        <v>2.8</v>
      </c>
      <c r="M780" s="11">
        <f t="shared" si="37"/>
        <v>1</v>
      </c>
      <c r="N780" s="11">
        <f t="shared" si="38"/>
        <v>0</v>
      </c>
    </row>
    <row r="781" spans="1:14" x14ac:dyDescent="0.25">
      <c r="A781" s="12" t="s">
        <v>43</v>
      </c>
      <c r="B781" s="12">
        <f t="shared" si="36"/>
        <v>44958</v>
      </c>
      <c r="C781" s="12" t="str">
        <f>TEXT('Cleaned Datasets'!$B781,"MMMM")</f>
        <v>February</v>
      </c>
      <c r="D781" s="13" t="s">
        <v>16</v>
      </c>
      <c r="E781" s="13" t="s">
        <v>60</v>
      </c>
      <c r="F781" s="13" t="s">
        <v>13</v>
      </c>
      <c r="G781" s="13" t="s">
        <v>22</v>
      </c>
      <c r="H781" s="13" t="s">
        <v>19</v>
      </c>
      <c r="I781" s="13">
        <v>7</v>
      </c>
      <c r="J781" s="13">
        <v>6</v>
      </c>
      <c r="K781" s="13">
        <v>0</v>
      </c>
      <c r="L781" s="13">
        <v>4</v>
      </c>
      <c r="M781" s="14">
        <f t="shared" si="37"/>
        <v>0.8571428571428571</v>
      </c>
      <c r="N781" s="14">
        <f t="shared" si="38"/>
        <v>0</v>
      </c>
    </row>
    <row r="782" spans="1:14" x14ac:dyDescent="0.25">
      <c r="A782" s="9" t="s">
        <v>31</v>
      </c>
      <c r="B782" s="9">
        <f t="shared" si="36"/>
        <v>45139</v>
      </c>
      <c r="C782" s="9" t="str">
        <f>TEXT('Cleaned Datasets'!$B782,"MMMM")</f>
        <v>August</v>
      </c>
      <c r="D782" s="10" t="s">
        <v>48</v>
      </c>
      <c r="E782" s="10" t="s">
        <v>49</v>
      </c>
      <c r="F782" s="10" t="s">
        <v>32</v>
      </c>
      <c r="G782" s="10" t="s">
        <v>30</v>
      </c>
      <c r="H782" s="10" t="s">
        <v>19</v>
      </c>
      <c r="I782" s="10">
        <v>6</v>
      </c>
      <c r="J782" s="10">
        <v>6</v>
      </c>
      <c r="K782" s="10">
        <v>0</v>
      </c>
      <c r="L782" s="10">
        <v>2.9</v>
      </c>
      <c r="M782" s="11">
        <f t="shared" si="37"/>
        <v>1</v>
      </c>
      <c r="N782" s="11">
        <f t="shared" si="38"/>
        <v>0</v>
      </c>
    </row>
    <row r="783" spans="1:14" x14ac:dyDescent="0.25">
      <c r="A783" s="12" t="s">
        <v>36</v>
      </c>
      <c r="B783" s="12">
        <f t="shared" si="36"/>
        <v>44986</v>
      </c>
      <c r="C783" s="12" t="str">
        <f>TEXT('Cleaned Datasets'!$B783,"MMMM")</f>
        <v>March</v>
      </c>
      <c r="D783" s="13" t="s">
        <v>24</v>
      </c>
      <c r="E783" s="13" t="s">
        <v>25</v>
      </c>
      <c r="F783" s="13" t="s">
        <v>32</v>
      </c>
      <c r="G783" s="13" t="s">
        <v>53</v>
      </c>
      <c r="H783" s="13" t="s">
        <v>19</v>
      </c>
      <c r="I783" s="13">
        <v>7</v>
      </c>
      <c r="J783" s="13">
        <v>7</v>
      </c>
      <c r="K783" s="13">
        <v>1</v>
      </c>
      <c r="L783" s="13">
        <v>3.2</v>
      </c>
      <c r="M783" s="14">
        <f t="shared" si="37"/>
        <v>1</v>
      </c>
      <c r="N783" s="14">
        <f t="shared" si="38"/>
        <v>0.14285714285714285</v>
      </c>
    </row>
    <row r="784" spans="1:14" x14ac:dyDescent="0.25">
      <c r="A784" s="9" t="s">
        <v>31</v>
      </c>
      <c r="B784" s="9">
        <f t="shared" si="36"/>
        <v>45139</v>
      </c>
      <c r="C784" s="9" t="str">
        <f>TEXT('Cleaned Datasets'!$B784,"MMMM")</f>
        <v>August</v>
      </c>
      <c r="D784" s="10" t="s">
        <v>56</v>
      </c>
      <c r="E784" s="10" t="s">
        <v>62</v>
      </c>
      <c r="F784" s="10" t="s">
        <v>22</v>
      </c>
      <c r="G784" s="10" t="s">
        <v>14</v>
      </c>
      <c r="H784" s="10" t="s">
        <v>19</v>
      </c>
      <c r="I784" s="10">
        <v>6</v>
      </c>
      <c r="J784" s="10">
        <v>6</v>
      </c>
      <c r="K784" s="10">
        <v>0</v>
      </c>
      <c r="L784" s="10">
        <v>2.7</v>
      </c>
      <c r="M784" s="11">
        <f t="shared" si="37"/>
        <v>1</v>
      </c>
      <c r="N784" s="11">
        <f t="shared" si="38"/>
        <v>0</v>
      </c>
    </row>
    <row r="785" spans="1:14" x14ac:dyDescent="0.25">
      <c r="A785" s="12" t="s">
        <v>45</v>
      </c>
      <c r="B785" s="12">
        <f t="shared" si="36"/>
        <v>45047</v>
      </c>
      <c r="C785" s="12" t="str">
        <f>TEXT('Cleaned Datasets'!$B785,"MMMM")</f>
        <v>May</v>
      </c>
      <c r="D785" s="13" t="s">
        <v>16</v>
      </c>
      <c r="E785" s="13" t="s">
        <v>17</v>
      </c>
      <c r="F785" s="13" t="s">
        <v>32</v>
      </c>
      <c r="G785" s="13" t="s">
        <v>22</v>
      </c>
      <c r="H785" s="13" t="s">
        <v>19</v>
      </c>
      <c r="I785" s="13">
        <v>8</v>
      </c>
      <c r="J785" s="13">
        <v>8</v>
      </c>
      <c r="K785" s="13">
        <v>0</v>
      </c>
      <c r="L785" s="13">
        <v>3.2</v>
      </c>
      <c r="M785" s="14">
        <f t="shared" si="37"/>
        <v>1</v>
      </c>
      <c r="N785" s="14">
        <f t="shared" si="38"/>
        <v>0</v>
      </c>
    </row>
    <row r="786" spans="1:14" x14ac:dyDescent="0.25">
      <c r="A786" s="9" t="s">
        <v>33</v>
      </c>
      <c r="B786" s="9">
        <f t="shared" si="36"/>
        <v>44927</v>
      </c>
      <c r="C786" s="9" t="str">
        <f>TEXT('Cleaned Datasets'!$B786,"MMMM")</f>
        <v>January</v>
      </c>
      <c r="D786" s="10" t="s">
        <v>11</v>
      </c>
      <c r="E786" s="10" t="s">
        <v>12</v>
      </c>
      <c r="F786" s="10" t="s">
        <v>22</v>
      </c>
      <c r="G786" s="10" t="s">
        <v>18</v>
      </c>
      <c r="H786" s="10" t="s">
        <v>15</v>
      </c>
      <c r="I786" s="10">
        <v>5</v>
      </c>
      <c r="J786" s="10">
        <v>5</v>
      </c>
      <c r="K786" s="10">
        <v>0</v>
      </c>
      <c r="L786" s="10">
        <v>2.7</v>
      </c>
      <c r="M786" s="11">
        <f t="shared" si="37"/>
        <v>1</v>
      </c>
      <c r="N786" s="11">
        <f t="shared" si="38"/>
        <v>0</v>
      </c>
    </row>
    <row r="787" spans="1:14" x14ac:dyDescent="0.25">
      <c r="A787" s="12" t="s">
        <v>36</v>
      </c>
      <c r="B787" s="12">
        <f t="shared" si="36"/>
        <v>44986</v>
      </c>
      <c r="C787" s="12" t="str">
        <f>TEXT('Cleaned Datasets'!$B787,"MMMM")</f>
        <v>March</v>
      </c>
      <c r="D787" s="13" t="s">
        <v>28</v>
      </c>
      <c r="E787" s="13" t="s">
        <v>29</v>
      </c>
      <c r="F787" s="13" t="s">
        <v>26</v>
      </c>
      <c r="G787" s="13" t="s">
        <v>22</v>
      </c>
      <c r="H787" s="13" t="s">
        <v>15</v>
      </c>
      <c r="I787" s="13">
        <v>5</v>
      </c>
      <c r="J787" s="13">
        <v>5</v>
      </c>
      <c r="K787" s="13">
        <v>0</v>
      </c>
      <c r="L787" s="13">
        <v>3.9</v>
      </c>
      <c r="M787" s="14">
        <f t="shared" si="37"/>
        <v>1</v>
      </c>
      <c r="N787" s="14">
        <f t="shared" si="38"/>
        <v>0</v>
      </c>
    </row>
    <row r="788" spans="1:14" x14ac:dyDescent="0.25">
      <c r="A788" s="9" t="s">
        <v>43</v>
      </c>
      <c r="B788" s="9">
        <f t="shared" si="36"/>
        <v>44958</v>
      </c>
      <c r="C788" s="9" t="str">
        <f>TEXT('Cleaned Datasets'!$B788,"MMMM")</f>
        <v>February</v>
      </c>
      <c r="D788" s="10" t="s">
        <v>46</v>
      </c>
      <c r="E788" s="10" t="s">
        <v>47</v>
      </c>
      <c r="F788" s="10" t="s">
        <v>22</v>
      </c>
      <c r="G788" s="10" t="s">
        <v>14</v>
      </c>
      <c r="H788" s="10" t="s">
        <v>19</v>
      </c>
      <c r="I788" s="10">
        <v>7</v>
      </c>
      <c r="J788" s="10">
        <v>6</v>
      </c>
      <c r="K788" s="10">
        <v>0</v>
      </c>
      <c r="L788" s="10">
        <v>4.3</v>
      </c>
      <c r="M788" s="11">
        <f t="shared" si="37"/>
        <v>0.8571428571428571</v>
      </c>
      <c r="N788" s="11">
        <f t="shared" si="38"/>
        <v>0</v>
      </c>
    </row>
    <row r="789" spans="1:14" x14ac:dyDescent="0.25">
      <c r="A789" s="12" t="s">
        <v>20</v>
      </c>
      <c r="B789" s="12">
        <f t="shared" si="36"/>
        <v>45078</v>
      </c>
      <c r="C789" s="12" t="str">
        <f>TEXT('Cleaned Datasets'!$B789,"MMMM")</f>
        <v>June</v>
      </c>
      <c r="D789" s="13" t="s">
        <v>48</v>
      </c>
      <c r="E789" s="13" t="s">
        <v>63</v>
      </c>
      <c r="F789" s="13" t="s">
        <v>32</v>
      </c>
      <c r="G789" s="13" t="s">
        <v>22</v>
      </c>
      <c r="H789" s="13" t="s">
        <v>19</v>
      </c>
      <c r="I789" s="13">
        <v>7</v>
      </c>
      <c r="J789" s="13">
        <v>7</v>
      </c>
      <c r="K789" s="13">
        <v>0</v>
      </c>
      <c r="L789" s="13">
        <v>-0.5</v>
      </c>
      <c r="M789" s="14">
        <f t="shared" si="37"/>
        <v>1</v>
      </c>
      <c r="N789" s="14">
        <f t="shared" si="38"/>
        <v>0</v>
      </c>
    </row>
    <row r="790" spans="1:14" x14ac:dyDescent="0.25">
      <c r="A790" s="9" t="s">
        <v>55</v>
      </c>
      <c r="B790" s="9">
        <f t="shared" si="36"/>
        <v>45261</v>
      </c>
      <c r="C790" s="9" t="str">
        <f>TEXT('Cleaned Datasets'!$B790,"MMMM")</f>
        <v>December</v>
      </c>
      <c r="D790" s="10" t="s">
        <v>11</v>
      </c>
      <c r="E790" s="10" t="s">
        <v>12</v>
      </c>
      <c r="F790" s="10" t="s">
        <v>40</v>
      </c>
      <c r="G790" s="10" t="s">
        <v>27</v>
      </c>
      <c r="H790" s="10" t="s">
        <v>15</v>
      </c>
      <c r="I790" s="10">
        <v>3</v>
      </c>
      <c r="J790" s="10">
        <v>3</v>
      </c>
      <c r="K790" s="10">
        <v>0</v>
      </c>
      <c r="L790" s="10">
        <v>2.8</v>
      </c>
      <c r="M790" s="11">
        <f t="shared" si="37"/>
        <v>1</v>
      </c>
      <c r="N790" s="11">
        <f t="shared" si="38"/>
        <v>0</v>
      </c>
    </row>
    <row r="791" spans="1:14" x14ac:dyDescent="0.25">
      <c r="A791" s="12" t="s">
        <v>31</v>
      </c>
      <c r="B791" s="12">
        <f t="shared" si="36"/>
        <v>45139</v>
      </c>
      <c r="C791" s="12" t="str">
        <f>TEXT('Cleaned Datasets'!$B791,"MMMM")</f>
        <v>August</v>
      </c>
      <c r="D791" s="13" t="s">
        <v>56</v>
      </c>
      <c r="E791" s="13" t="s">
        <v>57</v>
      </c>
      <c r="F791" s="13" t="s">
        <v>13</v>
      </c>
      <c r="G791" s="13" t="s">
        <v>53</v>
      </c>
      <c r="H791" s="13" t="s">
        <v>19</v>
      </c>
      <c r="I791" s="13">
        <v>3</v>
      </c>
      <c r="J791" s="13">
        <v>3</v>
      </c>
      <c r="K791" s="13">
        <v>0</v>
      </c>
      <c r="L791" s="13">
        <v>4.4000000000000004</v>
      </c>
      <c r="M791" s="14">
        <f t="shared" si="37"/>
        <v>1</v>
      </c>
      <c r="N791" s="14">
        <f t="shared" si="38"/>
        <v>0</v>
      </c>
    </row>
    <row r="792" spans="1:14" x14ac:dyDescent="0.25">
      <c r="A792" s="9" t="s">
        <v>50</v>
      </c>
      <c r="B792" s="9">
        <f t="shared" si="36"/>
        <v>45108</v>
      </c>
      <c r="C792" s="9" t="str">
        <f>TEXT('Cleaned Datasets'!$B792,"MMMM")</f>
        <v>July</v>
      </c>
      <c r="D792" s="10" t="s">
        <v>48</v>
      </c>
      <c r="E792" s="10" t="s">
        <v>63</v>
      </c>
      <c r="F792" s="10" t="s">
        <v>22</v>
      </c>
      <c r="G792" s="10" t="s">
        <v>30</v>
      </c>
      <c r="H792" s="10" t="s">
        <v>15</v>
      </c>
      <c r="I792" s="10">
        <v>6</v>
      </c>
      <c r="J792" s="10">
        <v>4</v>
      </c>
      <c r="K792" s="10">
        <v>2</v>
      </c>
      <c r="L792" s="10">
        <v>2.9</v>
      </c>
      <c r="M792" s="11">
        <f t="shared" si="37"/>
        <v>0.66666666666666663</v>
      </c>
      <c r="N792" s="11">
        <f t="shared" si="38"/>
        <v>0.33333333333333331</v>
      </c>
    </row>
    <row r="793" spans="1:14" x14ac:dyDescent="0.25">
      <c r="A793" s="12" t="s">
        <v>31</v>
      </c>
      <c r="B793" s="12">
        <f t="shared" si="36"/>
        <v>45139</v>
      </c>
      <c r="C793" s="12" t="str">
        <f>TEXT('Cleaned Datasets'!$B793,"MMMM")</f>
        <v>August</v>
      </c>
      <c r="D793" s="13" t="s">
        <v>11</v>
      </c>
      <c r="E793" s="13" t="s">
        <v>12</v>
      </c>
      <c r="F793" s="13" t="s">
        <v>13</v>
      </c>
      <c r="G793" s="13" t="s">
        <v>22</v>
      </c>
      <c r="H793" s="13" t="s">
        <v>19</v>
      </c>
      <c r="I793" s="13">
        <v>1</v>
      </c>
      <c r="J793" s="13">
        <v>1</v>
      </c>
      <c r="K793" s="13">
        <v>0</v>
      </c>
      <c r="L793" s="13">
        <v>3.6</v>
      </c>
      <c r="M793" s="14">
        <f t="shared" si="37"/>
        <v>1</v>
      </c>
      <c r="N793" s="14">
        <f t="shared" si="38"/>
        <v>0</v>
      </c>
    </row>
    <row r="794" spans="1:14" x14ac:dyDescent="0.25">
      <c r="A794" s="9" t="s">
        <v>45</v>
      </c>
      <c r="B794" s="9">
        <f t="shared" si="36"/>
        <v>45047</v>
      </c>
      <c r="C794" s="9" t="str">
        <f>TEXT('Cleaned Datasets'!$B794,"MMMM")</f>
        <v>May</v>
      </c>
      <c r="D794" s="10" t="s">
        <v>48</v>
      </c>
      <c r="E794" s="10" t="s">
        <v>63</v>
      </c>
      <c r="F794" s="10" t="s">
        <v>13</v>
      </c>
      <c r="G794" s="10" t="s">
        <v>22</v>
      </c>
      <c r="H794" s="10" t="s">
        <v>19</v>
      </c>
      <c r="I794" s="10">
        <v>8</v>
      </c>
      <c r="J794" s="10">
        <v>7</v>
      </c>
      <c r="K794" s="10">
        <v>0</v>
      </c>
      <c r="L794" s="10">
        <v>3.1</v>
      </c>
      <c r="M794" s="11">
        <f t="shared" si="37"/>
        <v>0.875</v>
      </c>
      <c r="N794" s="11">
        <f t="shared" si="38"/>
        <v>0</v>
      </c>
    </row>
    <row r="795" spans="1:14" x14ac:dyDescent="0.25">
      <c r="A795" s="12" t="s">
        <v>61</v>
      </c>
      <c r="B795" s="12">
        <f t="shared" si="36"/>
        <v>45231</v>
      </c>
      <c r="C795" s="12" t="str">
        <f>TEXT('Cleaned Datasets'!$B795,"MMMM")</f>
        <v>November</v>
      </c>
      <c r="D795" s="13" t="s">
        <v>46</v>
      </c>
      <c r="E795" s="13" t="s">
        <v>47</v>
      </c>
      <c r="F795" s="13" t="s">
        <v>21</v>
      </c>
      <c r="G795" s="13" t="s">
        <v>27</v>
      </c>
      <c r="H795" s="13" t="s">
        <v>15</v>
      </c>
      <c r="I795" s="13">
        <v>8</v>
      </c>
      <c r="J795" s="13">
        <v>8</v>
      </c>
      <c r="K795" s="13">
        <v>0</v>
      </c>
      <c r="L795" s="13">
        <v>2.7</v>
      </c>
      <c r="M795" s="14">
        <f t="shared" si="37"/>
        <v>1</v>
      </c>
      <c r="N795" s="14">
        <f t="shared" si="38"/>
        <v>0</v>
      </c>
    </row>
    <row r="796" spans="1:14" x14ac:dyDescent="0.25">
      <c r="A796" s="9" t="s">
        <v>59</v>
      </c>
      <c r="B796" s="9">
        <f t="shared" si="36"/>
        <v>45170</v>
      </c>
      <c r="C796" s="9" t="str">
        <f>TEXT('Cleaned Datasets'!$B796,"MMMM")</f>
        <v>September</v>
      </c>
      <c r="D796" s="10" t="s">
        <v>24</v>
      </c>
      <c r="E796" s="10" t="s">
        <v>64</v>
      </c>
      <c r="F796" s="10" t="s">
        <v>32</v>
      </c>
      <c r="G796" s="10" t="s">
        <v>14</v>
      </c>
      <c r="H796" s="10" t="s">
        <v>19</v>
      </c>
      <c r="I796" s="10">
        <v>5</v>
      </c>
      <c r="J796" s="10">
        <v>4</v>
      </c>
      <c r="K796" s="10">
        <v>0</v>
      </c>
      <c r="L796" s="10">
        <v>2.6</v>
      </c>
      <c r="M796" s="11">
        <f t="shared" si="37"/>
        <v>0.8</v>
      </c>
      <c r="N796" s="11">
        <f t="shared" si="38"/>
        <v>0</v>
      </c>
    </row>
    <row r="797" spans="1:14" x14ac:dyDescent="0.25">
      <c r="A797" s="12" t="s">
        <v>61</v>
      </c>
      <c r="B797" s="12">
        <f t="shared" si="36"/>
        <v>45231</v>
      </c>
      <c r="C797" s="12" t="str">
        <f>TEXT('Cleaned Datasets'!$B797,"MMMM")</f>
        <v>November</v>
      </c>
      <c r="D797" s="13" t="s">
        <v>34</v>
      </c>
      <c r="E797" s="13" t="s">
        <v>35</v>
      </c>
      <c r="F797" s="13" t="s">
        <v>26</v>
      </c>
      <c r="G797" s="13" t="s">
        <v>18</v>
      </c>
      <c r="H797" s="13" t="s">
        <v>19</v>
      </c>
      <c r="I797" s="13">
        <v>5</v>
      </c>
      <c r="J797" s="13">
        <v>5</v>
      </c>
      <c r="K797" s="13">
        <v>1</v>
      </c>
      <c r="L797" s="13">
        <v>1.8</v>
      </c>
      <c r="M797" s="14">
        <f t="shared" si="37"/>
        <v>1</v>
      </c>
      <c r="N797" s="14">
        <f t="shared" si="38"/>
        <v>0.2</v>
      </c>
    </row>
    <row r="798" spans="1:14" x14ac:dyDescent="0.25">
      <c r="A798" s="9" t="s">
        <v>31</v>
      </c>
      <c r="B798" s="9">
        <f t="shared" si="36"/>
        <v>45139</v>
      </c>
      <c r="C798" s="9" t="str">
        <f>TEXT('Cleaned Datasets'!$B798,"MMMM")</f>
        <v>August</v>
      </c>
      <c r="D798" s="10" t="s">
        <v>37</v>
      </c>
      <c r="E798" s="10" t="s">
        <v>38</v>
      </c>
      <c r="F798" s="10" t="s">
        <v>22</v>
      </c>
      <c r="G798" s="10" t="s">
        <v>30</v>
      </c>
      <c r="H798" s="10" t="s">
        <v>15</v>
      </c>
      <c r="I798" s="10">
        <v>5</v>
      </c>
      <c r="J798" s="10">
        <v>5</v>
      </c>
      <c r="K798" s="10">
        <v>0</v>
      </c>
      <c r="L798" s="10">
        <v>3</v>
      </c>
      <c r="M798" s="11">
        <f t="shared" si="37"/>
        <v>1</v>
      </c>
      <c r="N798" s="11">
        <f t="shared" si="38"/>
        <v>0</v>
      </c>
    </row>
    <row r="799" spans="1:14" x14ac:dyDescent="0.25">
      <c r="A799" s="12" t="s">
        <v>23</v>
      </c>
      <c r="B799" s="12">
        <f t="shared" si="36"/>
        <v>45200</v>
      </c>
      <c r="C799" s="12" t="str">
        <f>TEXT('Cleaned Datasets'!$B799,"MMMM")</f>
        <v>October</v>
      </c>
      <c r="D799" s="13" t="s">
        <v>37</v>
      </c>
      <c r="E799" s="13" t="s">
        <v>39</v>
      </c>
      <c r="F799" s="13" t="s">
        <v>32</v>
      </c>
      <c r="G799" s="13" t="s">
        <v>53</v>
      </c>
      <c r="H799" s="13" t="s">
        <v>15</v>
      </c>
      <c r="I799" s="13">
        <v>6</v>
      </c>
      <c r="J799" s="13">
        <v>6</v>
      </c>
      <c r="K799" s="13">
        <v>0</v>
      </c>
      <c r="L799" s="13">
        <v>1.5</v>
      </c>
      <c r="M799" s="14">
        <f t="shared" si="37"/>
        <v>1</v>
      </c>
      <c r="N799" s="14">
        <f t="shared" si="38"/>
        <v>0</v>
      </c>
    </row>
    <row r="800" spans="1:14" x14ac:dyDescent="0.25">
      <c r="A800" s="9" t="s">
        <v>23</v>
      </c>
      <c r="B800" s="9">
        <f t="shared" si="36"/>
        <v>45200</v>
      </c>
      <c r="C800" s="9" t="str">
        <f>TEXT('Cleaned Datasets'!$B800,"MMMM")</f>
        <v>October</v>
      </c>
      <c r="D800" s="10" t="s">
        <v>41</v>
      </c>
      <c r="E800" s="10" t="s">
        <v>42</v>
      </c>
      <c r="F800" s="10" t="s">
        <v>22</v>
      </c>
      <c r="G800" s="10" t="s">
        <v>22</v>
      </c>
      <c r="H800" s="10" t="s">
        <v>15</v>
      </c>
      <c r="I800" s="10">
        <v>5</v>
      </c>
      <c r="J800" s="10">
        <v>5</v>
      </c>
      <c r="K800" s="10">
        <v>0</v>
      </c>
      <c r="L800" s="10">
        <v>4</v>
      </c>
      <c r="M800" s="11">
        <f t="shared" si="37"/>
        <v>1</v>
      </c>
      <c r="N800" s="11">
        <f t="shared" si="38"/>
        <v>0</v>
      </c>
    </row>
    <row r="801" spans="1:14" x14ac:dyDescent="0.25">
      <c r="A801" s="12" t="s">
        <v>59</v>
      </c>
      <c r="B801" s="12">
        <f t="shared" si="36"/>
        <v>45170</v>
      </c>
      <c r="C801" s="12" t="str">
        <f>TEXT('Cleaned Datasets'!$B801,"MMMM")</f>
        <v>September</v>
      </c>
      <c r="D801" s="13" t="s">
        <v>34</v>
      </c>
      <c r="E801" s="13" t="s">
        <v>35</v>
      </c>
      <c r="F801" s="13" t="s">
        <v>13</v>
      </c>
      <c r="G801" s="13" t="s">
        <v>14</v>
      </c>
      <c r="H801" s="13" t="s">
        <v>15</v>
      </c>
      <c r="I801" s="13">
        <v>3</v>
      </c>
      <c r="J801" s="13">
        <v>3</v>
      </c>
      <c r="K801" s="13">
        <v>0</v>
      </c>
      <c r="L801" s="13">
        <v>2.2999999999999998</v>
      </c>
      <c r="M801" s="14">
        <f t="shared" si="37"/>
        <v>1</v>
      </c>
      <c r="N801" s="14">
        <f t="shared" si="38"/>
        <v>0</v>
      </c>
    </row>
    <row r="802" spans="1:14" x14ac:dyDescent="0.25">
      <c r="A802" s="9" t="s">
        <v>50</v>
      </c>
      <c r="B802" s="9">
        <f t="shared" si="36"/>
        <v>45108</v>
      </c>
      <c r="C802" s="9" t="str">
        <f>TEXT('Cleaned Datasets'!$B802,"MMMM")</f>
        <v>July</v>
      </c>
      <c r="D802" s="10" t="s">
        <v>56</v>
      </c>
      <c r="E802" s="10" t="s">
        <v>62</v>
      </c>
      <c r="F802" s="10" t="s">
        <v>26</v>
      </c>
      <c r="G802" s="10" t="s">
        <v>18</v>
      </c>
      <c r="H802" s="10" t="s">
        <v>15</v>
      </c>
      <c r="I802" s="10">
        <v>5</v>
      </c>
      <c r="J802" s="10">
        <v>5</v>
      </c>
      <c r="K802" s="10">
        <v>0</v>
      </c>
      <c r="L802" s="10">
        <v>2.6</v>
      </c>
      <c r="M802" s="11">
        <f t="shared" si="37"/>
        <v>1</v>
      </c>
      <c r="N802" s="11">
        <f t="shared" si="38"/>
        <v>0</v>
      </c>
    </row>
    <row r="803" spans="1:14" x14ac:dyDescent="0.25">
      <c r="A803" s="12" t="s">
        <v>31</v>
      </c>
      <c r="B803" s="12">
        <f t="shared" si="36"/>
        <v>45139</v>
      </c>
      <c r="C803" s="12" t="str">
        <f>TEXT('Cleaned Datasets'!$B803,"MMMM")</f>
        <v>August</v>
      </c>
      <c r="D803" s="13" t="s">
        <v>34</v>
      </c>
      <c r="E803" s="13" t="s">
        <v>35</v>
      </c>
      <c r="F803" s="13" t="s">
        <v>21</v>
      </c>
      <c r="G803" s="13" t="s">
        <v>22</v>
      </c>
      <c r="H803" s="13" t="s">
        <v>15</v>
      </c>
      <c r="I803" s="13">
        <v>3</v>
      </c>
      <c r="J803" s="13">
        <v>3</v>
      </c>
      <c r="K803" s="13">
        <v>0</v>
      </c>
      <c r="L803" s="13">
        <v>3.2</v>
      </c>
      <c r="M803" s="14">
        <f t="shared" si="37"/>
        <v>1</v>
      </c>
      <c r="N803" s="14">
        <f t="shared" si="38"/>
        <v>0</v>
      </c>
    </row>
    <row r="804" spans="1:14" x14ac:dyDescent="0.25">
      <c r="A804" s="9" t="s">
        <v>50</v>
      </c>
      <c r="B804" s="9">
        <f t="shared" si="36"/>
        <v>45108</v>
      </c>
      <c r="C804" s="9" t="str">
        <f>TEXT('Cleaned Datasets'!$B804,"MMMM")</f>
        <v>July</v>
      </c>
      <c r="D804" s="10" t="s">
        <v>34</v>
      </c>
      <c r="E804" s="10" t="s">
        <v>51</v>
      </c>
      <c r="F804" s="10" t="s">
        <v>22</v>
      </c>
      <c r="G804" s="10" t="s">
        <v>18</v>
      </c>
      <c r="H804" s="10" t="s">
        <v>15</v>
      </c>
      <c r="I804" s="10">
        <v>5</v>
      </c>
      <c r="J804" s="10">
        <v>5</v>
      </c>
      <c r="K804" s="10">
        <v>0</v>
      </c>
      <c r="L804" s="10">
        <v>3.7</v>
      </c>
      <c r="M804" s="11">
        <f t="shared" si="37"/>
        <v>1</v>
      </c>
      <c r="N804" s="11">
        <f t="shared" si="38"/>
        <v>0</v>
      </c>
    </row>
    <row r="805" spans="1:14" x14ac:dyDescent="0.25">
      <c r="A805" s="12" t="s">
        <v>33</v>
      </c>
      <c r="B805" s="12">
        <f t="shared" si="36"/>
        <v>44927</v>
      </c>
      <c r="C805" s="12" t="str">
        <f>TEXT('Cleaned Datasets'!$B805,"MMMM")</f>
        <v>January</v>
      </c>
      <c r="D805" s="13" t="s">
        <v>11</v>
      </c>
      <c r="E805" s="13" t="s">
        <v>12</v>
      </c>
      <c r="F805" s="13" t="s">
        <v>26</v>
      </c>
      <c r="G805" s="13" t="s">
        <v>14</v>
      </c>
      <c r="H805" s="13" t="s">
        <v>15</v>
      </c>
      <c r="I805" s="13">
        <v>6</v>
      </c>
      <c r="J805" s="13">
        <v>5</v>
      </c>
      <c r="K805" s="13">
        <v>1</v>
      </c>
      <c r="L805" s="13">
        <v>3.1</v>
      </c>
      <c r="M805" s="14">
        <f t="shared" si="37"/>
        <v>0.83333333333333337</v>
      </c>
      <c r="N805" s="14">
        <f t="shared" si="38"/>
        <v>0.16666666666666666</v>
      </c>
    </row>
    <row r="806" spans="1:14" x14ac:dyDescent="0.25">
      <c r="A806" s="9" t="s">
        <v>20</v>
      </c>
      <c r="B806" s="9">
        <f t="shared" si="36"/>
        <v>45078</v>
      </c>
      <c r="C806" s="9" t="str">
        <f>TEXT('Cleaned Datasets'!$B806,"MMMM")</f>
        <v>June</v>
      </c>
      <c r="D806" s="10" t="s">
        <v>28</v>
      </c>
      <c r="E806" s="10" t="s">
        <v>29</v>
      </c>
      <c r="F806" s="10" t="s">
        <v>22</v>
      </c>
      <c r="G806" s="10" t="s">
        <v>14</v>
      </c>
      <c r="H806" s="10" t="s">
        <v>15</v>
      </c>
      <c r="I806" s="10">
        <v>3</v>
      </c>
      <c r="J806" s="10">
        <v>3</v>
      </c>
      <c r="K806" s="10">
        <v>0</v>
      </c>
      <c r="L806" s="10">
        <v>3.3</v>
      </c>
      <c r="M806" s="11">
        <f t="shared" si="37"/>
        <v>1</v>
      </c>
      <c r="N806" s="11">
        <f t="shared" si="38"/>
        <v>0</v>
      </c>
    </row>
    <row r="807" spans="1:14" x14ac:dyDescent="0.25">
      <c r="A807" s="12" t="s">
        <v>33</v>
      </c>
      <c r="B807" s="12">
        <f t="shared" si="36"/>
        <v>44927</v>
      </c>
      <c r="C807" s="12" t="str">
        <f>TEXT('Cleaned Datasets'!$B807,"MMMM")</f>
        <v>January</v>
      </c>
      <c r="D807" s="13" t="s">
        <v>16</v>
      </c>
      <c r="E807" s="13" t="s">
        <v>17</v>
      </c>
      <c r="F807" s="13" t="s">
        <v>32</v>
      </c>
      <c r="G807" s="13" t="s">
        <v>18</v>
      </c>
      <c r="H807" s="13" t="s">
        <v>19</v>
      </c>
      <c r="I807" s="13">
        <v>8</v>
      </c>
      <c r="J807" s="13">
        <v>6</v>
      </c>
      <c r="K807" s="13">
        <v>1</v>
      </c>
      <c r="L807" s="13">
        <v>2.8</v>
      </c>
      <c r="M807" s="14">
        <f t="shared" si="37"/>
        <v>0.75</v>
      </c>
      <c r="N807" s="14">
        <f t="shared" si="38"/>
        <v>0.125</v>
      </c>
    </row>
    <row r="808" spans="1:14" x14ac:dyDescent="0.25">
      <c r="A808" s="9" t="s">
        <v>59</v>
      </c>
      <c r="B808" s="9">
        <f t="shared" si="36"/>
        <v>45170</v>
      </c>
      <c r="C808" s="9" t="str">
        <f>TEXT('Cleaned Datasets'!$B808,"MMMM")</f>
        <v>September</v>
      </c>
      <c r="D808" s="10" t="s">
        <v>28</v>
      </c>
      <c r="E808" s="10" t="s">
        <v>29</v>
      </c>
      <c r="F808" s="10" t="s">
        <v>32</v>
      </c>
      <c r="G808" s="10" t="s">
        <v>18</v>
      </c>
      <c r="H808" s="10" t="s">
        <v>15</v>
      </c>
      <c r="I808" s="10">
        <v>3</v>
      </c>
      <c r="J808" s="10">
        <v>3</v>
      </c>
      <c r="K808" s="10">
        <v>0</v>
      </c>
      <c r="L808" s="10">
        <v>4.5999999999999996</v>
      </c>
      <c r="M808" s="11">
        <f t="shared" si="37"/>
        <v>1</v>
      </c>
      <c r="N808" s="11">
        <f t="shared" si="38"/>
        <v>0</v>
      </c>
    </row>
    <row r="809" spans="1:14" x14ac:dyDescent="0.25">
      <c r="A809" s="12" t="s">
        <v>55</v>
      </c>
      <c r="B809" s="12">
        <f t="shared" si="36"/>
        <v>45261</v>
      </c>
      <c r="C809" s="12" t="str">
        <f>TEXT('Cleaned Datasets'!$B809,"MMMM")</f>
        <v>December</v>
      </c>
      <c r="D809" s="13" t="s">
        <v>56</v>
      </c>
      <c r="E809" s="13" t="s">
        <v>57</v>
      </c>
      <c r="F809" s="13" t="s">
        <v>22</v>
      </c>
      <c r="G809" s="13" t="s">
        <v>18</v>
      </c>
      <c r="H809" s="13" t="s">
        <v>19</v>
      </c>
      <c r="I809" s="13">
        <v>2</v>
      </c>
      <c r="J809" s="13">
        <v>1</v>
      </c>
      <c r="K809" s="13">
        <v>0</v>
      </c>
      <c r="L809" s="13">
        <v>1.3</v>
      </c>
      <c r="M809" s="14">
        <f t="shared" si="37"/>
        <v>0.5</v>
      </c>
      <c r="N809" s="14">
        <f t="shared" si="38"/>
        <v>0</v>
      </c>
    </row>
    <row r="810" spans="1:14" x14ac:dyDescent="0.25">
      <c r="A810" s="9" t="s">
        <v>45</v>
      </c>
      <c r="B810" s="9">
        <f t="shared" si="36"/>
        <v>45047</v>
      </c>
      <c r="C810" s="9" t="str">
        <f>TEXT('Cleaned Datasets'!$B810,"MMMM")</f>
        <v>May</v>
      </c>
      <c r="D810" s="10" t="s">
        <v>41</v>
      </c>
      <c r="E810" s="10" t="s">
        <v>42</v>
      </c>
      <c r="F810" s="10" t="s">
        <v>13</v>
      </c>
      <c r="G810" s="10" t="s">
        <v>30</v>
      </c>
      <c r="H810" s="10" t="s">
        <v>15</v>
      </c>
      <c r="I810" s="10">
        <v>4</v>
      </c>
      <c r="J810" s="10">
        <v>4</v>
      </c>
      <c r="K810" s="10">
        <v>0</v>
      </c>
      <c r="L810" s="10">
        <v>1.2</v>
      </c>
      <c r="M810" s="11">
        <f t="shared" si="37"/>
        <v>1</v>
      </c>
      <c r="N810" s="11">
        <f t="shared" si="38"/>
        <v>0</v>
      </c>
    </row>
    <row r="811" spans="1:14" x14ac:dyDescent="0.25">
      <c r="A811" s="12" t="s">
        <v>43</v>
      </c>
      <c r="B811" s="12">
        <f t="shared" si="36"/>
        <v>44958</v>
      </c>
      <c r="C811" s="12" t="str">
        <f>TEXT('Cleaned Datasets'!$B811,"MMMM")</f>
        <v>February</v>
      </c>
      <c r="D811" s="13" t="s">
        <v>34</v>
      </c>
      <c r="E811" s="13" t="s">
        <v>51</v>
      </c>
      <c r="F811" s="13" t="s">
        <v>32</v>
      </c>
      <c r="G811" s="13" t="s">
        <v>14</v>
      </c>
      <c r="H811" s="13" t="s">
        <v>19</v>
      </c>
      <c r="I811" s="13">
        <v>3</v>
      </c>
      <c r="J811" s="13">
        <v>3</v>
      </c>
      <c r="K811" s="13">
        <v>0</v>
      </c>
      <c r="L811" s="13">
        <v>3.3</v>
      </c>
      <c r="M811" s="14">
        <f t="shared" si="37"/>
        <v>1</v>
      </c>
      <c r="N811" s="14">
        <f t="shared" si="38"/>
        <v>0</v>
      </c>
    </row>
    <row r="812" spans="1:14" x14ac:dyDescent="0.25">
      <c r="A812" s="9" t="s">
        <v>59</v>
      </c>
      <c r="B812" s="9">
        <f t="shared" si="36"/>
        <v>45170</v>
      </c>
      <c r="C812" s="9" t="str">
        <f>TEXT('Cleaned Datasets'!$B812,"MMMM")</f>
        <v>September</v>
      </c>
      <c r="D812" s="10" t="s">
        <v>16</v>
      </c>
      <c r="E812" s="10" t="s">
        <v>17</v>
      </c>
      <c r="F812" s="10" t="s">
        <v>21</v>
      </c>
      <c r="G812" s="10" t="s">
        <v>22</v>
      </c>
      <c r="H812" s="10" t="s">
        <v>19</v>
      </c>
      <c r="I812" s="10">
        <v>7</v>
      </c>
      <c r="J812" s="10">
        <v>6</v>
      </c>
      <c r="K812" s="10">
        <v>0</v>
      </c>
      <c r="L812" s="10">
        <v>1.4</v>
      </c>
      <c r="M812" s="11">
        <f t="shared" si="37"/>
        <v>0.8571428571428571</v>
      </c>
      <c r="N812" s="11">
        <f t="shared" si="38"/>
        <v>0</v>
      </c>
    </row>
    <row r="813" spans="1:14" x14ac:dyDescent="0.25">
      <c r="A813" s="12" t="s">
        <v>20</v>
      </c>
      <c r="B813" s="12">
        <f t="shared" si="36"/>
        <v>45078</v>
      </c>
      <c r="C813" s="12" t="str">
        <f>TEXT('Cleaned Datasets'!$B813,"MMMM")</f>
        <v>June</v>
      </c>
      <c r="D813" s="13" t="s">
        <v>48</v>
      </c>
      <c r="E813" s="13" t="s">
        <v>49</v>
      </c>
      <c r="F813" s="13" t="s">
        <v>32</v>
      </c>
      <c r="G813" s="13" t="s">
        <v>14</v>
      </c>
      <c r="H813" s="13" t="s">
        <v>19</v>
      </c>
      <c r="I813" s="13">
        <v>5</v>
      </c>
      <c r="J813" s="13">
        <v>4</v>
      </c>
      <c r="K813" s="13">
        <v>0</v>
      </c>
      <c r="L813" s="13">
        <v>2.6</v>
      </c>
      <c r="M813" s="14">
        <f t="shared" si="37"/>
        <v>0.8</v>
      </c>
      <c r="N813" s="14">
        <f t="shared" si="38"/>
        <v>0</v>
      </c>
    </row>
    <row r="814" spans="1:14" x14ac:dyDescent="0.25">
      <c r="A814" s="9" t="s">
        <v>31</v>
      </c>
      <c r="B814" s="9">
        <f t="shared" si="36"/>
        <v>45139</v>
      </c>
      <c r="C814" s="9" t="str">
        <f>TEXT('Cleaned Datasets'!$B814,"MMMM")</f>
        <v>August</v>
      </c>
      <c r="D814" s="10" t="s">
        <v>34</v>
      </c>
      <c r="E814" s="10" t="s">
        <v>51</v>
      </c>
      <c r="F814" s="10" t="s">
        <v>40</v>
      </c>
      <c r="G814" s="10" t="s">
        <v>22</v>
      </c>
      <c r="H814" s="10" t="s">
        <v>19</v>
      </c>
      <c r="I814" s="10">
        <v>5</v>
      </c>
      <c r="J814" s="10">
        <v>5</v>
      </c>
      <c r="K814" s="10">
        <v>0</v>
      </c>
      <c r="L814" s="10">
        <v>1.8</v>
      </c>
      <c r="M814" s="11">
        <f t="shared" si="37"/>
        <v>1</v>
      </c>
      <c r="N814" s="11">
        <f t="shared" si="38"/>
        <v>0</v>
      </c>
    </row>
    <row r="815" spans="1:14" x14ac:dyDescent="0.25">
      <c r="A815" s="12" t="s">
        <v>20</v>
      </c>
      <c r="B815" s="12">
        <f t="shared" si="36"/>
        <v>45078</v>
      </c>
      <c r="C815" s="12" t="str">
        <f>TEXT('Cleaned Datasets'!$B815,"MMMM")</f>
        <v>June</v>
      </c>
      <c r="D815" s="13" t="s">
        <v>46</v>
      </c>
      <c r="E815" s="13" t="s">
        <v>54</v>
      </c>
      <c r="F815" s="13" t="s">
        <v>21</v>
      </c>
      <c r="G815" s="13" t="s">
        <v>18</v>
      </c>
      <c r="H815" s="13" t="s">
        <v>19</v>
      </c>
      <c r="I815" s="13">
        <v>3</v>
      </c>
      <c r="J815" s="13">
        <v>2</v>
      </c>
      <c r="K815" s="13">
        <v>0</v>
      </c>
      <c r="L815" s="13">
        <v>4</v>
      </c>
      <c r="M815" s="14">
        <f t="shared" si="37"/>
        <v>0.66666666666666663</v>
      </c>
      <c r="N815" s="14">
        <f t="shared" si="38"/>
        <v>0</v>
      </c>
    </row>
    <row r="816" spans="1:14" x14ac:dyDescent="0.25">
      <c r="A816" s="9" t="s">
        <v>20</v>
      </c>
      <c r="B816" s="9">
        <f t="shared" si="36"/>
        <v>45078</v>
      </c>
      <c r="C816" s="9" t="str">
        <f>TEXT('Cleaned Datasets'!$B816,"MMMM")</f>
        <v>June</v>
      </c>
      <c r="D816" s="10" t="s">
        <v>48</v>
      </c>
      <c r="E816" s="10" t="s">
        <v>63</v>
      </c>
      <c r="F816" s="10" t="s">
        <v>13</v>
      </c>
      <c r="G816" s="10" t="s">
        <v>18</v>
      </c>
      <c r="H816" s="10" t="s">
        <v>19</v>
      </c>
      <c r="I816" s="10">
        <v>3</v>
      </c>
      <c r="J816" s="10">
        <v>3</v>
      </c>
      <c r="K816" s="10">
        <v>0</v>
      </c>
      <c r="L816" s="10">
        <v>1.6</v>
      </c>
      <c r="M816" s="11">
        <f t="shared" si="37"/>
        <v>1</v>
      </c>
      <c r="N816" s="11">
        <f t="shared" si="38"/>
        <v>0</v>
      </c>
    </row>
    <row r="817" spans="1:14" x14ac:dyDescent="0.25">
      <c r="A817" s="12" t="s">
        <v>43</v>
      </c>
      <c r="B817" s="12">
        <f t="shared" si="36"/>
        <v>44958</v>
      </c>
      <c r="C817" s="12" t="str">
        <f>TEXT('Cleaned Datasets'!$B817,"MMMM")</f>
        <v>February</v>
      </c>
      <c r="D817" s="13" t="s">
        <v>48</v>
      </c>
      <c r="E817" s="13" t="s">
        <v>49</v>
      </c>
      <c r="F817" s="13" t="s">
        <v>22</v>
      </c>
      <c r="G817" s="13" t="s">
        <v>22</v>
      </c>
      <c r="H817" s="13" t="s">
        <v>15</v>
      </c>
      <c r="I817" s="13">
        <v>5</v>
      </c>
      <c r="J817" s="13">
        <v>5</v>
      </c>
      <c r="K817" s="13">
        <v>0</v>
      </c>
      <c r="L817" s="13">
        <v>4.2</v>
      </c>
      <c r="M817" s="14">
        <f t="shared" si="37"/>
        <v>1</v>
      </c>
      <c r="N817" s="14">
        <f t="shared" si="38"/>
        <v>0</v>
      </c>
    </row>
    <row r="818" spans="1:14" x14ac:dyDescent="0.25">
      <c r="A818" s="9" t="s">
        <v>36</v>
      </c>
      <c r="B818" s="9">
        <f t="shared" si="36"/>
        <v>44986</v>
      </c>
      <c r="C818" s="9" t="str">
        <f>TEXT('Cleaned Datasets'!$B818,"MMMM")</f>
        <v>March</v>
      </c>
      <c r="D818" s="10" t="s">
        <v>41</v>
      </c>
      <c r="E818" s="10" t="s">
        <v>42</v>
      </c>
      <c r="F818" s="10" t="s">
        <v>26</v>
      </c>
      <c r="G818" s="10" t="s">
        <v>22</v>
      </c>
      <c r="H818" s="10" t="s">
        <v>19</v>
      </c>
      <c r="I818" s="10">
        <v>7</v>
      </c>
      <c r="J818" s="10">
        <v>7</v>
      </c>
      <c r="K818" s="10">
        <v>1</v>
      </c>
      <c r="L818" s="10">
        <v>1.6</v>
      </c>
      <c r="M818" s="11">
        <f t="shared" si="37"/>
        <v>1</v>
      </c>
      <c r="N818" s="11">
        <f t="shared" si="38"/>
        <v>0.14285714285714285</v>
      </c>
    </row>
    <row r="819" spans="1:14" x14ac:dyDescent="0.25">
      <c r="A819" s="12" t="s">
        <v>23</v>
      </c>
      <c r="B819" s="12">
        <f t="shared" si="36"/>
        <v>45200</v>
      </c>
      <c r="C819" s="12" t="str">
        <f>TEXT('Cleaned Datasets'!$B819,"MMMM")</f>
        <v>October</v>
      </c>
      <c r="D819" s="13" t="s">
        <v>48</v>
      </c>
      <c r="E819" s="13" t="s">
        <v>63</v>
      </c>
      <c r="F819" s="13" t="s">
        <v>40</v>
      </c>
      <c r="G819" s="13" t="s">
        <v>14</v>
      </c>
      <c r="H819" s="13" t="s">
        <v>15</v>
      </c>
      <c r="I819" s="13">
        <v>6</v>
      </c>
      <c r="J819" s="13">
        <v>5</v>
      </c>
      <c r="K819" s="13">
        <v>0</v>
      </c>
      <c r="L819" s="13">
        <v>1.6</v>
      </c>
      <c r="M819" s="14">
        <f t="shared" si="37"/>
        <v>0.83333333333333337</v>
      </c>
      <c r="N819" s="14">
        <f t="shared" si="38"/>
        <v>0</v>
      </c>
    </row>
    <row r="820" spans="1:14" x14ac:dyDescent="0.25">
      <c r="A820" s="9" t="s">
        <v>33</v>
      </c>
      <c r="B820" s="9">
        <f t="shared" si="36"/>
        <v>44927</v>
      </c>
      <c r="C820" s="9" t="str">
        <f>TEXT('Cleaned Datasets'!$B820,"MMMM")</f>
        <v>January</v>
      </c>
      <c r="D820" s="10" t="s">
        <v>24</v>
      </c>
      <c r="E820" s="10" t="s">
        <v>64</v>
      </c>
      <c r="F820" s="10" t="s">
        <v>32</v>
      </c>
      <c r="G820" s="10" t="s">
        <v>14</v>
      </c>
      <c r="H820" s="10" t="s">
        <v>15</v>
      </c>
      <c r="I820" s="10">
        <v>3</v>
      </c>
      <c r="J820" s="10">
        <v>2</v>
      </c>
      <c r="K820" s="10">
        <v>0</v>
      </c>
      <c r="L820" s="10">
        <v>2.1</v>
      </c>
      <c r="M820" s="11">
        <f t="shared" si="37"/>
        <v>0.66666666666666663</v>
      </c>
      <c r="N820" s="11">
        <f t="shared" si="38"/>
        <v>0</v>
      </c>
    </row>
    <row r="821" spans="1:14" x14ac:dyDescent="0.25">
      <c r="A821" s="12" t="s">
        <v>23</v>
      </c>
      <c r="B821" s="12">
        <f t="shared" si="36"/>
        <v>45200</v>
      </c>
      <c r="C821" s="12" t="str">
        <f>TEXT('Cleaned Datasets'!$B821,"MMMM")</f>
        <v>October</v>
      </c>
      <c r="D821" s="13" t="s">
        <v>48</v>
      </c>
      <c r="E821" s="13" t="s">
        <v>49</v>
      </c>
      <c r="F821" s="13" t="s">
        <v>40</v>
      </c>
      <c r="G821" s="13" t="s">
        <v>22</v>
      </c>
      <c r="H821" s="13" t="s">
        <v>19</v>
      </c>
      <c r="I821" s="13">
        <v>8</v>
      </c>
      <c r="J821" s="13">
        <v>8</v>
      </c>
      <c r="K821" s="13">
        <v>0</v>
      </c>
      <c r="L821" s="13">
        <v>2.6</v>
      </c>
      <c r="M821" s="14">
        <f t="shared" si="37"/>
        <v>1</v>
      </c>
      <c r="N821" s="14">
        <f t="shared" si="38"/>
        <v>0</v>
      </c>
    </row>
    <row r="822" spans="1:14" x14ac:dyDescent="0.25">
      <c r="A822" s="9" t="s">
        <v>61</v>
      </c>
      <c r="B822" s="9">
        <f t="shared" si="36"/>
        <v>45231</v>
      </c>
      <c r="C822" s="9" t="str">
        <f>TEXT('Cleaned Datasets'!$B822,"MMMM")</f>
        <v>November</v>
      </c>
      <c r="D822" s="10" t="s">
        <v>24</v>
      </c>
      <c r="E822" s="10" t="s">
        <v>64</v>
      </c>
      <c r="F822" s="10" t="s">
        <v>13</v>
      </c>
      <c r="G822" s="10" t="s">
        <v>53</v>
      </c>
      <c r="H822" s="10" t="s">
        <v>15</v>
      </c>
      <c r="I822" s="10">
        <v>3</v>
      </c>
      <c r="J822" s="10">
        <v>2</v>
      </c>
      <c r="K822" s="10">
        <v>0</v>
      </c>
      <c r="L822" s="10">
        <v>3.5</v>
      </c>
      <c r="M822" s="11">
        <f t="shared" si="37"/>
        <v>0.66666666666666663</v>
      </c>
      <c r="N822" s="11">
        <f t="shared" si="38"/>
        <v>0</v>
      </c>
    </row>
    <row r="823" spans="1:14" x14ac:dyDescent="0.25">
      <c r="A823" s="12" t="s">
        <v>36</v>
      </c>
      <c r="B823" s="12">
        <f t="shared" si="36"/>
        <v>44986</v>
      </c>
      <c r="C823" s="12" t="str">
        <f>TEXT('Cleaned Datasets'!$B823,"MMMM")</f>
        <v>March</v>
      </c>
      <c r="D823" s="13" t="s">
        <v>34</v>
      </c>
      <c r="E823" s="13" t="s">
        <v>51</v>
      </c>
      <c r="F823" s="13" t="s">
        <v>32</v>
      </c>
      <c r="G823" s="13" t="s">
        <v>53</v>
      </c>
      <c r="H823" s="13" t="s">
        <v>15</v>
      </c>
      <c r="I823" s="13">
        <v>5</v>
      </c>
      <c r="J823" s="13">
        <v>5</v>
      </c>
      <c r="K823" s="13">
        <v>0</v>
      </c>
      <c r="L823" s="13">
        <v>5</v>
      </c>
      <c r="M823" s="14">
        <f t="shared" si="37"/>
        <v>1</v>
      </c>
      <c r="N823" s="14">
        <f t="shared" si="38"/>
        <v>0</v>
      </c>
    </row>
    <row r="824" spans="1:14" x14ac:dyDescent="0.25">
      <c r="A824" s="9" t="s">
        <v>33</v>
      </c>
      <c r="B824" s="9">
        <f t="shared" si="36"/>
        <v>44927</v>
      </c>
      <c r="C824" s="9" t="str">
        <f>TEXT('Cleaned Datasets'!$B824,"MMMM")</f>
        <v>January</v>
      </c>
      <c r="D824" s="10" t="s">
        <v>56</v>
      </c>
      <c r="E824" s="10" t="s">
        <v>57</v>
      </c>
      <c r="F824" s="10" t="s">
        <v>21</v>
      </c>
      <c r="G824" s="10" t="s">
        <v>22</v>
      </c>
      <c r="H824" s="10" t="s">
        <v>19</v>
      </c>
      <c r="I824" s="10">
        <v>4</v>
      </c>
      <c r="J824" s="10">
        <v>4</v>
      </c>
      <c r="K824" s="10">
        <v>1</v>
      </c>
      <c r="L824" s="10">
        <v>2</v>
      </c>
      <c r="M824" s="11">
        <f t="shared" si="37"/>
        <v>1</v>
      </c>
      <c r="N824" s="11">
        <f t="shared" si="38"/>
        <v>0.25</v>
      </c>
    </row>
    <row r="825" spans="1:14" x14ac:dyDescent="0.25">
      <c r="A825" s="12" t="s">
        <v>61</v>
      </c>
      <c r="B825" s="12">
        <f t="shared" si="36"/>
        <v>45231</v>
      </c>
      <c r="C825" s="12" t="str">
        <f>TEXT('Cleaned Datasets'!$B825,"MMMM")</f>
        <v>November</v>
      </c>
      <c r="D825" s="13" t="s">
        <v>28</v>
      </c>
      <c r="E825" s="13" t="s">
        <v>58</v>
      </c>
      <c r="F825" s="13" t="s">
        <v>26</v>
      </c>
      <c r="G825" s="13" t="s">
        <v>14</v>
      </c>
      <c r="H825" s="13" t="s">
        <v>15</v>
      </c>
      <c r="I825" s="13">
        <v>4</v>
      </c>
      <c r="J825" s="13">
        <v>3</v>
      </c>
      <c r="K825" s="13">
        <v>0</v>
      </c>
      <c r="L825" s="13">
        <v>2.2000000000000002</v>
      </c>
      <c r="M825" s="14">
        <f t="shared" si="37"/>
        <v>0.75</v>
      </c>
      <c r="N825" s="14">
        <f t="shared" si="38"/>
        <v>0</v>
      </c>
    </row>
    <row r="826" spans="1:14" x14ac:dyDescent="0.25">
      <c r="A826" s="9" t="s">
        <v>36</v>
      </c>
      <c r="B826" s="9">
        <f t="shared" si="36"/>
        <v>44986</v>
      </c>
      <c r="C826" s="9" t="str">
        <f>TEXT('Cleaned Datasets'!$B826,"MMMM")</f>
        <v>March</v>
      </c>
      <c r="D826" s="10" t="s">
        <v>16</v>
      </c>
      <c r="E826" s="10" t="s">
        <v>17</v>
      </c>
      <c r="F826" s="10" t="s">
        <v>13</v>
      </c>
      <c r="G826" s="10" t="s">
        <v>53</v>
      </c>
      <c r="H826" s="10" t="s">
        <v>15</v>
      </c>
      <c r="I826" s="10">
        <v>5</v>
      </c>
      <c r="J826" s="10">
        <v>5</v>
      </c>
      <c r="K826" s="10">
        <v>0</v>
      </c>
      <c r="L826" s="10">
        <v>4.2</v>
      </c>
      <c r="M826" s="11">
        <f t="shared" si="37"/>
        <v>1</v>
      </c>
      <c r="N826" s="11">
        <f t="shared" si="38"/>
        <v>0</v>
      </c>
    </row>
    <row r="827" spans="1:14" x14ac:dyDescent="0.25">
      <c r="A827" s="12" t="s">
        <v>50</v>
      </c>
      <c r="B827" s="12">
        <f t="shared" si="36"/>
        <v>45108</v>
      </c>
      <c r="C827" s="12" t="str">
        <f>TEXT('Cleaned Datasets'!$B827,"MMMM")</f>
        <v>July</v>
      </c>
      <c r="D827" s="13" t="s">
        <v>34</v>
      </c>
      <c r="E827" s="13" t="s">
        <v>51</v>
      </c>
      <c r="F827" s="13" t="s">
        <v>40</v>
      </c>
      <c r="G827" s="13" t="s">
        <v>14</v>
      </c>
      <c r="H827" s="13" t="s">
        <v>19</v>
      </c>
      <c r="I827" s="13">
        <v>5</v>
      </c>
      <c r="J827" s="13">
        <v>5</v>
      </c>
      <c r="K827" s="13">
        <v>0</v>
      </c>
      <c r="L827" s="13">
        <v>3</v>
      </c>
      <c r="M827" s="14">
        <f t="shared" si="37"/>
        <v>1</v>
      </c>
      <c r="N827" s="14">
        <f t="shared" si="38"/>
        <v>0</v>
      </c>
    </row>
    <row r="828" spans="1:14" x14ac:dyDescent="0.25">
      <c r="A828" s="9" t="s">
        <v>61</v>
      </c>
      <c r="B828" s="9">
        <f t="shared" si="36"/>
        <v>45231</v>
      </c>
      <c r="C828" s="9" t="str">
        <f>TEXT('Cleaned Datasets'!$B828,"MMMM")</f>
        <v>November</v>
      </c>
      <c r="D828" s="10" t="s">
        <v>11</v>
      </c>
      <c r="E828" s="10" t="s">
        <v>12</v>
      </c>
      <c r="F828" s="10" t="s">
        <v>13</v>
      </c>
      <c r="G828" s="10" t="s">
        <v>18</v>
      </c>
      <c r="H828" s="10" t="s">
        <v>19</v>
      </c>
      <c r="I828" s="10">
        <v>3</v>
      </c>
      <c r="J828" s="10">
        <v>3</v>
      </c>
      <c r="K828" s="10">
        <v>0</v>
      </c>
      <c r="L828" s="10">
        <v>3.3</v>
      </c>
      <c r="M828" s="11">
        <f t="shared" si="37"/>
        <v>1</v>
      </c>
      <c r="N828" s="11">
        <f t="shared" si="38"/>
        <v>0</v>
      </c>
    </row>
    <row r="829" spans="1:14" x14ac:dyDescent="0.25">
      <c r="A829" s="12" t="s">
        <v>31</v>
      </c>
      <c r="B829" s="12">
        <f t="shared" si="36"/>
        <v>45139</v>
      </c>
      <c r="C829" s="12" t="str">
        <f>TEXT('Cleaned Datasets'!$B829,"MMMM")</f>
        <v>August</v>
      </c>
      <c r="D829" s="13" t="s">
        <v>37</v>
      </c>
      <c r="E829" s="13" t="s">
        <v>39</v>
      </c>
      <c r="F829" s="13" t="s">
        <v>21</v>
      </c>
      <c r="G829" s="13" t="s">
        <v>30</v>
      </c>
      <c r="H829" s="13" t="s">
        <v>19</v>
      </c>
      <c r="I829" s="13">
        <v>5</v>
      </c>
      <c r="J829" s="13">
        <v>5</v>
      </c>
      <c r="K829" s="13">
        <v>0</v>
      </c>
      <c r="L829" s="13">
        <v>3.1</v>
      </c>
      <c r="M829" s="14">
        <f t="shared" si="37"/>
        <v>1</v>
      </c>
      <c r="N829" s="14">
        <f t="shared" si="38"/>
        <v>0</v>
      </c>
    </row>
    <row r="830" spans="1:14" x14ac:dyDescent="0.25">
      <c r="A830" s="9" t="s">
        <v>31</v>
      </c>
      <c r="B830" s="9">
        <f t="shared" si="36"/>
        <v>45139</v>
      </c>
      <c r="C830" s="9" t="str">
        <f>TEXT('Cleaned Datasets'!$B830,"MMMM")</f>
        <v>August</v>
      </c>
      <c r="D830" s="10" t="s">
        <v>56</v>
      </c>
      <c r="E830" s="10" t="s">
        <v>62</v>
      </c>
      <c r="F830" s="10" t="s">
        <v>22</v>
      </c>
      <c r="G830" s="10" t="s">
        <v>14</v>
      </c>
      <c r="H830" s="10" t="s">
        <v>19</v>
      </c>
      <c r="I830" s="10">
        <v>8</v>
      </c>
      <c r="J830" s="10">
        <v>6</v>
      </c>
      <c r="K830" s="10">
        <v>0</v>
      </c>
      <c r="L830" s="10">
        <v>3.7</v>
      </c>
      <c r="M830" s="11">
        <f t="shared" si="37"/>
        <v>0.75</v>
      </c>
      <c r="N830" s="11">
        <f t="shared" si="38"/>
        <v>0</v>
      </c>
    </row>
    <row r="831" spans="1:14" x14ac:dyDescent="0.25">
      <c r="A831" s="12" t="s">
        <v>50</v>
      </c>
      <c r="B831" s="12">
        <f t="shared" si="36"/>
        <v>45108</v>
      </c>
      <c r="C831" s="12" t="str">
        <f>TEXT('Cleaned Datasets'!$B831,"MMMM")</f>
        <v>July</v>
      </c>
      <c r="D831" s="13" t="s">
        <v>46</v>
      </c>
      <c r="E831" s="13" t="s">
        <v>54</v>
      </c>
      <c r="F831" s="13" t="s">
        <v>32</v>
      </c>
      <c r="G831" s="13" t="s">
        <v>14</v>
      </c>
      <c r="H831" s="13" t="s">
        <v>19</v>
      </c>
      <c r="I831" s="13">
        <v>2</v>
      </c>
      <c r="J831" s="13">
        <v>2</v>
      </c>
      <c r="K831" s="13">
        <v>0</v>
      </c>
      <c r="L831" s="13">
        <v>0.8</v>
      </c>
      <c r="M831" s="14">
        <f t="shared" si="37"/>
        <v>1</v>
      </c>
      <c r="N831" s="14">
        <f t="shared" si="38"/>
        <v>0</v>
      </c>
    </row>
    <row r="832" spans="1:14" x14ac:dyDescent="0.25">
      <c r="A832" s="9" t="s">
        <v>50</v>
      </c>
      <c r="B832" s="9">
        <f t="shared" si="36"/>
        <v>45108</v>
      </c>
      <c r="C832" s="9" t="str">
        <f>TEXT('Cleaned Datasets'!$B832,"MMMM")</f>
        <v>July</v>
      </c>
      <c r="D832" s="10" t="s">
        <v>28</v>
      </c>
      <c r="E832" s="10" t="s">
        <v>58</v>
      </c>
      <c r="F832" s="10" t="s">
        <v>26</v>
      </c>
      <c r="G832" s="10" t="s">
        <v>18</v>
      </c>
      <c r="H832" s="10" t="s">
        <v>19</v>
      </c>
      <c r="I832" s="10">
        <v>5</v>
      </c>
      <c r="J832" s="10">
        <v>5</v>
      </c>
      <c r="K832" s="10">
        <v>0</v>
      </c>
      <c r="L832" s="10">
        <v>2.2000000000000002</v>
      </c>
      <c r="M832" s="11">
        <f t="shared" si="37"/>
        <v>1</v>
      </c>
      <c r="N832" s="11">
        <f t="shared" si="38"/>
        <v>0</v>
      </c>
    </row>
    <row r="833" spans="1:14" x14ac:dyDescent="0.25">
      <c r="A833" s="12" t="s">
        <v>45</v>
      </c>
      <c r="B833" s="12">
        <f t="shared" si="36"/>
        <v>45047</v>
      </c>
      <c r="C833" s="12" t="str">
        <f>TEXT('Cleaned Datasets'!$B833,"MMMM")</f>
        <v>May</v>
      </c>
      <c r="D833" s="13" t="s">
        <v>46</v>
      </c>
      <c r="E833" s="13" t="s">
        <v>47</v>
      </c>
      <c r="F833" s="13" t="s">
        <v>22</v>
      </c>
      <c r="G833" s="13" t="s">
        <v>27</v>
      </c>
      <c r="H833" s="13" t="s">
        <v>19</v>
      </c>
      <c r="I833" s="13">
        <v>3</v>
      </c>
      <c r="J833" s="13">
        <v>2</v>
      </c>
      <c r="K833" s="13">
        <v>0</v>
      </c>
      <c r="L833" s="13">
        <v>4.8</v>
      </c>
      <c r="M833" s="14">
        <f t="shared" si="37"/>
        <v>0.66666666666666663</v>
      </c>
      <c r="N833" s="14">
        <f t="shared" si="38"/>
        <v>0</v>
      </c>
    </row>
    <row r="834" spans="1:14" x14ac:dyDescent="0.25">
      <c r="A834" s="9" t="s">
        <v>61</v>
      </c>
      <c r="B834" s="9">
        <f t="shared" si="36"/>
        <v>45231</v>
      </c>
      <c r="C834" s="9" t="str">
        <f>TEXT('Cleaned Datasets'!$B834,"MMMM")</f>
        <v>November</v>
      </c>
      <c r="D834" s="10" t="s">
        <v>28</v>
      </c>
      <c r="E834" s="10" t="s">
        <v>29</v>
      </c>
      <c r="F834" s="10" t="s">
        <v>40</v>
      </c>
      <c r="G834" s="10" t="s">
        <v>53</v>
      </c>
      <c r="H834" s="10" t="s">
        <v>15</v>
      </c>
      <c r="I834" s="10">
        <v>4</v>
      </c>
      <c r="J834" s="10">
        <v>1</v>
      </c>
      <c r="K834" s="10">
        <v>0</v>
      </c>
      <c r="L834" s="10">
        <v>2</v>
      </c>
      <c r="M834" s="11">
        <f t="shared" si="37"/>
        <v>0.25</v>
      </c>
      <c r="N834" s="11">
        <f t="shared" si="38"/>
        <v>0</v>
      </c>
    </row>
    <row r="835" spans="1:14" x14ac:dyDescent="0.25">
      <c r="A835" s="12" t="s">
        <v>20</v>
      </c>
      <c r="B835" s="12">
        <f t="shared" ref="B835:B898" si="39">DATE(LEFT(A835,4), RIGHT(A835,2), 1)</f>
        <v>45078</v>
      </c>
      <c r="C835" s="12" t="str">
        <f>TEXT('Cleaned Datasets'!$B835,"MMMM")</f>
        <v>June</v>
      </c>
      <c r="D835" s="13" t="s">
        <v>11</v>
      </c>
      <c r="E835" s="13" t="s">
        <v>52</v>
      </c>
      <c r="F835" s="13" t="s">
        <v>21</v>
      </c>
      <c r="G835" s="13" t="s">
        <v>30</v>
      </c>
      <c r="H835" s="13" t="s">
        <v>19</v>
      </c>
      <c r="I835" s="13">
        <v>6</v>
      </c>
      <c r="J835" s="13">
        <v>6</v>
      </c>
      <c r="K835" s="13">
        <v>0</v>
      </c>
      <c r="L835" s="13">
        <v>3.5</v>
      </c>
      <c r="M835" s="14">
        <f t="shared" ref="M835:M898" si="40">IFERROR(J835/I835,0)</f>
        <v>1</v>
      </c>
      <c r="N835" s="14">
        <f t="shared" ref="N835:N898" si="41">IFERROR(K835/I835,0)</f>
        <v>0</v>
      </c>
    </row>
    <row r="836" spans="1:14" x14ac:dyDescent="0.25">
      <c r="A836" s="9" t="s">
        <v>43</v>
      </c>
      <c r="B836" s="9">
        <f t="shared" si="39"/>
        <v>44958</v>
      </c>
      <c r="C836" s="9" t="str">
        <f>TEXT('Cleaned Datasets'!$B836,"MMMM")</f>
        <v>February</v>
      </c>
      <c r="D836" s="10" t="s">
        <v>11</v>
      </c>
      <c r="E836" s="10" t="s">
        <v>12</v>
      </c>
      <c r="F836" s="10" t="s">
        <v>21</v>
      </c>
      <c r="G836" s="10" t="s">
        <v>18</v>
      </c>
      <c r="H836" s="10" t="s">
        <v>15</v>
      </c>
      <c r="I836" s="10">
        <v>5</v>
      </c>
      <c r="J836" s="10">
        <v>4</v>
      </c>
      <c r="K836" s="10">
        <v>1</v>
      </c>
      <c r="L836" s="10">
        <v>4.0999999999999996</v>
      </c>
      <c r="M836" s="11">
        <f t="shared" si="40"/>
        <v>0.8</v>
      </c>
      <c r="N836" s="11">
        <f t="shared" si="41"/>
        <v>0.2</v>
      </c>
    </row>
    <row r="837" spans="1:14" x14ac:dyDescent="0.25">
      <c r="A837" s="12" t="s">
        <v>61</v>
      </c>
      <c r="B837" s="12">
        <f t="shared" si="39"/>
        <v>45231</v>
      </c>
      <c r="C837" s="12" t="str">
        <f>TEXT('Cleaned Datasets'!$B837,"MMMM")</f>
        <v>November</v>
      </c>
      <c r="D837" s="13" t="s">
        <v>24</v>
      </c>
      <c r="E837" s="13" t="s">
        <v>64</v>
      </c>
      <c r="F837" s="13" t="s">
        <v>22</v>
      </c>
      <c r="G837" s="13" t="s">
        <v>27</v>
      </c>
      <c r="H837" s="13" t="s">
        <v>15</v>
      </c>
      <c r="I837" s="13">
        <v>8</v>
      </c>
      <c r="J837" s="13">
        <v>7</v>
      </c>
      <c r="K837" s="13">
        <v>0</v>
      </c>
      <c r="L837" s="13">
        <v>2.8</v>
      </c>
      <c r="M837" s="14">
        <f t="shared" si="40"/>
        <v>0.875</v>
      </c>
      <c r="N837" s="14">
        <f t="shared" si="41"/>
        <v>0</v>
      </c>
    </row>
    <row r="838" spans="1:14" x14ac:dyDescent="0.25">
      <c r="A838" s="9" t="s">
        <v>23</v>
      </c>
      <c r="B838" s="9">
        <f t="shared" si="39"/>
        <v>45200</v>
      </c>
      <c r="C838" s="9" t="str">
        <f>TEXT('Cleaned Datasets'!$B838,"MMMM")</f>
        <v>October</v>
      </c>
      <c r="D838" s="10" t="s">
        <v>16</v>
      </c>
      <c r="E838" s="10" t="s">
        <v>60</v>
      </c>
      <c r="F838" s="10" t="s">
        <v>40</v>
      </c>
      <c r="G838" s="10" t="s">
        <v>14</v>
      </c>
      <c r="H838" s="10" t="s">
        <v>19</v>
      </c>
      <c r="I838" s="10">
        <v>4</v>
      </c>
      <c r="J838" s="10">
        <v>4</v>
      </c>
      <c r="K838" s="10">
        <v>0</v>
      </c>
      <c r="L838" s="10">
        <v>3</v>
      </c>
      <c r="M838" s="11">
        <f t="shared" si="40"/>
        <v>1</v>
      </c>
      <c r="N838" s="11">
        <f t="shared" si="41"/>
        <v>0</v>
      </c>
    </row>
    <row r="839" spans="1:14" x14ac:dyDescent="0.25">
      <c r="A839" s="12" t="s">
        <v>55</v>
      </c>
      <c r="B839" s="12">
        <f t="shared" si="39"/>
        <v>45261</v>
      </c>
      <c r="C839" s="12" t="str">
        <f>TEXT('Cleaned Datasets'!$B839,"MMMM")</f>
        <v>December</v>
      </c>
      <c r="D839" s="13" t="s">
        <v>37</v>
      </c>
      <c r="E839" s="13" t="s">
        <v>39</v>
      </c>
      <c r="F839" s="13" t="s">
        <v>21</v>
      </c>
      <c r="G839" s="13" t="s">
        <v>14</v>
      </c>
      <c r="H839" s="13" t="s">
        <v>19</v>
      </c>
      <c r="I839" s="13">
        <v>3</v>
      </c>
      <c r="J839" s="13">
        <v>3</v>
      </c>
      <c r="K839" s="13">
        <v>0</v>
      </c>
      <c r="L839" s="13">
        <v>2.6</v>
      </c>
      <c r="M839" s="14">
        <f t="shared" si="40"/>
        <v>1</v>
      </c>
      <c r="N839" s="14">
        <f t="shared" si="41"/>
        <v>0</v>
      </c>
    </row>
    <row r="840" spans="1:14" x14ac:dyDescent="0.25">
      <c r="A840" s="9" t="s">
        <v>31</v>
      </c>
      <c r="B840" s="9">
        <f t="shared" si="39"/>
        <v>45139</v>
      </c>
      <c r="C840" s="9" t="str">
        <f>TEXT('Cleaned Datasets'!$B840,"MMMM")</f>
        <v>August</v>
      </c>
      <c r="D840" s="10" t="s">
        <v>28</v>
      </c>
      <c r="E840" s="10" t="s">
        <v>29</v>
      </c>
      <c r="F840" s="10" t="s">
        <v>40</v>
      </c>
      <c r="G840" s="10" t="s">
        <v>18</v>
      </c>
      <c r="H840" s="10" t="s">
        <v>19</v>
      </c>
      <c r="I840" s="10">
        <v>3</v>
      </c>
      <c r="J840" s="10">
        <v>3</v>
      </c>
      <c r="K840" s="10">
        <v>0</v>
      </c>
      <c r="L840" s="10">
        <v>3.6</v>
      </c>
      <c r="M840" s="11">
        <f t="shared" si="40"/>
        <v>1</v>
      </c>
      <c r="N840" s="11">
        <f t="shared" si="41"/>
        <v>0</v>
      </c>
    </row>
    <row r="841" spans="1:14" x14ac:dyDescent="0.25">
      <c r="A841" s="12" t="s">
        <v>50</v>
      </c>
      <c r="B841" s="12">
        <f t="shared" si="39"/>
        <v>45108</v>
      </c>
      <c r="C841" s="12" t="str">
        <f>TEXT('Cleaned Datasets'!$B841,"MMMM")</f>
        <v>July</v>
      </c>
      <c r="D841" s="13" t="s">
        <v>56</v>
      </c>
      <c r="E841" s="13" t="s">
        <v>62</v>
      </c>
      <c r="F841" s="13" t="s">
        <v>32</v>
      </c>
      <c r="G841" s="13" t="s">
        <v>22</v>
      </c>
      <c r="H841" s="13" t="s">
        <v>19</v>
      </c>
      <c r="I841" s="13">
        <v>5</v>
      </c>
      <c r="J841" s="13">
        <v>4</v>
      </c>
      <c r="K841" s="13">
        <v>1</v>
      </c>
      <c r="L841" s="13">
        <v>3.7</v>
      </c>
      <c r="M841" s="14">
        <f t="shared" si="40"/>
        <v>0.8</v>
      </c>
      <c r="N841" s="14">
        <f t="shared" si="41"/>
        <v>0.2</v>
      </c>
    </row>
    <row r="842" spans="1:14" x14ac:dyDescent="0.25">
      <c r="A842" s="9" t="s">
        <v>50</v>
      </c>
      <c r="B842" s="9">
        <f t="shared" si="39"/>
        <v>45108</v>
      </c>
      <c r="C842" s="9" t="str">
        <f>TEXT('Cleaned Datasets'!$B842,"MMMM")</f>
        <v>July</v>
      </c>
      <c r="D842" s="10" t="s">
        <v>28</v>
      </c>
      <c r="E842" s="10" t="s">
        <v>58</v>
      </c>
      <c r="F842" s="10" t="s">
        <v>13</v>
      </c>
      <c r="G842" s="10" t="s">
        <v>30</v>
      </c>
      <c r="H842" s="10" t="s">
        <v>19</v>
      </c>
      <c r="I842" s="10">
        <v>6</v>
      </c>
      <c r="J842" s="10">
        <v>5</v>
      </c>
      <c r="K842" s="10">
        <v>0</v>
      </c>
      <c r="L842" s="10">
        <v>3.1</v>
      </c>
      <c r="M842" s="11">
        <f t="shared" si="40"/>
        <v>0.83333333333333337</v>
      </c>
      <c r="N842" s="11">
        <f t="shared" si="41"/>
        <v>0</v>
      </c>
    </row>
    <row r="843" spans="1:14" x14ac:dyDescent="0.25">
      <c r="A843" s="12" t="s">
        <v>59</v>
      </c>
      <c r="B843" s="12">
        <f t="shared" si="39"/>
        <v>45170</v>
      </c>
      <c r="C843" s="12" t="str">
        <f>TEXT('Cleaned Datasets'!$B843,"MMMM")</f>
        <v>September</v>
      </c>
      <c r="D843" s="13" t="s">
        <v>34</v>
      </c>
      <c r="E843" s="13" t="s">
        <v>35</v>
      </c>
      <c r="F843" s="13" t="s">
        <v>40</v>
      </c>
      <c r="G843" s="13" t="s">
        <v>53</v>
      </c>
      <c r="H843" s="13" t="s">
        <v>19</v>
      </c>
      <c r="I843" s="13">
        <v>5</v>
      </c>
      <c r="J843" s="13">
        <v>3</v>
      </c>
      <c r="K843" s="13">
        <v>0</v>
      </c>
      <c r="L843" s="13">
        <v>4</v>
      </c>
      <c r="M843" s="14">
        <f t="shared" si="40"/>
        <v>0.6</v>
      </c>
      <c r="N843" s="14">
        <f t="shared" si="41"/>
        <v>0</v>
      </c>
    </row>
    <row r="844" spans="1:14" x14ac:dyDescent="0.25">
      <c r="A844" s="9" t="s">
        <v>31</v>
      </c>
      <c r="B844" s="9">
        <f t="shared" si="39"/>
        <v>45139</v>
      </c>
      <c r="C844" s="9" t="str">
        <f>TEXT('Cleaned Datasets'!$B844,"MMMM")</f>
        <v>August</v>
      </c>
      <c r="D844" s="10" t="s">
        <v>16</v>
      </c>
      <c r="E844" s="10" t="s">
        <v>60</v>
      </c>
      <c r="F844" s="10" t="s">
        <v>32</v>
      </c>
      <c r="G844" s="10" t="s">
        <v>18</v>
      </c>
      <c r="H844" s="10" t="s">
        <v>19</v>
      </c>
      <c r="I844" s="10">
        <v>5</v>
      </c>
      <c r="J844" s="10">
        <v>5</v>
      </c>
      <c r="K844" s="10">
        <v>1</v>
      </c>
      <c r="L844" s="10">
        <v>3.6</v>
      </c>
      <c r="M844" s="11">
        <f t="shared" si="40"/>
        <v>1</v>
      </c>
      <c r="N844" s="11">
        <f t="shared" si="41"/>
        <v>0.2</v>
      </c>
    </row>
    <row r="845" spans="1:14" x14ac:dyDescent="0.25">
      <c r="A845" s="12" t="s">
        <v>55</v>
      </c>
      <c r="B845" s="12">
        <f t="shared" si="39"/>
        <v>45261</v>
      </c>
      <c r="C845" s="12" t="str">
        <f>TEXT('Cleaned Datasets'!$B845,"MMMM")</f>
        <v>December</v>
      </c>
      <c r="D845" s="13" t="s">
        <v>37</v>
      </c>
      <c r="E845" s="13" t="s">
        <v>38</v>
      </c>
      <c r="F845" s="13" t="s">
        <v>32</v>
      </c>
      <c r="G845" s="13" t="s">
        <v>14</v>
      </c>
      <c r="H845" s="13" t="s">
        <v>15</v>
      </c>
      <c r="I845" s="13">
        <v>9</v>
      </c>
      <c r="J845" s="13">
        <v>9</v>
      </c>
      <c r="K845" s="13">
        <v>0</v>
      </c>
      <c r="L845" s="13">
        <v>1.5</v>
      </c>
      <c r="M845" s="14">
        <f t="shared" si="40"/>
        <v>1</v>
      </c>
      <c r="N845" s="14">
        <f t="shared" si="41"/>
        <v>0</v>
      </c>
    </row>
    <row r="846" spans="1:14" x14ac:dyDescent="0.25">
      <c r="A846" s="9" t="s">
        <v>10</v>
      </c>
      <c r="B846" s="9">
        <f t="shared" si="39"/>
        <v>45017</v>
      </c>
      <c r="C846" s="9" t="str">
        <f>TEXT('Cleaned Datasets'!$B846,"MMMM")</f>
        <v>April</v>
      </c>
      <c r="D846" s="10" t="s">
        <v>16</v>
      </c>
      <c r="E846" s="10" t="s">
        <v>17</v>
      </c>
      <c r="F846" s="10" t="s">
        <v>21</v>
      </c>
      <c r="G846" s="10" t="s">
        <v>27</v>
      </c>
      <c r="H846" s="10" t="s">
        <v>15</v>
      </c>
      <c r="I846" s="10">
        <v>4</v>
      </c>
      <c r="J846" s="10">
        <v>4</v>
      </c>
      <c r="K846" s="10">
        <v>0</v>
      </c>
      <c r="L846" s="10">
        <v>2.2000000000000002</v>
      </c>
      <c r="M846" s="11">
        <f t="shared" si="40"/>
        <v>1</v>
      </c>
      <c r="N846" s="11">
        <f t="shared" si="41"/>
        <v>0</v>
      </c>
    </row>
    <row r="847" spans="1:14" x14ac:dyDescent="0.25">
      <c r="A847" s="12" t="s">
        <v>10</v>
      </c>
      <c r="B847" s="12">
        <f t="shared" si="39"/>
        <v>45017</v>
      </c>
      <c r="C847" s="12" t="str">
        <f>TEXT('Cleaned Datasets'!$B847,"MMMM")</f>
        <v>April</v>
      </c>
      <c r="D847" s="13" t="s">
        <v>37</v>
      </c>
      <c r="E847" s="13" t="s">
        <v>39</v>
      </c>
      <c r="F847" s="13" t="s">
        <v>32</v>
      </c>
      <c r="G847" s="13" t="s">
        <v>14</v>
      </c>
      <c r="H847" s="13" t="s">
        <v>19</v>
      </c>
      <c r="I847" s="13">
        <v>7</v>
      </c>
      <c r="J847" s="13">
        <v>6</v>
      </c>
      <c r="K847" s="13">
        <v>1</v>
      </c>
      <c r="L847" s="13">
        <v>2.9</v>
      </c>
      <c r="M847" s="14">
        <f t="shared" si="40"/>
        <v>0.8571428571428571</v>
      </c>
      <c r="N847" s="14">
        <f t="shared" si="41"/>
        <v>0.14285714285714285</v>
      </c>
    </row>
    <row r="848" spans="1:14" x14ac:dyDescent="0.25">
      <c r="A848" s="9" t="s">
        <v>33</v>
      </c>
      <c r="B848" s="9">
        <f t="shared" si="39"/>
        <v>44927</v>
      </c>
      <c r="C848" s="9" t="str">
        <f>TEXT('Cleaned Datasets'!$B848,"MMMM")</f>
        <v>January</v>
      </c>
      <c r="D848" s="10" t="s">
        <v>46</v>
      </c>
      <c r="E848" s="10" t="s">
        <v>54</v>
      </c>
      <c r="F848" s="10" t="s">
        <v>21</v>
      </c>
      <c r="G848" s="10" t="s">
        <v>53</v>
      </c>
      <c r="H848" s="10" t="s">
        <v>15</v>
      </c>
      <c r="I848" s="10">
        <v>2</v>
      </c>
      <c r="J848" s="10">
        <v>1</v>
      </c>
      <c r="K848" s="10">
        <v>0</v>
      </c>
      <c r="L848" s="10">
        <v>1.9</v>
      </c>
      <c r="M848" s="11">
        <f t="shared" si="40"/>
        <v>0.5</v>
      </c>
      <c r="N848" s="11">
        <f t="shared" si="41"/>
        <v>0</v>
      </c>
    </row>
    <row r="849" spans="1:14" x14ac:dyDescent="0.25">
      <c r="A849" s="12" t="s">
        <v>50</v>
      </c>
      <c r="B849" s="12">
        <f t="shared" si="39"/>
        <v>45108</v>
      </c>
      <c r="C849" s="12" t="str">
        <f>TEXT('Cleaned Datasets'!$B849,"MMMM")</f>
        <v>July</v>
      </c>
      <c r="D849" s="13" t="s">
        <v>41</v>
      </c>
      <c r="E849" s="13" t="s">
        <v>44</v>
      </c>
      <c r="F849" s="13" t="s">
        <v>26</v>
      </c>
      <c r="G849" s="13" t="s">
        <v>18</v>
      </c>
      <c r="H849" s="13" t="s">
        <v>19</v>
      </c>
      <c r="I849" s="13">
        <v>0</v>
      </c>
      <c r="J849" s="13">
        <v>0</v>
      </c>
      <c r="K849" s="13">
        <v>0</v>
      </c>
      <c r="L849" s="13">
        <v>3.1</v>
      </c>
      <c r="M849" s="14">
        <f t="shared" si="40"/>
        <v>0</v>
      </c>
      <c r="N849" s="14">
        <f t="shared" si="41"/>
        <v>0</v>
      </c>
    </row>
    <row r="850" spans="1:14" x14ac:dyDescent="0.25">
      <c r="A850" s="9" t="s">
        <v>20</v>
      </c>
      <c r="B850" s="9">
        <f t="shared" si="39"/>
        <v>45078</v>
      </c>
      <c r="C850" s="9" t="str">
        <f>TEXT('Cleaned Datasets'!$B850,"MMMM")</f>
        <v>June</v>
      </c>
      <c r="D850" s="10" t="s">
        <v>37</v>
      </c>
      <c r="E850" s="10" t="s">
        <v>39</v>
      </c>
      <c r="F850" s="10" t="s">
        <v>21</v>
      </c>
      <c r="G850" s="10" t="s">
        <v>14</v>
      </c>
      <c r="H850" s="10" t="s">
        <v>19</v>
      </c>
      <c r="I850" s="10">
        <v>4</v>
      </c>
      <c r="J850" s="10">
        <v>4</v>
      </c>
      <c r="K850" s="10">
        <v>0</v>
      </c>
      <c r="L850" s="10">
        <v>2.1</v>
      </c>
      <c r="M850" s="11">
        <f t="shared" si="40"/>
        <v>1</v>
      </c>
      <c r="N850" s="11">
        <f t="shared" si="41"/>
        <v>0</v>
      </c>
    </row>
    <row r="851" spans="1:14" x14ac:dyDescent="0.25">
      <c r="A851" s="12" t="s">
        <v>31</v>
      </c>
      <c r="B851" s="12">
        <f t="shared" si="39"/>
        <v>45139</v>
      </c>
      <c r="C851" s="12" t="str">
        <f>TEXT('Cleaned Datasets'!$B851,"MMMM")</f>
        <v>August</v>
      </c>
      <c r="D851" s="13" t="s">
        <v>16</v>
      </c>
      <c r="E851" s="13" t="s">
        <v>60</v>
      </c>
      <c r="F851" s="13" t="s">
        <v>22</v>
      </c>
      <c r="G851" s="13" t="s">
        <v>14</v>
      </c>
      <c r="H851" s="13" t="s">
        <v>15</v>
      </c>
      <c r="I851" s="13">
        <v>6</v>
      </c>
      <c r="J851" s="13">
        <v>5</v>
      </c>
      <c r="K851" s="13">
        <v>0</v>
      </c>
      <c r="L851" s="13">
        <v>4.0999999999999996</v>
      </c>
      <c r="M851" s="14">
        <f t="shared" si="40"/>
        <v>0.83333333333333337</v>
      </c>
      <c r="N851" s="14">
        <f t="shared" si="41"/>
        <v>0</v>
      </c>
    </row>
    <row r="852" spans="1:14" x14ac:dyDescent="0.25">
      <c r="A852" s="9" t="s">
        <v>50</v>
      </c>
      <c r="B852" s="9">
        <f t="shared" si="39"/>
        <v>45108</v>
      </c>
      <c r="C852" s="9" t="str">
        <f>TEXT('Cleaned Datasets'!$B852,"MMMM")</f>
        <v>July</v>
      </c>
      <c r="D852" s="10" t="s">
        <v>11</v>
      </c>
      <c r="E852" s="10" t="s">
        <v>12</v>
      </c>
      <c r="F852" s="10" t="s">
        <v>32</v>
      </c>
      <c r="G852" s="10" t="s">
        <v>22</v>
      </c>
      <c r="H852" s="10" t="s">
        <v>15</v>
      </c>
      <c r="I852" s="10">
        <v>6</v>
      </c>
      <c r="J852" s="10">
        <v>5</v>
      </c>
      <c r="K852" s="10">
        <v>0</v>
      </c>
      <c r="L852" s="10">
        <v>4.5</v>
      </c>
      <c r="M852" s="11">
        <f t="shared" si="40"/>
        <v>0.83333333333333337</v>
      </c>
      <c r="N852" s="11">
        <f t="shared" si="41"/>
        <v>0</v>
      </c>
    </row>
    <row r="853" spans="1:14" x14ac:dyDescent="0.25">
      <c r="A853" s="12" t="s">
        <v>36</v>
      </c>
      <c r="B853" s="12">
        <f t="shared" si="39"/>
        <v>44986</v>
      </c>
      <c r="C853" s="12" t="str">
        <f>TEXT('Cleaned Datasets'!$B853,"MMMM")</f>
        <v>March</v>
      </c>
      <c r="D853" s="13" t="s">
        <v>46</v>
      </c>
      <c r="E853" s="13" t="s">
        <v>47</v>
      </c>
      <c r="F853" s="13" t="s">
        <v>22</v>
      </c>
      <c r="G853" s="13" t="s">
        <v>30</v>
      </c>
      <c r="H853" s="13" t="s">
        <v>19</v>
      </c>
      <c r="I853" s="13">
        <v>4</v>
      </c>
      <c r="J853" s="13">
        <v>3</v>
      </c>
      <c r="K853" s="13">
        <v>0</v>
      </c>
      <c r="L853" s="13">
        <v>2.2000000000000002</v>
      </c>
      <c r="M853" s="14">
        <f t="shared" si="40"/>
        <v>0.75</v>
      </c>
      <c r="N853" s="14">
        <f t="shared" si="41"/>
        <v>0</v>
      </c>
    </row>
    <row r="854" spans="1:14" x14ac:dyDescent="0.25">
      <c r="A854" s="9" t="s">
        <v>45</v>
      </c>
      <c r="B854" s="9">
        <f t="shared" si="39"/>
        <v>45047</v>
      </c>
      <c r="C854" s="9" t="str">
        <f>TEXT('Cleaned Datasets'!$B854,"MMMM")</f>
        <v>May</v>
      </c>
      <c r="D854" s="10" t="s">
        <v>28</v>
      </c>
      <c r="E854" s="10" t="s">
        <v>58</v>
      </c>
      <c r="F854" s="10" t="s">
        <v>40</v>
      </c>
      <c r="G854" s="10" t="s">
        <v>22</v>
      </c>
      <c r="H854" s="10" t="s">
        <v>19</v>
      </c>
      <c r="I854" s="10">
        <v>4</v>
      </c>
      <c r="J854" s="10">
        <v>4</v>
      </c>
      <c r="K854" s="10">
        <v>0</v>
      </c>
      <c r="L854" s="10">
        <v>3</v>
      </c>
      <c r="M854" s="11">
        <f t="shared" si="40"/>
        <v>1</v>
      </c>
      <c r="N854" s="11">
        <f t="shared" si="41"/>
        <v>0</v>
      </c>
    </row>
    <row r="855" spans="1:14" x14ac:dyDescent="0.25">
      <c r="A855" s="12" t="s">
        <v>31</v>
      </c>
      <c r="B855" s="12">
        <f t="shared" si="39"/>
        <v>45139</v>
      </c>
      <c r="C855" s="12" t="str">
        <f>TEXT('Cleaned Datasets'!$B855,"MMMM")</f>
        <v>August</v>
      </c>
      <c r="D855" s="13" t="s">
        <v>24</v>
      </c>
      <c r="E855" s="13" t="s">
        <v>64</v>
      </c>
      <c r="F855" s="13" t="s">
        <v>40</v>
      </c>
      <c r="G855" s="13" t="s">
        <v>27</v>
      </c>
      <c r="H855" s="13" t="s">
        <v>15</v>
      </c>
      <c r="I855" s="13">
        <v>3</v>
      </c>
      <c r="J855" s="13">
        <v>2</v>
      </c>
      <c r="K855" s="13">
        <v>0</v>
      </c>
      <c r="L855" s="13">
        <v>4</v>
      </c>
      <c r="M855" s="14">
        <f t="shared" si="40"/>
        <v>0.66666666666666663</v>
      </c>
      <c r="N855" s="14">
        <f t="shared" si="41"/>
        <v>0</v>
      </c>
    </row>
    <row r="856" spans="1:14" x14ac:dyDescent="0.25">
      <c r="A856" s="9" t="s">
        <v>36</v>
      </c>
      <c r="B856" s="9">
        <f t="shared" si="39"/>
        <v>44986</v>
      </c>
      <c r="C856" s="9" t="str">
        <f>TEXT('Cleaned Datasets'!$B856,"MMMM")</f>
        <v>March</v>
      </c>
      <c r="D856" s="10" t="s">
        <v>16</v>
      </c>
      <c r="E856" s="10" t="s">
        <v>60</v>
      </c>
      <c r="F856" s="10" t="s">
        <v>13</v>
      </c>
      <c r="G856" s="10" t="s">
        <v>30</v>
      </c>
      <c r="H856" s="10" t="s">
        <v>19</v>
      </c>
      <c r="I856" s="10">
        <v>3</v>
      </c>
      <c r="J856" s="10">
        <v>3</v>
      </c>
      <c r="K856" s="10">
        <v>0</v>
      </c>
      <c r="L856" s="10">
        <v>4.9000000000000004</v>
      </c>
      <c r="M856" s="11">
        <f t="shared" si="40"/>
        <v>1</v>
      </c>
      <c r="N856" s="11">
        <f t="shared" si="41"/>
        <v>0</v>
      </c>
    </row>
    <row r="857" spans="1:14" x14ac:dyDescent="0.25">
      <c r="A857" s="12" t="s">
        <v>31</v>
      </c>
      <c r="B857" s="12">
        <f t="shared" si="39"/>
        <v>45139</v>
      </c>
      <c r="C857" s="12" t="str">
        <f>TEXT('Cleaned Datasets'!$B857,"MMMM")</f>
        <v>August</v>
      </c>
      <c r="D857" s="13" t="s">
        <v>48</v>
      </c>
      <c r="E857" s="13" t="s">
        <v>63</v>
      </c>
      <c r="F857" s="13" t="s">
        <v>26</v>
      </c>
      <c r="G857" s="13" t="s">
        <v>30</v>
      </c>
      <c r="H857" s="13" t="s">
        <v>19</v>
      </c>
      <c r="I857" s="13">
        <v>1</v>
      </c>
      <c r="J857" s="13">
        <v>0</v>
      </c>
      <c r="K857" s="13">
        <v>0</v>
      </c>
      <c r="L857" s="13">
        <v>2.1</v>
      </c>
      <c r="M857" s="14">
        <f t="shared" si="40"/>
        <v>0</v>
      </c>
      <c r="N857" s="14">
        <f t="shared" si="41"/>
        <v>0</v>
      </c>
    </row>
    <row r="858" spans="1:14" x14ac:dyDescent="0.25">
      <c r="A858" s="9" t="s">
        <v>55</v>
      </c>
      <c r="B858" s="9">
        <f t="shared" si="39"/>
        <v>45261</v>
      </c>
      <c r="C858" s="9" t="str">
        <f>TEXT('Cleaned Datasets'!$B858,"MMMM")</f>
        <v>December</v>
      </c>
      <c r="D858" s="10" t="s">
        <v>46</v>
      </c>
      <c r="E858" s="10" t="s">
        <v>47</v>
      </c>
      <c r="F858" s="10" t="s">
        <v>21</v>
      </c>
      <c r="G858" s="10" t="s">
        <v>30</v>
      </c>
      <c r="H858" s="10" t="s">
        <v>19</v>
      </c>
      <c r="I858" s="10">
        <v>2</v>
      </c>
      <c r="J858" s="10">
        <v>2</v>
      </c>
      <c r="K858" s="10">
        <v>1</v>
      </c>
      <c r="L858" s="10">
        <v>2.2999999999999998</v>
      </c>
      <c r="M858" s="11">
        <f t="shared" si="40"/>
        <v>1</v>
      </c>
      <c r="N858" s="11">
        <f t="shared" si="41"/>
        <v>0.5</v>
      </c>
    </row>
    <row r="859" spans="1:14" x14ac:dyDescent="0.25">
      <c r="A859" s="12" t="s">
        <v>55</v>
      </c>
      <c r="B859" s="12">
        <f t="shared" si="39"/>
        <v>45261</v>
      </c>
      <c r="C859" s="12" t="str">
        <f>TEXT('Cleaned Datasets'!$B859,"MMMM")</f>
        <v>December</v>
      </c>
      <c r="D859" s="13" t="s">
        <v>28</v>
      </c>
      <c r="E859" s="13" t="s">
        <v>58</v>
      </c>
      <c r="F859" s="13" t="s">
        <v>22</v>
      </c>
      <c r="G859" s="13" t="s">
        <v>22</v>
      </c>
      <c r="H859" s="13" t="s">
        <v>19</v>
      </c>
      <c r="I859" s="13">
        <v>4</v>
      </c>
      <c r="J859" s="13">
        <v>4</v>
      </c>
      <c r="K859" s="13">
        <v>0</v>
      </c>
      <c r="L859" s="13">
        <v>2.7</v>
      </c>
      <c r="M859" s="14">
        <f t="shared" si="40"/>
        <v>1</v>
      </c>
      <c r="N859" s="14">
        <f t="shared" si="41"/>
        <v>0</v>
      </c>
    </row>
    <row r="860" spans="1:14" x14ac:dyDescent="0.25">
      <c r="A860" s="9" t="s">
        <v>59</v>
      </c>
      <c r="B860" s="9">
        <f t="shared" si="39"/>
        <v>45170</v>
      </c>
      <c r="C860" s="9" t="str">
        <f>TEXT('Cleaned Datasets'!$B860,"MMMM")</f>
        <v>September</v>
      </c>
      <c r="D860" s="10" t="s">
        <v>41</v>
      </c>
      <c r="E860" s="10" t="s">
        <v>42</v>
      </c>
      <c r="F860" s="10" t="s">
        <v>22</v>
      </c>
      <c r="G860" s="10" t="s">
        <v>22</v>
      </c>
      <c r="H860" s="10" t="s">
        <v>15</v>
      </c>
      <c r="I860" s="10">
        <v>3</v>
      </c>
      <c r="J860" s="10">
        <v>3</v>
      </c>
      <c r="K860" s="10">
        <v>1</v>
      </c>
      <c r="L860" s="10">
        <v>3.1</v>
      </c>
      <c r="M860" s="11">
        <f t="shared" si="40"/>
        <v>1</v>
      </c>
      <c r="N860" s="11">
        <f t="shared" si="41"/>
        <v>0.33333333333333331</v>
      </c>
    </row>
    <row r="861" spans="1:14" x14ac:dyDescent="0.25">
      <c r="A861" s="12" t="s">
        <v>10</v>
      </c>
      <c r="B861" s="12">
        <f t="shared" si="39"/>
        <v>45017</v>
      </c>
      <c r="C861" s="12" t="str">
        <f>TEXT('Cleaned Datasets'!$B861,"MMMM")</f>
        <v>April</v>
      </c>
      <c r="D861" s="13" t="s">
        <v>37</v>
      </c>
      <c r="E861" s="13" t="s">
        <v>38</v>
      </c>
      <c r="F861" s="13" t="s">
        <v>13</v>
      </c>
      <c r="G861" s="13" t="s">
        <v>30</v>
      </c>
      <c r="H861" s="13" t="s">
        <v>19</v>
      </c>
      <c r="I861" s="13">
        <v>7</v>
      </c>
      <c r="J861" s="13">
        <v>6</v>
      </c>
      <c r="K861" s="13">
        <v>0</v>
      </c>
      <c r="L861" s="13">
        <v>3.9</v>
      </c>
      <c r="M861" s="14">
        <f t="shared" si="40"/>
        <v>0.8571428571428571</v>
      </c>
      <c r="N861" s="14">
        <f t="shared" si="41"/>
        <v>0</v>
      </c>
    </row>
    <row r="862" spans="1:14" x14ac:dyDescent="0.25">
      <c r="A862" s="9" t="s">
        <v>55</v>
      </c>
      <c r="B862" s="9">
        <f t="shared" si="39"/>
        <v>45261</v>
      </c>
      <c r="C862" s="9" t="str">
        <f>TEXT('Cleaned Datasets'!$B862,"MMMM")</f>
        <v>December</v>
      </c>
      <c r="D862" s="10" t="s">
        <v>41</v>
      </c>
      <c r="E862" s="10" t="s">
        <v>42</v>
      </c>
      <c r="F862" s="10" t="s">
        <v>40</v>
      </c>
      <c r="G862" s="10" t="s">
        <v>53</v>
      </c>
      <c r="H862" s="10" t="s">
        <v>15</v>
      </c>
      <c r="I862" s="10">
        <v>4</v>
      </c>
      <c r="J862" s="10">
        <v>4</v>
      </c>
      <c r="K862" s="10">
        <v>0</v>
      </c>
      <c r="L862" s="10">
        <v>2.1</v>
      </c>
      <c r="M862" s="11">
        <f t="shared" si="40"/>
        <v>1</v>
      </c>
      <c r="N862" s="11">
        <f t="shared" si="41"/>
        <v>0</v>
      </c>
    </row>
    <row r="863" spans="1:14" x14ac:dyDescent="0.25">
      <c r="A863" s="12" t="s">
        <v>33</v>
      </c>
      <c r="B863" s="12">
        <f t="shared" si="39"/>
        <v>44927</v>
      </c>
      <c r="C863" s="12" t="str">
        <f>TEXT('Cleaned Datasets'!$B863,"MMMM")</f>
        <v>January</v>
      </c>
      <c r="D863" s="13" t="s">
        <v>41</v>
      </c>
      <c r="E863" s="13" t="s">
        <v>42</v>
      </c>
      <c r="F863" s="13" t="s">
        <v>13</v>
      </c>
      <c r="G863" s="13" t="s">
        <v>22</v>
      </c>
      <c r="H863" s="13" t="s">
        <v>19</v>
      </c>
      <c r="I863" s="13">
        <v>5</v>
      </c>
      <c r="J863" s="13">
        <v>4</v>
      </c>
      <c r="K863" s="13">
        <v>1</v>
      </c>
      <c r="L863" s="13">
        <v>4.5</v>
      </c>
      <c r="M863" s="14">
        <f t="shared" si="40"/>
        <v>0.8</v>
      </c>
      <c r="N863" s="14">
        <f t="shared" si="41"/>
        <v>0.2</v>
      </c>
    </row>
    <row r="864" spans="1:14" x14ac:dyDescent="0.25">
      <c r="A864" s="9" t="s">
        <v>45</v>
      </c>
      <c r="B864" s="9">
        <f t="shared" si="39"/>
        <v>45047</v>
      </c>
      <c r="C864" s="9" t="str">
        <f>TEXT('Cleaned Datasets'!$B864,"MMMM")</f>
        <v>May</v>
      </c>
      <c r="D864" s="10" t="s">
        <v>11</v>
      </c>
      <c r="E864" s="10" t="s">
        <v>52</v>
      </c>
      <c r="F864" s="10" t="s">
        <v>32</v>
      </c>
      <c r="G864" s="10" t="s">
        <v>30</v>
      </c>
      <c r="H864" s="10" t="s">
        <v>19</v>
      </c>
      <c r="I864" s="10">
        <v>2</v>
      </c>
      <c r="J864" s="10">
        <v>2</v>
      </c>
      <c r="K864" s="10">
        <v>0</v>
      </c>
      <c r="L864" s="10">
        <v>2.2999999999999998</v>
      </c>
      <c r="M864" s="11">
        <f t="shared" si="40"/>
        <v>1</v>
      </c>
      <c r="N864" s="11">
        <f t="shared" si="41"/>
        <v>0</v>
      </c>
    </row>
    <row r="865" spans="1:14" x14ac:dyDescent="0.25">
      <c r="A865" s="12" t="s">
        <v>20</v>
      </c>
      <c r="B865" s="12">
        <f t="shared" si="39"/>
        <v>45078</v>
      </c>
      <c r="C865" s="12" t="str">
        <f>TEXT('Cleaned Datasets'!$B865,"MMMM")</f>
        <v>June</v>
      </c>
      <c r="D865" s="13" t="s">
        <v>11</v>
      </c>
      <c r="E865" s="13" t="s">
        <v>52</v>
      </c>
      <c r="F865" s="13" t="s">
        <v>32</v>
      </c>
      <c r="G865" s="13" t="s">
        <v>30</v>
      </c>
      <c r="H865" s="13" t="s">
        <v>19</v>
      </c>
      <c r="I865" s="13">
        <v>4</v>
      </c>
      <c r="J865" s="13">
        <v>4</v>
      </c>
      <c r="K865" s="13">
        <v>0</v>
      </c>
      <c r="L865" s="13">
        <v>4</v>
      </c>
      <c r="M865" s="14">
        <f t="shared" si="40"/>
        <v>1</v>
      </c>
      <c r="N865" s="14">
        <f t="shared" si="41"/>
        <v>0</v>
      </c>
    </row>
    <row r="866" spans="1:14" x14ac:dyDescent="0.25">
      <c r="A866" s="9" t="s">
        <v>43</v>
      </c>
      <c r="B866" s="9">
        <f t="shared" si="39"/>
        <v>44958</v>
      </c>
      <c r="C866" s="9" t="str">
        <f>TEXT('Cleaned Datasets'!$B866,"MMMM")</f>
        <v>February</v>
      </c>
      <c r="D866" s="10" t="s">
        <v>37</v>
      </c>
      <c r="E866" s="10" t="s">
        <v>38</v>
      </c>
      <c r="F866" s="10" t="s">
        <v>13</v>
      </c>
      <c r="G866" s="10" t="s">
        <v>30</v>
      </c>
      <c r="H866" s="10" t="s">
        <v>15</v>
      </c>
      <c r="I866" s="10">
        <v>1</v>
      </c>
      <c r="J866" s="10">
        <v>1</v>
      </c>
      <c r="K866" s="10">
        <v>0</v>
      </c>
      <c r="L866" s="10">
        <v>1.7</v>
      </c>
      <c r="M866" s="11">
        <f t="shared" si="40"/>
        <v>1</v>
      </c>
      <c r="N866" s="11">
        <f t="shared" si="41"/>
        <v>0</v>
      </c>
    </row>
    <row r="867" spans="1:14" x14ac:dyDescent="0.25">
      <c r="A867" s="12" t="s">
        <v>31</v>
      </c>
      <c r="B867" s="12">
        <f t="shared" si="39"/>
        <v>45139</v>
      </c>
      <c r="C867" s="12" t="str">
        <f>TEXT('Cleaned Datasets'!$B867,"MMMM")</f>
        <v>August</v>
      </c>
      <c r="D867" s="13" t="s">
        <v>24</v>
      </c>
      <c r="E867" s="13" t="s">
        <v>64</v>
      </c>
      <c r="F867" s="13" t="s">
        <v>26</v>
      </c>
      <c r="G867" s="13" t="s">
        <v>22</v>
      </c>
      <c r="H867" s="13" t="s">
        <v>19</v>
      </c>
      <c r="I867" s="13">
        <v>2</v>
      </c>
      <c r="J867" s="13">
        <v>1</v>
      </c>
      <c r="K867" s="13">
        <v>0</v>
      </c>
      <c r="L867" s="13">
        <v>1.6</v>
      </c>
      <c r="M867" s="14">
        <f t="shared" si="40"/>
        <v>0.5</v>
      </c>
      <c r="N867" s="14">
        <f t="shared" si="41"/>
        <v>0</v>
      </c>
    </row>
    <row r="868" spans="1:14" x14ac:dyDescent="0.25">
      <c r="A868" s="9" t="s">
        <v>23</v>
      </c>
      <c r="B868" s="9">
        <f t="shared" si="39"/>
        <v>45200</v>
      </c>
      <c r="C868" s="9" t="str">
        <f>TEXT('Cleaned Datasets'!$B868,"MMMM")</f>
        <v>October</v>
      </c>
      <c r="D868" s="10" t="s">
        <v>37</v>
      </c>
      <c r="E868" s="10" t="s">
        <v>39</v>
      </c>
      <c r="F868" s="10" t="s">
        <v>21</v>
      </c>
      <c r="G868" s="10" t="s">
        <v>18</v>
      </c>
      <c r="H868" s="10" t="s">
        <v>15</v>
      </c>
      <c r="I868" s="10">
        <v>5</v>
      </c>
      <c r="J868" s="10">
        <v>5</v>
      </c>
      <c r="K868" s="10">
        <v>0</v>
      </c>
      <c r="L868" s="10">
        <v>4</v>
      </c>
      <c r="M868" s="11">
        <f t="shared" si="40"/>
        <v>1</v>
      </c>
      <c r="N868" s="11">
        <f t="shared" si="41"/>
        <v>0</v>
      </c>
    </row>
    <row r="869" spans="1:14" x14ac:dyDescent="0.25">
      <c r="A869" s="12" t="s">
        <v>50</v>
      </c>
      <c r="B869" s="12">
        <f t="shared" si="39"/>
        <v>45108</v>
      </c>
      <c r="C869" s="12" t="str">
        <f>TEXT('Cleaned Datasets'!$B869,"MMMM")</f>
        <v>July</v>
      </c>
      <c r="D869" s="13" t="s">
        <v>41</v>
      </c>
      <c r="E869" s="13" t="s">
        <v>42</v>
      </c>
      <c r="F869" s="13" t="s">
        <v>32</v>
      </c>
      <c r="G869" s="13" t="s">
        <v>30</v>
      </c>
      <c r="H869" s="13" t="s">
        <v>15</v>
      </c>
      <c r="I869" s="13">
        <v>4</v>
      </c>
      <c r="J869" s="13">
        <v>4</v>
      </c>
      <c r="K869" s="13">
        <v>0</v>
      </c>
      <c r="L869" s="13">
        <v>3.1</v>
      </c>
      <c r="M869" s="14">
        <f t="shared" si="40"/>
        <v>1</v>
      </c>
      <c r="N869" s="14">
        <f t="shared" si="41"/>
        <v>0</v>
      </c>
    </row>
    <row r="870" spans="1:14" x14ac:dyDescent="0.25">
      <c r="A870" s="9" t="s">
        <v>10</v>
      </c>
      <c r="B870" s="9">
        <f t="shared" si="39"/>
        <v>45017</v>
      </c>
      <c r="C870" s="9" t="str">
        <f>TEXT('Cleaned Datasets'!$B870,"MMMM")</f>
        <v>April</v>
      </c>
      <c r="D870" s="10" t="s">
        <v>48</v>
      </c>
      <c r="E870" s="10" t="s">
        <v>63</v>
      </c>
      <c r="F870" s="10" t="s">
        <v>26</v>
      </c>
      <c r="G870" s="10" t="s">
        <v>14</v>
      </c>
      <c r="H870" s="10" t="s">
        <v>19</v>
      </c>
      <c r="I870" s="10">
        <v>7</v>
      </c>
      <c r="J870" s="10">
        <v>5</v>
      </c>
      <c r="K870" s="10">
        <v>0</v>
      </c>
      <c r="L870" s="10">
        <v>2.2999999999999998</v>
      </c>
      <c r="M870" s="11">
        <f t="shared" si="40"/>
        <v>0.7142857142857143</v>
      </c>
      <c r="N870" s="11">
        <f t="shared" si="41"/>
        <v>0</v>
      </c>
    </row>
    <row r="871" spans="1:14" x14ac:dyDescent="0.25">
      <c r="A871" s="12" t="s">
        <v>50</v>
      </c>
      <c r="B871" s="12">
        <f t="shared" si="39"/>
        <v>45108</v>
      </c>
      <c r="C871" s="12" t="str">
        <f>TEXT('Cleaned Datasets'!$B871,"MMMM")</f>
        <v>July</v>
      </c>
      <c r="D871" s="13" t="s">
        <v>48</v>
      </c>
      <c r="E871" s="13" t="s">
        <v>63</v>
      </c>
      <c r="F871" s="13" t="s">
        <v>22</v>
      </c>
      <c r="G871" s="13" t="s">
        <v>18</v>
      </c>
      <c r="H871" s="13" t="s">
        <v>19</v>
      </c>
      <c r="I871" s="13">
        <v>3</v>
      </c>
      <c r="J871" s="13">
        <v>2</v>
      </c>
      <c r="K871" s="13">
        <v>0</v>
      </c>
      <c r="L871" s="13">
        <v>2.1</v>
      </c>
      <c r="M871" s="14">
        <f t="shared" si="40"/>
        <v>0.66666666666666663</v>
      </c>
      <c r="N871" s="14">
        <f t="shared" si="41"/>
        <v>0</v>
      </c>
    </row>
    <row r="872" spans="1:14" x14ac:dyDescent="0.25">
      <c r="A872" s="9" t="s">
        <v>43</v>
      </c>
      <c r="B872" s="9">
        <f t="shared" si="39"/>
        <v>44958</v>
      </c>
      <c r="C872" s="9" t="str">
        <f>TEXT('Cleaned Datasets'!$B872,"MMMM")</f>
        <v>February</v>
      </c>
      <c r="D872" s="10" t="s">
        <v>28</v>
      </c>
      <c r="E872" s="10" t="s">
        <v>29</v>
      </c>
      <c r="F872" s="10" t="s">
        <v>26</v>
      </c>
      <c r="G872" s="10" t="s">
        <v>53</v>
      </c>
      <c r="H872" s="10" t="s">
        <v>15</v>
      </c>
      <c r="I872" s="10">
        <v>4</v>
      </c>
      <c r="J872" s="10">
        <v>4</v>
      </c>
      <c r="K872" s="10">
        <v>0</v>
      </c>
      <c r="L872" s="10">
        <v>2.2000000000000002</v>
      </c>
      <c r="M872" s="11">
        <f t="shared" si="40"/>
        <v>1</v>
      </c>
      <c r="N872" s="11">
        <f t="shared" si="41"/>
        <v>0</v>
      </c>
    </row>
    <row r="873" spans="1:14" x14ac:dyDescent="0.25">
      <c r="A873" s="12" t="s">
        <v>50</v>
      </c>
      <c r="B873" s="12">
        <f t="shared" si="39"/>
        <v>45108</v>
      </c>
      <c r="C873" s="12" t="str">
        <f>TEXT('Cleaned Datasets'!$B873,"MMMM")</f>
        <v>July</v>
      </c>
      <c r="D873" s="13" t="s">
        <v>34</v>
      </c>
      <c r="E873" s="13" t="s">
        <v>35</v>
      </c>
      <c r="F873" s="13" t="s">
        <v>26</v>
      </c>
      <c r="G873" s="13" t="s">
        <v>53</v>
      </c>
      <c r="H873" s="13" t="s">
        <v>15</v>
      </c>
      <c r="I873" s="13">
        <v>4</v>
      </c>
      <c r="J873" s="13">
        <v>4</v>
      </c>
      <c r="K873" s="13">
        <v>1</v>
      </c>
      <c r="L873" s="13">
        <v>3.4</v>
      </c>
      <c r="M873" s="14">
        <f t="shared" si="40"/>
        <v>1</v>
      </c>
      <c r="N873" s="14">
        <f t="shared" si="41"/>
        <v>0.25</v>
      </c>
    </row>
    <row r="874" spans="1:14" x14ac:dyDescent="0.25">
      <c r="A874" s="9" t="s">
        <v>33</v>
      </c>
      <c r="B874" s="9">
        <f t="shared" si="39"/>
        <v>44927</v>
      </c>
      <c r="C874" s="9" t="str">
        <f>TEXT('Cleaned Datasets'!$B874,"MMMM")</f>
        <v>January</v>
      </c>
      <c r="D874" s="10" t="s">
        <v>11</v>
      </c>
      <c r="E874" s="10" t="s">
        <v>12</v>
      </c>
      <c r="F874" s="10" t="s">
        <v>26</v>
      </c>
      <c r="G874" s="10" t="s">
        <v>53</v>
      </c>
      <c r="H874" s="10" t="s">
        <v>19</v>
      </c>
      <c r="I874" s="10">
        <v>8</v>
      </c>
      <c r="J874" s="10">
        <v>8</v>
      </c>
      <c r="K874" s="10">
        <v>0</v>
      </c>
      <c r="L874" s="10">
        <v>5.6</v>
      </c>
      <c r="M874" s="11">
        <f t="shared" si="40"/>
        <v>1</v>
      </c>
      <c r="N874" s="11">
        <f t="shared" si="41"/>
        <v>0</v>
      </c>
    </row>
    <row r="875" spans="1:14" x14ac:dyDescent="0.25">
      <c r="A875" s="12" t="s">
        <v>45</v>
      </c>
      <c r="B875" s="12">
        <f t="shared" si="39"/>
        <v>45047</v>
      </c>
      <c r="C875" s="12" t="str">
        <f>TEXT('Cleaned Datasets'!$B875,"MMMM")</f>
        <v>May</v>
      </c>
      <c r="D875" s="13" t="s">
        <v>41</v>
      </c>
      <c r="E875" s="13" t="s">
        <v>42</v>
      </c>
      <c r="F875" s="13" t="s">
        <v>32</v>
      </c>
      <c r="G875" s="13" t="s">
        <v>53</v>
      </c>
      <c r="H875" s="13" t="s">
        <v>15</v>
      </c>
      <c r="I875" s="13">
        <v>5</v>
      </c>
      <c r="J875" s="13">
        <v>5</v>
      </c>
      <c r="K875" s="13">
        <v>0</v>
      </c>
      <c r="L875" s="13">
        <v>3.3</v>
      </c>
      <c r="M875" s="14">
        <f t="shared" si="40"/>
        <v>1</v>
      </c>
      <c r="N875" s="14">
        <f t="shared" si="41"/>
        <v>0</v>
      </c>
    </row>
    <row r="876" spans="1:14" x14ac:dyDescent="0.25">
      <c r="A876" s="9" t="s">
        <v>23</v>
      </c>
      <c r="B876" s="9">
        <f t="shared" si="39"/>
        <v>45200</v>
      </c>
      <c r="C876" s="9" t="str">
        <f>TEXT('Cleaned Datasets'!$B876,"MMMM")</f>
        <v>October</v>
      </c>
      <c r="D876" s="10" t="s">
        <v>34</v>
      </c>
      <c r="E876" s="10" t="s">
        <v>51</v>
      </c>
      <c r="F876" s="10" t="s">
        <v>13</v>
      </c>
      <c r="G876" s="10" t="s">
        <v>27</v>
      </c>
      <c r="H876" s="10" t="s">
        <v>19</v>
      </c>
      <c r="I876" s="10">
        <v>6</v>
      </c>
      <c r="J876" s="10">
        <v>6</v>
      </c>
      <c r="K876" s="10">
        <v>1</v>
      </c>
      <c r="L876" s="10">
        <v>5</v>
      </c>
      <c r="M876" s="11">
        <f t="shared" si="40"/>
        <v>1</v>
      </c>
      <c r="N876" s="11">
        <f t="shared" si="41"/>
        <v>0.16666666666666666</v>
      </c>
    </row>
    <row r="877" spans="1:14" x14ac:dyDescent="0.25">
      <c r="A877" s="12" t="s">
        <v>10</v>
      </c>
      <c r="B877" s="12">
        <f t="shared" si="39"/>
        <v>45017</v>
      </c>
      <c r="C877" s="12" t="str">
        <f>TEXT('Cleaned Datasets'!$B877,"MMMM")</f>
        <v>April</v>
      </c>
      <c r="D877" s="13" t="s">
        <v>46</v>
      </c>
      <c r="E877" s="13" t="s">
        <v>47</v>
      </c>
      <c r="F877" s="13" t="s">
        <v>22</v>
      </c>
      <c r="G877" s="13" t="s">
        <v>22</v>
      </c>
      <c r="H877" s="13" t="s">
        <v>19</v>
      </c>
      <c r="I877" s="13">
        <v>2</v>
      </c>
      <c r="J877" s="13">
        <v>1</v>
      </c>
      <c r="K877" s="13">
        <v>0</v>
      </c>
      <c r="L877" s="13">
        <v>3.4</v>
      </c>
      <c r="M877" s="14">
        <f t="shared" si="40"/>
        <v>0.5</v>
      </c>
      <c r="N877" s="14">
        <f t="shared" si="41"/>
        <v>0</v>
      </c>
    </row>
    <row r="878" spans="1:14" x14ac:dyDescent="0.25">
      <c r="A878" s="9" t="s">
        <v>10</v>
      </c>
      <c r="B878" s="9">
        <f t="shared" si="39"/>
        <v>45017</v>
      </c>
      <c r="C878" s="9" t="str">
        <f>TEXT('Cleaned Datasets'!$B878,"MMMM")</f>
        <v>April</v>
      </c>
      <c r="D878" s="10" t="s">
        <v>16</v>
      </c>
      <c r="E878" s="10" t="s">
        <v>17</v>
      </c>
      <c r="F878" s="10" t="s">
        <v>40</v>
      </c>
      <c r="G878" s="10" t="s">
        <v>18</v>
      </c>
      <c r="H878" s="10" t="s">
        <v>15</v>
      </c>
      <c r="I878" s="10">
        <v>3</v>
      </c>
      <c r="J878" s="10">
        <v>3</v>
      </c>
      <c r="K878" s="10">
        <v>0</v>
      </c>
      <c r="L878" s="10">
        <v>3.9</v>
      </c>
      <c r="M878" s="11">
        <f t="shared" si="40"/>
        <v>1</v>
      </c>
      <c r="N878" s="11">
        <f t="shared" si="41"/>
        <v>0</v>
      </c>
    </row>
    <row r="879" spans="1:14" x14ac:dyDescent="0.25">
      <c r="A879" s="12" t="s">
        <v>50</v>
      </c>
      <c r="B879" s="12">
        <f t="shared" si="39"/>
        <v>45108</v>
      </c>
      <c r="C879" s="12" t="str">
        <f>TEXT('Cleaned Datasets'!$B879,"MMMM")</f>
        <v>July</v>
      </c>
      <c r="D879" s="13" t="s">
        <v>37</v>
      </c>
      <c r="E879" s="13" t="s">
        <v>38</v>
      </c>
      <c r="F879" s="13" t="s">
        <v>40</v>
      </c>
      <c r="G879" s="13" t="s">
        <v>18</v>
      </c>
      <c r="H879" s="13" t="s">
        <v>15</v>
      </c>
      <c r="I879" s="13">
        <v>6</v>
      </c>
      <c r="J879" s="13">
        <v>5</v>
      </c>
      <c r="K879" s="13">
        <v>0</v>
      </c>
      <c r="L879" s="13">
        <v>2.8</v>
      </c>
      <c r="M879" s="14">
        <f t="shared" si="40"/>
        <v>0.83333333333333337</v>
      </c>
      <c r="N879" s="14">
        <f t="shared" si="41"/>
        <v>0</v>
      </c>
    </row>
    <row r="880" spans="1:14" x14ac:dyDescent="0.25">
      <c r="A880" s="9" t="s">
        <v>33</v>
      </c>
      <c r="B880" s="9">
        <f t="shared" si="39"/>
        <v>44927</v>
      </c>
      <c r="C880" s="9" t="str">
        <f>TEXT('Cleaned Datasets'!$B880,"MMMM")</f>
        <v>January</v>
      </c>
      <c r="D880" s="10" t="s">
        <v>56</v>
      </c>
      <c r="E880" s="10" t="s">
        <v>57</v>
      </c>
      <c r="F880" s="10" t="s">
        <v>22</v>
      </c>
      <c r="G880" s="10" t="s">
        <v>27</v>
      </c>
      <c r="H880" s="10" t="s">
        <v>19</v>
      </c>
      <c r="I880" s="10">
        <v>4</v>
      </c>
      <c r="J880" s="10">
        <v>4</v>
      </c>
      <c r="K880" s="10">
        <v>0</v>
      </c>
      <c r="L880" s="10">
        <v>2.8</v>
      </c>
      <c r="M880" s="11">
        <f t="shared" si="40"/>
        <v>1</v>
      </c>
      <c r="N880" s="11">
        <f t="shared" si="41"/>
        <v>0</v>
      </c>
    </row>
    <row r="881" spans="1:14" x14ac:dyDescent="0.25">
      <c r="A881" s="12" t="s">
        <v>23</v>
      </c>
      <c r="B881" s="12">
        <f t="shared" si="39"/>
        <v>45200</v>
      </c>
      <c r="C881" s="12" t="str">
        <f>TEXT('Cleaned Datasets'!$B881,"MMMM")</f>
        <v>October</v>
      </c>
      <c r="D881" s="13" t="s">
        <v>46</v>
      </c>
      <c r="E881" s="13" t="s">
        <v>54</v>
      </c>
      <c r="F881" s="13" t="s">
        <v>26</v>
      </c>
      <c r="G881" s="13" t="s">
        <v>22</v>
      </c>
      <c r="H881" s="13" t="s">
        <v>19</v>
      </c>
      <c r="I881" s="13">
        <v>6</v>
      </c>
      <c r="J881" s="13">
        <v>6</v>
      </c>
      <c r="K881" s="13">
        <v>0</v>
      </c>
      <c r="L881" s="13">
        <v>4.5</v>
      </c>
      <c r="M881" s="14">
        <f t="shared" si="40"/>
        <v>1</v>
      </c>
      <c r="N881" s="14">
        <f t="shared" si="41"/>
        <v>0</v>
      </c>
    </row>
    <row r="882" spans="1:14" x14ac:dyDescent="0.25">
      <c r="A882" s="9" t="s">
        <v>20</v>
      </c>
      <c r="B882" s="9">
        <f t="shared" si="39"/>
        <v>45078</v>
      </c>
      <c r="C882" s="9" t="str">
        <f>TEXT('Cleaned Datasets'!$B882,"MMMM")</f>
        <v>June</v>
      </c>
      <c r="D882" s="10" t="s">
        <v>28</v>
      </c>
      <c r="E882" s="10" t="s">
        <v>29</v>
      </c>
      <c r="F882" s="10" t="s">
        <v>22</v>
      </c>
      <c r="G882" s="10" t="s">
        <v>14</v>
      </c>
      <c r="H882" s="10" t="s">
        <v>15</v>
      </c>
      <c r="I882" s="10">
        <v>5</v>
      </c>
      <c r="J882" s="10">
        <v>3</v>
      </c>
      <c r="K882" s="10">
        <v>0</v>
      </c>
      <c r="L882" s="10">
        <v>4.3</v>
      </c>
      <c r="M882" s="11">
        <f t="shared" si="40"/>
        <v>0.6</v>
      </c>
      <c r="N882" s="11">
        <f t="shared" si="41"/>
        <v>0</v>
      </c>
    </row>
    <row r="883" spans="1:14" x14ac:dyDescent="0.25">
      <c r="A883" s="12" t="s">
        <v>20</v>
      </c>
      <c r="B883" s="12">
        <f t="shared" si="39"/>
        <v>45078</v>
      </c>
      <c r="C883" s="12" t="str">
        <f>TEXT('Cleaned Datasets'!$B883,"MMMM")</f>
        <v>June</v>
      </c>
      <c r="D883" s="13" t="s">
        <v>34</v>
      </c>
      <c r="E883" s="13" t="s">
        <v>35</v>
      </c>
      <c r="F883" s="13" t="s">
        <v>22</v>
      </c>
      <c r="G883" s="13" t="s">
        <v>22</v>
      </c>
      <c r="H883" s="13" t="s">
        <v>15</v>
      </c>
      <c r="I883" s="13">
        <v>3</v>
      </c>
      <c r="J883" s="13">
        <v>3</v>
      </c>
      <c r="K883" s="13">
        <v>0</v>
      </c>
      <c r="L883" s="13">
        <v>2.2999999999999998</v>
      </c>
      <c r="M883" s="14">
        <f t="shared" si="40"/>
        <v>1</v>
      </c>
      <c r="N883" s="14">
        <f t="shared" si="41"/>
        <v>0</v>
      </c>
    </row>
    <row r="884" spans="1:14" x14ac:dyDescent="0.25">
      <c r="A884" s="9" t="s">
        <v>43</v>
      </c>
      <c r="B884" s="9">
        <f t="shared" si="39"/>
        <v>44958</v>
      </c>
      <c r="C884" s="9" t="str">
        <f>TEXT('Cleaned Datasets'!$B884,"MMMM")</f>
        <v>February</v>
      </c>
      <c r="D884" s="10" t="s">
        <v>34</v>
      </c>
      <c r="E884" s="10" t="s">
        <v>35</v>
      </c>
      <c r="F884" s="10" t="s">
        <v>40</v>
      </c>
      <c r="G884" s="10" t="s">
        <v>53</v>
      </c>
      <c r="H884" s="10" t="s">
        <v>15</v>
      </c>
      <c r="I884" s="10">
        <v>8</v>
      </c>
      <c r="J884" s="10">
        <v>7</v>
      </c>
      <c r="K884" s="10">
        <v>0</v>
      </c>
      <c r="L884" s="10">
        <v>2.5</v>
      </c>
      <c r="M884" s="11">
        <f t="shared" si="40"/>
        <v>0.875</v>
      </c>
      <c r="N884" s="11">
        <f t="shared" si="41"/>
        <v>0</v>
      </c>
    </row>
    <row r="885" spans="1:14" x14ac:dyDescent="0.25">
      <c r="A885" s="12" t="s">
        <v>50</v>
      </c>
      <c r="B885" s="12">
        <f t="shared" si="39"/>
        <v>45108</v>
      </c>
      <c r="C885" s="12" t="str">
        <f>TEXT('Cleaned Datasets'!$B885,"MMMM")</f>
        <v>July</v>
      </c>
      <c r="D885" s="13" t="s">
        <v>34</v>
      </c>
      <c r="E885" s="13" t="s">
        <v>35</v>
      </c>
      <c r="F885" s="13" t="s">
        <v>13</v>
      </c>
      <c r="G885" s="13" t="s">
        <v>18</v>
      </c>
      <c r="H885" s="13" t="s">
        <v>15</v>
      </c>
      <c r="I885" s="13">
        <v>6</v>
      </c>
      <c r="J885" s="13">
        <v>6</v>
      </c>
      <c r="K885" s="13">
        <v>1</v>
      </c>
      <c r="L885" s="13">
        <v>1.6</v>
      </c>
      <c r="M885" s="14">
        <f t="shared" si="40"/>
        <v>1</v>
      </c>
      <c r="N885" s="14">
        <f t="shared" si="41"/>
        <v>0.16666666666666666</v>
      </c>
    </row>
    <row r="886" spans="1:14" x14ac:dyDescent="0.25">
      <c r="A886" s="9" t="s">
        <v>36</v>
      </c>
      <c r="B886" s="9">
        <f t="shared" si="39"/>
        <v>44986</v>
      </c>
      <c r="C886" s="9" t="str">
        <f>TEXT('Cleaned Datasets'!$B886,"MMMM")</f>
        <v>March</v>
      </c>
      <c r="D886" s="10" t="s">
        <v>37</v>
      </c>
      <c r="E886" s="10" t="s">
        <v>39</v>
      </c>
      <c r="F886" s="10" t="s">
        <v>40</v>
      </c>
      <c r="G886" s="10" t="s">
        <v>14</v>
      </c>
      <c r="H886" s="10" t="s">
        <v>19</v>
      </c>
      <c r="I886" s="10">
        <v>6</v>
      </c>
      <c r="J886" s="10">
        <v>6</v>
      </c>
      <c r="K886" s="10">
        <v>0</v>
      </c>
      <c r="L886" s="10">
        <v>2.1</v>
      </c>
      <c r="M886" s="11">
        <f t="shared" si="40"/>
        <v>1</v>
      </c>
      <c r="N886" s="11">
        <f t="shared" si="41"/>
        <v>0</v>
      </c>
    </row>
    <row r="887" spans="1:14" x14ac:dyDescent="0.25">
      <c r="A887" s="12" t="s">
        <v>20</v>
      </c>
      <c r="B887" s="12">
        <f t="shared" si="39"/>
        <v>45078</v>
      </c>
      <c r="C887" s="12" t="str">
        <f>TEXT('Cleaned Datasets'!$B887,"MMMM")</f>
        <v>June</v>
      </c>
      <c r="D887" s="13" t="s">
        <v>56</v>
      </c>
      <c r="E887" s="13" t="s">
        <v>57</v>
      </c>
      <c r="F887" s="13" t="s">
        <v>13</v>
      </c>
      <c r="G887" s="13" t="s">
        <v>30</v>
      </c>
      <c r="H887" s="13" t="s">
        <v>15</v>
      </c>
      <c r="I887" s="13">
        <v>3</v>
      </c>
      <c r="J887" s="13">
        <v>3</v>
      </c>
      <c r="K887" s="13">
        <v>0</v>
      </c>
      <c r="L887" s="13">
        <v>2.9</v>
      </c>
      <c r="M887" s="14">
        <f t="shared" si="40"/>
        <v>1</v>
      </c>
      <c r="N887" s="14">
        <f t="shared" si="41"/>
        <v>0</v>
      </c>
    </row>
    <row r="888" spans="1:14" x14ac:dyDescent="0.25">
      <c r="A888" s="9" t="s">
        <v>45</v>
      </c>
      <c r="B888" s="9">
        <f t="shared" si="39"/>
        <v>45047</v>
      </c>
      <c r="C888" s="9" t="str">
        <f>TEXT('Cleaned Datasets'!$B888,"MMMM")</f>
        <v>May</v>
      </c>
      <c r="D888" s="10" t="s">
        <v>34</v>
      </c>
      <c r="E888" s="10" t="s">
        <v>35</v>
      </c>
      <c r="F888" s="10" t="s">
        <v>21</v>
      </c>
      <c r="G888" s="10" t="s">
        <v>14</v>
      </c>
      <c r="H888" s="10" t="s">
        <v>19</v>
      </c>
      <c r="I888" s="10">
        <v>7</v>
      </c>
      <c r="J888" s="10">
        <v>6</v>
      </c>
      <c r="K888" s="10">
        <v>0</v>
      </c>
      <c r="L888" s="10">
        <v>0.9</v>
      </c>
      <c r="M888" s="11">
        <f t="shared" si="40"/>
        <v>0.8571428571428571</v>
      </c>
      <c r="N888" s="11">
        <f t="shared" si="41"/>
        <v>0</v>
      </c>
    </row>
    <row r="889" spans="1:14" x14ac:dyDescent="0.25">
      <c r="A889" s="12" t="s">
        <v>36</v>
      </c>
      <c r="B889" s="12">
        <f t="shared" si="39"/>
        <v>44986</v>
      </c>
      <c r="C889" s="12" t="str">
        <f>TEXT('Cleaned Datasets'!$B889,"MMMM")</f>
        <v>March</v>
      </c>
      <c r="D889" s="13" t="s">
        <v>24</v>
      </c>
      <c r="E889" s="13" t="s">
        <v>25</v>
      </c>
      <c r="F889" s="13" t="s">
        <v>21</v>
      </c>
      <c r="G889" s="13" t="s">
        <v>27</v>
      </c>
      <c r="H889" s="13" t="s">
        <v>15</v>
      </c>
      <c r="I889" s="13">
        <v>7</v>
      </c>
      <c r="J889" s="13">
        <v>6</v>
      </c>
      <c r="K889" s="13">
        <v>0</v>
      </c>
      <c r="L889" s="13">
        <v>2.8</v>
      </c>
      <c r="M889" s="14">
        <f t="shared" si="40"/>
        <v>0.8571428571428571</v>
      </c>
      <c r="N889" s="14">
        <f t="shared" si="41"/>
        <v>0</v>
      </c>
    </row>
    <row r="890" spans="1:14" x14ac:dyDescent="0.25">
      <c r="A890" s="9" t="s">
        <v>31</v>
      </c>
      <c r="B890" s="9">
        <f t="shared" si="39"/>
        <v>45139</v>
      </c>
      <c r="C890" s="9" t="str">
        <f>TEXT('Cleaned Datasets'!$B890,"MMMM")</f>
        <v>August</v>
      </c>
      <c r="D890" s="10" t="s">
        <v>24</v>
      </c>
      <c r="E890" s="10" t="s">
        <v>64</v>
      </c>
      <c r="F890" s="10" t="s">
        <v>13</v>
      </c>
      <c r="G890" s="10" t="s">
        <v>22</v>
      </c>
      <c r="H890" s="10" t="s">
        <v>19</v>
      </c>
      <c r="I890" s="10">
        <v>4</v>
      </c>
      <c r="J890" s="10">
        <v>4</v>
      </c>
      <c r="K890" s="10">
        <v>0</v>
      </c>
      <c r="L890" s="10">
        <v>3.4</v>
      </c>
      <c r="M890" s="11">
        <f t="shared" si="40"/>
        <v>1</v>
      </c>
      <c r="N890" s="11">
        <f t="shared" si="41"/>
        <v>0</v>
      </c>
    </row>
    <row r="891" spans="1:14" x14ac:dyDescent="0.25">
      <c r="A891" s="12" t="s">
        <v>20</v>
      </c>
      <c r="B891" s="12">
        <f t="shared" si="39"/>
        <v>45078</v>
      </c>
      <c r="C891" s="12" t="str">
        <f>TEXT('Cleaned Datasets'!$B891,"MMMM")</f>
        <v>June</v>
      </c>
      <c r="D891" s="13" t="s">
        <v>34</v>
      </c>
      <c r="E891" s="13" t="s">
        <v>35</v>
      </c>
      <c r="F891" s="13" t="s">
        <v>13</v>
      </c>
      <c r="G891" s="13" t="s">
        <v>27</v>
      </c>
      <c r="H891" s="13" t="s">
        <v>15</v>
      </c>
      <c r="I891" s="13">
        <v>7</v>
      </c>
      <c r="J891" s="13">
        <v>5</v>
      </c>
      <c r="K891" s="13">
        <v>0</v>
      </c>
      <c r="L891" s="13">
        <v>3.1</v>
      </c>
      <c r="M891" s="14">
        <f t="shared" si="40"/>
        <v>0.7142857142857143</v>
      </c>
      <c r="N891" s="14">
        <f t="shared" si="41"/>
        <v>0</v>
      </c>
    </row>
    <row r="892" spans="1:14" x14ac:dyDescent="0.25">
      <c r="A892" s="9" t="s">
        <v>31</v>
      </c>
      <c r="B892" s="9">
        <f t="shared" si="39"/>
        <v>45139</v>
      </c>
      <c r="C892" s="9" t="str">
        <f>TEXT('Cleaned Datasets'!$B892,"MMMM")</f>
        <v>August</v>
      </c>
      <c r="D892" s="10" t="s">
        <v>28</v>
      </c>
      <c r="E892" s="10" t="s">
        <v>58</v>
      </c>
      <c r="F892" s="10" t="s">
        <v>40</v>
      </c>
      <c r="G892" s="10" t="s">
        <v>30</v>
      </c>
      <c r="H892" s="10" t="s">
        <v>15</v>
      </c>
      <c r="I892" s="10">
        <v>6</v>
      </c>
      <c r="J892" s="10">
        <v>5</v>
      </c>
      <c r="K892" s="10">
        <v>0</v>
      </c>
      <c r="L892" s="10">
        <v>3</v>
      </c>
      <c r="M892" s="11">
        <f t="shared" si="40"/>
        <v>0.83333333333333337</v>
      </c>
      <c r="N892" s="11">
        <f t="shared" si="41"/>
        <v>0</v>
      </c>
    </row>
    <row r="893" spans="1:14" x14ac:dyDescent="0.25">
      <c r="A893" s="12" t="s">
        <v>20</v>
      </c>
      <c r="B893" s="12">
        <f t="shared" si="39"/>
        <v>45078</v>
      </c>
      <c r="C893" s="12" t="str">
        <f>TEXT('Cleaned Datasets'!$B893,"MMMM")</f>
        <v>June</v>
      </c>
      <c r="D893" s="13" t="s">
        <v>11</v>
      </c>
      <c r="E893" s="13" t="s">
        <v>52</v>
      </c>
      <c r="F893" s="13" t="s">
        <v>32</v>
      </c>
      <c r="G893" s="13" t="s">
        <v>30</v>
      </c>
      <c r="H893" s="13" t="s">
        <v>15</v>
      </c>
      <c r="I893" s="13">
        <v>7</v>
      </c>
      <c r="J893" s="13">
        <v>6</v>
      </c>
      <c r="K893" s="13">
        <v>0</v>
      </c>
      <c r="L893" s="13">
        <v>1.6</v>
      </c>
      <c r="M893" s="14">
        <f t="shared" si="40"/>
        <v>0.8571428571428571</v>
      </c>
      <c r="N893" s="14">
        <f t="shared" si="41"/>
        <v>0</v>
      </c>
    </row>
    <row r="894" spans="1:14" x14ac:dyDescent="0.25">
      <c r="A894" s="9" t="s">
        <v>61</v>
      </c>
      <c r="B894" s="9">
        <f t="shared" si="39"/>
        <v>45231</v>
      </c>
      <c r="C894" s="9" t="str">
        <f>TEXT('Cleaned Datasets'!$B894,"MMMM")</f>
        <v>November</v>
      </c>
      <c r="D894" s="10" t="s">
        <v>56</v>
      </c>
      <c r="E894" s="10" t="s">
        <v>57</v>
      </c>
      <c r="F894" s="10" t="s">
        <v>22</v>
      </c>
      <c r="G894" s="10" t="s">
        <v>27</v>
      </c>
      <c r="H894" s="10" t="s">
        <v>19</v>
      </c>
      <c r="I894" s="10">
        <v>4</v>
      </c>
      <c r="J894" s="10">
        <v>4</v>
      </c>
      <c r="K894" s="10">
        <v>0</v>
      </c>
      <c r="L894" s="10">
        <v>3.7</v>
      </c>
      <c r="M894" s="11">
        <f t="shared" si="40"/>
        <v>1</v>
      </c>
      <c r="N894" s="11">
        <f t="shared" si="41"/>
        <v>0</v>
      </c>
    </row>
    <row r="895" spans="1:14" x14ac:dyDescent="0.25">
      <c r="A895" s="12" t="s">
        <v>50</v>
      </c>
      <c r="B895" s="12">
        <f t="shared" si="39"/>
        <v>45108</v>
      </c>
      <c r="C895" s="12" t="str">
        <f>TEXT('Cleaned Datasets'!$B895,"MMMM")</f>
        <v>July</v>
      </c>
      <c r="D895" s="13" t="s">
        <v>34</v>
      </c>
      <c r="E895" s="13" t="s">
        <v>35</v>
      </c>
      <c r="F895" s="13" t="s">
        <v>26</v>
      </c>
      <c r="G895" s="13" t="s">
        <v>18</v>
      </c>
      <c r="H895" s="13" t="s">
        <v>19</v>
      </c>
      <c r="I895" s="13">
        <v>5</v>
      </c>
      <c r="J895" s="13">
        <v>3</v>
      </c>
      <c r="K895" s="13">
        <v>0</v>
      </c>
      <c r="L895" s="13">
        <v>2.2999999999999998</v>
      </c>
      <c r="M895" s="14">
        <f t="shared" si="40"/>
        <v>0.6</v>
      </c>
      <c r="N895" s="14">
        <f t="shared" si="41"/>
        <v>0</v>
      </c>
    </row>
    <row r="896" spans="1:14" x14ac:dyDescent="0.25">
      <c r="A896" s="9" t="s">
        <v>23</v>
      </c>
      <c r="B896" s="9">
        <f t="shared" si="39"/>
        <v>45200</v>
      </c>
      <c r="C896" s="9" t="str">
        <f>TEXT('Cleaned Datasets'!$B896,"MMMM")</f>
        <v>October</v>
      </c>
      <c r="D896" s="10" t="s">
        <v>28</v>
      </c>
      <c r="E896" s="10" t="s">
        <v>29</v>
      </c>
      <c r="F896" s="10" t="s">
        <v>21</v>
      </c>
      <c r="G896" s="10" t="s">
        <v>27</v>
      </c>
      <c r="H896" s="10" t="s">
        <v>19</v>
      </c>
      <c r="I896" s="10">
        <v>4</v>
      </c>
      <c r="J896" s="10">
        <v>2</v>
      </c>
      <c r="K896" s="10">
        <v>0</v>
      </c>
      <c r="L896" s="10">
        <v>3.5</v>
      </c>
      <c r="M896" s="11">
        <f t="shared" si="40"/>
        <v>0.5</v>
      </c>
      <c r="N896" s="11">
        <f t="shared" si="41"/>
        <v>0</v>
      </c>
    </row>
    <row r="897" spans="1:14" x14ac:dyDescent="0.25">
      <c r="A897" s="12" t="s">
        <v>55</v>
      </c>
      <c r="B897" s="12">
        <f t="shared" si="39"/>
        <v>45261</v>
      </c>
      <c r="C897" s="12" t="str">
        <f>TEXT('Cleaned Datasets'!$B897,"MMMM")</f>
        <v>December</v>
      </c>
      <c r="D897" s="13" t="s">
        <v>46</v>
      </c>
      <c r="E897" s="13" t="s">
        <v>47</v>
      </c>
      <c r="F897" s="13" t="s">
        <v>26</v>
      </c>
      <c r="G897" s="13" t="s">
        <v>27</v>
      </c>
      <c r="H897" s="13" t="s">
        <v>19</v>
      </c>
      <c r="I897" s="13">
        <v>4</v>
      </c>
      <c r="J897" s="13">
        <v>3</v>
      </c>
      <c r="K897" s="13">
        <v>0</v>
      </c>
      <c r="L897" s="13">
        <v>2.8</v>
      </c>
      <c r="M897" s="14">
        <f t="shared" si="40"/>
        <v>0.75</v>
      </c>
      <c r="N897" s="14">
        <f t="shared" si="41"/>
        <v>0</v>
      </c>
    </row>
    <row r="898" spans="1:14" x14ac:dyDescent="0.25">
      <c r="A898" s="9" t="s">
        <v>55</v>
      </c>
      <c r="B898" s="9">
        <f t="shared" si="39"/>
        <v>45261</v>
      </c>
      <c r="C898" s="9" t="str">
        <f>TEXT('Cleaned Datasets'!$B898,"MMMM")</f>
        <v>December</v>
      </c>
      <c r="D898" s="10" t="s">
        <v>46</v>
      </c>
      <c r="E898" s="10" t="s">
        <v>47</v>
      </c>
      <c r="F898" s="10" t="s">
        <v>40</v>
      </c>
      <c r="G898" s="10" t="s">
        <v>22</v>
      </c>
      <c r="H898" s="10" t="s">
        <v>15</v>
      </c>
      <c r="I898" s="10">
        <v>6</v>
      </c>
      <c r="J898" s="10">
        <v>6</v>
      </c>
      <c r="K898" s="10">
        <v>0</v>
      </c>
      <c r="L898" s="10">
        <v>1.5</v>
      </c>
      <c r="M898" s="11">
        <f t="shared" si="40"/>
        <v>1</v>
      </c>
      <c r="N898" s="11">
        <f t="shared" si="41"/>
        <v>0</v>
      </c>
    </row>
    <row r="899" spans="1:14" x14ac:dyDescent="0.25">
      <c r="A899" s="12" t="s">
        <v>50</v>
      </c>
      <c r="B899" s="12">
        <f t="shared" ref="B899:B962" si="42">DATE(LEFT(A899,4), RIGHT(A899,2), 1)</f>
        <v>45108</v>
      </c>
      <c r="C899" s="12" t="str">
        <f>TEXT('Cleaned Datasets'!$B899,"MMMM")</f>
        <v>July</v>
      </c>
      <c r="D899" s="13" t="s">
        <v>56</v>
      </c>
      <c r="E899" s="13" t="s">
        <v>62</v>
      </c>
      <c r="F899" s="13" t="s">
        <v>21</v>
      </c>
      <c r="G899" s="13" t="s">
        <v>18</v>
      </c>
      <c r="H899" s="13" t="s">
        <v>19</v>
      </c>
      <c r="I899" s="13">
        <v>3</v>
      </c>
      <c r="J899" s="13">
        <v>2</v>
      </c>
      <c r="K899" s="13">
        <v>0</v>
      </c>
      <c r="L899" s="13">
        <v>1.7</v>
      </c>
      <c r="M899" s="14">
        <f t="shared" ref="M899:M962" si="43">IFERROR(J899/I899,0)</f>
        <v>0.66666666666666663</v>
      </c>
      <c r="N899" s="14">
        <f t="shared" ref="N899:N962" si="44">IFERROR(K899/I899,0)</f>
        <v>0</v>
      </c>
    </row>
    <row r="900" spans="1:14" x14ac:dyDescent="0.25">
      <c r="A900" s="9" t="s">
        <v>43</v>
      </c>
      <c r="B900" s="9">
        <f t="shared" si="42"/>
        <v>44958</v>
      </c>
      <c r="C900" s="9" t="str">
        <f>TEXT('Cleaned Datasets'!$B900,"MMMM")</f>
        <v>February</v>
      </c>
      <c r="D900" s="10" t="s">
        <v>48</v>
      </c>
      <c r="E900" s="10" t="s">
        <v>49</v>
      </c>
      <c r="F900" s="10" t="s">
        <v>40</v>
      </c>
      <c r="G900" s="10" t="s">
        <v>18</v>
      </c>
      <c r="H900" s="10" t="s">
        <v>15</v>
      </c>
      <c r="I900" s="10">
        <v>4</v>
      </c>
      <c r="J900" s="10">
        <v>3</v>
      </c>
      <c r="K900" s="10">
        <v>0</v>
      </c>
      <c r="L900" s="10">
        <v>2.6</v>
      </c>
      <c r="M900" s="11">
        <f t="shared" si="43"/>
        <v>0.75</v>
      </c>
      <c r="N900" s="11">
        <f t="shared" si="44"/>
        <v>0</v>
      </c>
    </row>
    <row r="901" spans="1:14" x14ac:dyDescent="0.25">
      <c r="A901" s="12" t="s">
        <v>20</v>
      </c>
      <c r="B901" s="12">
        <f t="shared" si="42"/>
        <v>45078</v>
      </c>
      <c r="C901" s="12" t="str">
        <f>TEXT('Cleaned Datasets'!$B901,"MMMM")</f>
        <v>June</v>
      </c>
      <c r="D901" s="13" t="s">
        <v>11</v>
      </c>
      <c r="E901" s="13" t="s">
        <v>12</v>
      </c>
      <c r="F901" s="13" t="s">
        <v>22</v>
      </c>
      <c r="G901" s="13" t="s">
        <v>27</v>
      </c>
      <c r="H901" s="13" t="s">
        <v>19</v>
      </c>
      <c r="I901" s="13">
        <v>6</v>
      </c>
      <c r="J901" s="13">
        <v>6</v>
      </c>
      <c r="K901" s="13">
        <v>0</v>
      </c>
      <c r="L901" s="13">
        <v>2.4</v>
      </c>
      <c r="M901" s="14">
        <f t="shared" si="43"/>
        <v>1</v>
      </c>
      <c r="N901" s="14">
        <f t="shared" si="44"/>
        <v>0</v>
      </c>
    </row>
    <row r="902" spans="1:14" x14ac:dyDescent="0.25">
      <c r="A902" s="9" t="s">
        <v>31</v>
      </c>
      <c r="B902" s="9">
        <f t="shared" si="42"/>
        <v>45139</v>
      </c>
      <c r="C902" s="9" t="str">
        <f>TEXT('Cleaned Datasets'!$B902,"MMMM")</f>
        <v>August</v>
      </c>
      <c r="D902" s="10" t="s">
        <v>56</v>
      </c>
      <c r="E902" s="10" t="s">
        <v>62</v>
      </c>
      <c r="F902" s="10" t="s">
        <v>26</v>
      </c>
      <c r="G902" s="10" t="s">
        <v>30</v>
      </c>
      <c r="H902" s="10" t="s">
        <v>15</v>
      </c>
      <c r="I902" s="10">
        <v>4</v>
      </c>
      <c r="J902" s="10">
        <v>4</v>
      </c>
      <c r="K902" s="10">
        <v>1</v>
      </c>
      <c r="L902" s="10">
        <v>4.5</v>
      </c>
      <c r="M902" s="11">
        <f t="shared" si="43"/>
        <v>1</v>
      </c>
      <c r="N902" s="11">
        <f t="shared" si="44"/>
        <v>0.25</v>
      </c>
    </row>
    <row r="903" spans="1:14" x14ac:dyDescent="0.25">
      <c r="A903" s="12" t="s">
        <v>36</v>
      </c>
      <c r="B903" s="12">
        <f t="shared" si="42"/>
        <v>44986</v>
      </c>
      <c r="C903" s="12" t="str">
        <f>TEXT('Cleaned Datasets'!$B903,"MMMM")</f>
        <v>March</v>
      </c>
      <c r="D903" s="13" t="s">
        <v>16</v>
      </c>
      <c r="E903" s="13" t="s">
        <v>60</v>
      </c>
      <c r="F903" s="13" t="s">
        <v>32</v>
      </c>
      <c r="G903" s="13" t="s">
        <v>53</v>
      </c>
      <c r="H903" s="13" t="s">
        <v>15</v>
      </c>
      <c r="I903" s="13">
        <v>2</v>
      </c>
      <c r="J903" s="13">
        <v>2</v>
      </c>
      <c r="K903" s="13">
        <v>0</v>
      </c>
      <c r="L903" s="13">
        <v>1.9</v>
      </c>
      <c r="M903" s="14">
        <f t="shared" si="43"/>
        <v>1</v>
      </c>
      <c r="N903" s="14">
        <f t="shared" si="44"/>
        <v>0</v>
      </c>
    </row>
    <row r="904" spans="1:14" x14ac:dyDescent="0.25">
      <c r="A904" s="9" t="s">
        <v>20</v>
      </c>
      <c r="B904" s="9">
        <f t="shared" si="42"/>
        <v>45078</v>
      </c>
      <c r="C904" s="9" t="str">
        <f>TEXT('Cleaned Datasets'!$B904,"MMMM")</f>
        <v>June</v>
      </c>
      <c r="D904" s="10" t="s">
        <v>28</v>
      </c>
      <c r="E904" s="10" t="s">
        <v>58</v>
      </c>
      <c r="F904" s="10" t="s">
        <v>26</v>
      </c>
      <c r="G904" s="10" t="s">
        <v>30</v>
      </c>
      <c r="H904" s="10" t="s">
        <v>19</v>
      </c>
      <c r="I904" s="10">
        <v>2</v>
      </c>
      <c r="J904" s="10">
        <v>2</v>
      </c>
      <c r="K904" s="10">
        <v>0</v>
      </c>
      <c r="L904" s="10">
        <v>5.9</v>
      </c>
      <c r="M904" s="11">
        <f t="shared" si="43"/>
        <v>1</v>
      </c>
      <c r="N904" s="11">
        <f t="shared" si="44"/>
        <v>0</v>
      </c>
    </row>
    <row r="905" spans="1:14" x14ac:dyDescent="0.25">
      <c r="A905" s="12" t="s">
        <v>45</v>
      </c>
      <c r="B905" s="12">
        <f t="shared" si="42"/>
        <v>45047</v>
      </c>
      <c r="C905" s="12" t="str">
        <f>TEXT('Cleaned Datasets'!$B905,"MMMM")</f>
        <v>May</v>
      </c>
      <c r="D905" s="13" t="s">
        <v>34</v>
      </c>
      <c r="E905" s="13" t="s">
        <v>35</v>
      </c>
      <c r="F905" s="13" t="s">
        <v>26</v>
      </c>
      <c r="G905" s="13" t="s">
        <v>18</v>
      </c>
      <c r="H905" s="13" t="s">
        <v>15</v>
      </c>
      <c r="I905" s="13">
        <v>5</v>
      </c>
      <c r="J905" s="13">
        <v>4</v>
      </c>
      <c r="K905" s="13">
        <v>0</v>
      </c>
      <c r="L905" s="13">
        <v>3.3</v>
      </c>
      <c r="M905" s="14">
        <f t="shared" si="43"/>
        <v>0.8</v>
      </c>
      <c r="N905" s="14">
        <f t="shared" si="44"/>
        <v>0</v>
      </c>
    </row>
    <row r="906" spans="1:14" x14ac:dyDescent="0.25">
      <c r="A906" s="9" t="s">
        <v>20</v>
      </c>
      <c r="B906" s="9">
        <f t="shared" si="42"/>
        <v>45078</v>
      </c>
      <c r="C906" s="9" t="str">
        <f>TEXT('Cleaned Datasets'!$B906,"MMMM")</f>
        <v>June</v>
      </c>
      <c r="D906" s="10" t="s">
        <v>16</v>
      </c>
      <c r="E906" s="10" t="s">
        <v>17</v>
      </c>
      <c r="F906" s="10" t="s">
        <v>21</v>
      </c>
      <c r="G906" s="10" t="s">
        <v>53</v>
      </c>
      <c r="H906" s="10" t="s">
        <v>19</v>
      </c>
      <c r="I906" s="10">
        <v>5</v>
      </c>
      <c r="J906" s="10">
        <v>5</v>
      </c>
      <c r="K906" s="10">
        <v>1</v>
      </c>
      <c r="L906" s="10">
        <v>2.1</v>
      </c>
      <c r="M906" s="11">
        <f t="shared" si="43"/>
        <v>1</v>
      </c>
      <c r="N906" s="11">
        <f t="shared" si="44"/>
        <v>0.2</v>
      </c>
    </row>
    <row r="907" spans="1:14" x14ac:dyDescent="0.25">
      <c r="A907" s="12" t="s">
        <v>36</v>
      </c>
      <c r="B907" s="12">
        <f t="shared" si="42"/>
        <v>44986</v>
      </c>
      <c r="C907" s="12" t="str">
        <f>TEXT('Cleaned Datasets'!$B907,"MMMM")</f>
        <v>March</v>
      </c>
      <c r="D907" s="13" t="s">
        <v>41</v>
      </c>
      <c r="E907" s="13" t="s">
        <v>44</v>
      </c>
      <c r="F907" s="13" t="s">
        <v>26</v>
      </c>
      <c r="G907" s="13" t="s">
        <v>22</v>
      </c>
      <c r="H907" s="13" t="s">
        <v>19</v>
      </c>
      <c r="I907" s="13">
        <v>7</v>
      </c>
      <c r="J907" s="13">
        <v>7</v>
      </c>
      <c r="K907" s="13">
        <v>0</v>
      </c>
      <c r="L907" s="13">
        <v>3.2</v>
      </c>
      <c r="M907" s="14">
        <f t="shared" si="43"/>
        <v>1</v>
      </c>
      <c r="N907" s="14">
        <f t="shared" si="44"/>
        <v>0</v>
      </c>
    </row>
    <row r="908" spans="1:14" x14ac:dyDescent="0.25">
      <c r="A908" s="9" t="s">
        <v>59</v>
      </c>
      <c r="B908" s="9">
        <f t="shared" si="42"/>
        <v>45170</v>
      </c>
      <c r="C908" s="9" t="str">
        <f>TEXT('Cleaned Datasets'!$B908,"MMMM")</f>
        <v>September</v>
      </c>
      <c r="D908" s="10" t="s">
        <v>37</v>
      </c>
      <c r="E908" s="10" t="s">
        <v>39</v>
      </c>
      <c r="F908" s="10" t="s">
        <v>21</v>
      </c>
      <c r="G908" s="10" t="s">
        <v>27</v>
      </c>
      <c r="H908" s="10" t="s">
        <v>19</v>
      </c>
      <c r="I908" s="10">
        <v>7</v>
      </c>
      <c r="J908" s="10">
        <v>6</v>
      </c>
      <c r="K908" s="10">
        <v>0</v>
      </c>
      <c r="L908" s="10">
        <v>2.6</v>
      </c>
      <c r="M908" s="11">
        <f t="shared" si="43"/>
        <v>0.8571428571428571</v>
      </c>
      <c r="N908" s="11">
        <f t="shared" si="44"/>
        <v>0</v>
      </c>
    </row>
    <row r="909" spans="1:14" x14ac:dyDescent="0.25">
      <c r="A909" s="12" t="s">
        <v>36</v>
      </c>
      <c r="B909" s="12">
        <f t="shared" si="42"/>
        <v>44986</v>
      </c>
      <c r="C909" s="12" t="str">
        <f>TEXT('Cleaned Datasets'!$B909,"MMMM")</f>
        <v>March</v>
      </c>
      <c r="D909" s="13" t="s">
        <v>34</v>
      </c>
      <c r="E909" s="13" t="s">
        <v>51</v>
      </c>
      <c r="F909" s="13" t="s">
        <v>32</v>
      </c>
      <c r="G909" s="13" t="s">
        <v>22</v>
      </c>
      <c r="H909" s="13" t="s">
        <v>19</v>
      </c>
      <c r="I909" s="13">
        <v>5</v>
      </c>
      <c r="J909" s="13">
        <v>5</v>
      </c>
      <c r="K909" s="13">
        <v>1</v>
      </c>
      <c r="L909" s="13">
        <v>3.6</v>
      </c>
      <c r="M909" s="14">
        <f t="shared" si="43"/>
        <v>1</v>
      </c>
      <c r="N909" s="14">
        <f t="shared" si="44"/>
        <v>0.2</v>
      </c>
    </row>
    <row r="910" spans="1:14" x14ac:dyDescent="0.25">
      <c r="A910" s="9" t="s">
        <v>61</v>
      </c>
      <c r="B910" s="9">
        <f t="shared" si="42"/>
        <v>45231</v>
      </c>
      <c r="C910" s="9" t="str">
        <f>TEXT('Cleaned Datasets'!$B910,"MMMM")</f>
        <v>November</v>
      </c>
      <c r="D910" s="10" t="s">
        <v>37</v>
      </c>
      <c r="E910" s="10" t="s">
        <v>38</v>
      </c>
      <c r="F910" s="10" t="s">
        <v>13</v>
      </c>
      <c r="G910" s="10" t="s">
        <v>22</v>
      </c>
      <c r="H910" s="10" t="s">
        <v>19</v>
      </c>
      <c r="I910" s="10">
        <v>2</v>
      </c>
      <c r="J910" s="10">
        <v>2</v>
      </c>
      <c r="K910" s="10">
        <v>0</v>
      </c>
      <c r="L910" s="10">
        <v>2.2000000000000002</v>
      </c>
      <c r="M910" s="11">
        <f t="shared" si="43"/>
        <v>1</v>
      </c>
      <c r="N910" s="11">
        <f t="shared" si="44"/>
        <v>0</v>
      </c>
    </row>
    <row r="911" spans="1:14" x14ac:dyDescent="0.25">
      <c r="A911" s="12" t="s">
        <v>55</v>
      </c>
      <c r="B911" s="12">
        <f t="shared" si="42"/>
        <v>45261</v>
      </c>
      <c r="C911" s="12" t="str">
        <f>TEXT('Cleaned Datasets'!$B911,"MMMM")</f>
        <v>December</v>
      </c>
      <c r="D911" s="13" t="s">
        <v>16</v>
      </c>
      <c r="E911" s="13" t="s">
        <v>17</v>
      </c>
      <c r="F911" s="13" t="s">
        <v>13</v>
      </c>
      <c r="G911" s="13" t="s">
        <v>18</v>
      </c>
      <c r="H911" s="13" t="s">
        <v>15</v>
      </c>
      <c r="I911" s="13">
        <v>5</v>
      </c>
      <c r="J911" s="13">
        <v>5</v>
      </c>
      <c r="K911" s="13">
        <v>0</v>
      </c>
      <c r="L911" s="13">
        <v>2.7</v>
      </c>
      <c r="M911" s="14">
        <f t="shared" si="43"/>
        <v>1</v>
      </c>
      <c r="N911" s="14">
        <f t="shared" si="44"/>
        <v>0</v>
      </c>
    </row>
    <row r="912" spans="1:14" x14ac:dyDescent="0.25">
      <c r="A912" s="9" t="s">
        <v>10</v>
      </c>
      <c r="B912" s="9">
        <f t="shared" si="42"/>
        <v>45017</v>
      </c>
      <c r="C912" s="9" t="str">
        <f>TEXT('Cleaned Datasets'!$B912,"MMMM")</f>
        <v>April</v>
      </c>
      <c r="D912" s="10" t="s">
        <v>48</v>
      </c>
      <c r="E912" s="10" t="s">
        <v>63</v>
      </c>
      <c r="F912" s="10" t="s">
        <v>32</v>
      </c>
      <c r="G912" s="10" t="s">
        <v>18</v>
      </c>
      <c r="H912" s="10" t="s">
        <v>19</v>
      </c>
      <c r="I912" s="10">
        <v>7</v>
      </c>
      <c r="J912" s="10">
        <v>7</v>
      </c>
      <c r="K912" s="10">
        <v>0</v>
      </c>
      <c r="L912" s="10">
        <v>3.6</v>
      </c>
      <c r="M912" s="11">
        <f t="shared" si="43"/>
        <v>1</v>
      </c>
      <c r="N912" s="11">
        <f t="shared" si="44"/>
        <v>0</v>
      </c>
    </row>
    <row r="913" spans="1:14" x14ac:dyDescent="0.25">
      <c r="A913" s="12" t="s">
        <v>36</v>
      </c>
      <c r="B913" s="12">
        <f t="shared" si="42"/>
        <v>44986</v>
      </c>
      <c r="C913" s="12" t="str">
        <f>TEXT('Cleaned Datasets'!$B913,"MMMM")</f>
        <v>March</v>
      </c>
      <c r="D913" s="13" t="s">
        <v>11</v>
      </c>
      <c r="E913" s="13" t="s">
        <v>12</v>
      </c>
      <c r="F913" s="13" t="s">
        <v>26</v>
      </c>
      <c r="G913" s="13" t="s">
        <v>18</v>
      </c>
      <c r="H913" s="13" t="s">
        <v>19</v>
      </c>
      <c r="I913" s="13">
        <v>5</v>
      </c>
      <c r="J913" s="13">
        <v>4</v>
      </c>
      <c r="K913" s="13">
        <v>0</v>
      </c>
      <c r="L913" s="13">
        <v>3.5</v>
      </c>
      <c r="M913" s="14">
        <f t="shared" si="43"/>
        <v>0.8</v>
      </c>
      <c r="N913" s="14">
        <f t="shared" si="44"/>
        <v>0</v>
      </c>
    </row>
    <row r="914" spans="1:14" x14ac:dyDescent="0.25">
      <c r="A914" s="9" t="s">
        <v>61</v>
      </c>
      <c r="B914" s="9">
        <f t="shared" si="42"/>
        <v>45231</v>
      </c>
      <c r="C914" s="9" t="str">
        <f>TEXT('Cleaned Datasets'!$B914,"MMMM")</f>
        <v>November</v>
      </c>
      <c r="D914" s="10" t="s">
        <v>11</v>
      </c>
      <c r="E914" s="10" t="s">
        <v>52</v>
      </c>
      <c r="F914" s="10" t="s">
        <v>13</v>
      </c>
      <c r="G914" s="10" t="s">
        <v>22</v>
      </c>
      <c r="H914" s="10" t="s">
        <v>15</v>
      </c>
      <c r="I914" s="10">
        <v>2</v>
      </c>
      <c r="J914" s="10">
        <v>2</v>
      </c>
      <c r="K914" s="10">
        <v>0</v>
      </c>
      <c r="L914" s="10">
        <v>-0.3</v>
      </c>
      <c r="M914" s="11">
        <f t="shared" si="43"/>
        <v>1</v>
      </c>
      <c r="N914" s="11">
        <f t="shared" si="44"/>
        <v>0</v>
      </c>
    </row>
    <row r="915" spans="1:14" x14ac:dyDescent="0.25">
      <c r="A915" s="12" t="s">
        <v>61</v>
      </c>
      <c r="B915" s="12">
        <f t="shared" si="42"/>
        <v>45231</v>
      </c>
      <c r="C915" s="12" t="str">
        <f>TEXT('Cleaned Datasets'!$B915,"MMMM")</f>
        <v>November</v>
      </c>
      <c r="D915" s="13" t="s">
        <v>48</v>
      </c>
      <c r="E915" s="13" t="s">
        <v>63</v>
      </c>
      <c r="F915" s="13" t="s">
        <v>21</v>
      </c>
      <c r="G915" s="13" t="s">
        <v>22</v>
      </c>
      <c r="H915" s="13" t="s">
        <v>15</v>
      </c>
      <c r="I915" s="13">
        <v>2</v>
      </c>
      <c r="J915" s="13">
        <v>2</v>
      </c>
      <c r="K915" s="13">
        <v>0</v>
      </c>
      <c r="L915" s="13">
        <v>4.2</v>
      </c>
      <c r="M915" s="14">
        <f t="shared" si="43"/>
        <v>1</v>
      </c>
      <c r="N915" s="14">
        <f t="shared" si="44"/>
        <v>0</v>
      </c>
    </row>
    <row r="916" spans="1:14" x14ac:dyDescent="0.25">
      <c r="A916" s="9" t="s">
        <v>10</v>
      </c>
      <c r="B916" s="9">
        <f t="shared" si="42"/>
        <v>45017</v>
      </c>
      <c r="C916" s="9" t="str">
        <f>TEXT('Cleaned Datasets'!$B916,"MMMM")</f>
        <v>April</v>
      </c>
      <c r="D916" s="10" t="s">
        <v>16</v>
      </c>
      <c r="E916" s="10" t="s">
        <v>17</v>
      </c>
      <c r="F916" s="10" t="s">
        <v>32</v>
      </c>
      <c r="G916" s="10" t="s">
        <v>22</v>
      </c>
      <c r="H916" s="10" t="s">
        <v>15</v>
      </c>
      <c r="I916" s="10">
        <v>6</v>
      </c>
      <c r="J916" s="10">
        <v>6</v>
      </c>
      <c r="K916" s="10">
        <v>0</v>
      </c>
      <c r="L916" s="10">
        <v>2.9</v>
      </c>
      <c r="M916" s="11">
        <f t="shared" si="43"/>
        <v>1</v>
      </c>
      <c r="N916" s="11">
        <f t="shared" si="44"/>
        <v>0</v>
      </c>
    </row>
    <row r="917" spans="1:14" x14ac:dyDescent="0.25">
      <c r="A917" s="12" t="s">
        <v>36</v>
      </c>
      <c r="B917" s="12">
        <f t="shared" si="42"/>
        <v>44986</v>
      </c>
      <c r="C917" s="12" t="str">
        <f>TEXT('Cleaned Datasets'!$B917,"MMMM")</f>
        <v>March</v>
      </c>
      <c r="D917" s="13" t="s">
        <v>16</v>
      </c>
      <c r="E917" s="13" t="s">
        <v>17</v>
      </c>
      <c r="F917" s="13" t="s">
        <v>21</v>
      </c>
      <c r="G917" s="13" t="s">
        <v>18</v>
      </c>
      <c r="H917" s="13" t="s">
        <v>15</v>
      </c>
      <c r="I917" s="13">
        <v>11</v>
      </c>
      <c r="J917" s="13">
        <v>9</v>
      </c>
      <c r="K917" s="13">
        <v>1</v>
      </c>
      <c r="L917" s="13">
        <v>3.1</v>
      </c>
      <c r="M917" s="14">
        <f t="shared" si="43"/>
        <v>0.81818181818181823</v>
      </c>
      <c r="N917" s="14">
        <f t="shared" si="44"/>
        <v>9.0909090909090912E-2</v>
      </c>
    </row>
    <row r="918" spans="1:14" x14ac:dyDescent="0.25">
      <c r="A918" s="9" t="s">
        <v>43</v>
      </c>
      <c r="B918" s="9">
        <f t="shared" si="42"/>
        <v>44958</v>
      </c>
      <c r="C918" s="9" t="str">
        <f>TEXT('Cleaned Datasets'!$B918,"MMMM")</f>
        <v>February</v>
      </c>
      <c r="D918" s="10" t="s">
        <v>34</v>
      </c>
      <c r="E918" s="10" t="s">
        <v>51</v>
      </c>
      <c r="F918" s="10" t="s">
        <v>13</v>
      </c>
      <c r="G918" s="10" t="s">
        <v>18</v>
      </c>
      <c r="H918" s="10" t="s">
        <v>19</v>
      </c>
      <c r="I918" s="10">
        <v>6</v>
      </c>
      <c r="J918" s="10">
        <v>6</v>
      </c>
      <c r="K918" s="10">
        <v>0</v>
      </c>
      <c r="L918" s="10">
        <v>3.2</v>
      </c>
      <c r="M918" s="11">
        <f t="shared" si="43"/>
        <v>1</v>
      </c>
      <c r="N918" s="11">
        <f t="shared" si="44"/>
        <v>0</v>
      </c>
    </row>
    <row r="919" spans="1:14" x14ac:dyDescent="0.25">
      <c r="A919" s="12" t="s">
        <v>33</v>
      </c>
      <c r="B919" s="12">
        <f t="shared" si="42"/>
        <v>44927</v>
      </c>
      <c r="C919" s="12" t="str">
        <f>TEXT('Cleaned Datasets'!$B919,"MMMM")</f>
        <v>January</v>
      </c>
      <c r="D919" s="13" t="s">
        <v>37</v>
      </c>
      <c r="E919" s="13" t="s">
        <v>39</v>
      </c>
      <c r="F919" s="13" t="s">
        <v>32</v>
      </c>
      <c r="G919" s="13" t="s">
        <v>53</v>
      </c>
      <c r="H919" s="13" t="s">
        <v>19</v>
      </c>
      <c r="I919" s="13">
        <v>4</v>
      </c>
      <c r="J919" s="13">
        <v>4</v>
      </c>
      <c r="K919" s="13">
        <v>0</v>
      </c>
      <c r="L919" s="13">
        <v>4.2</v>
      </c>
      <c r="M919" s="14">
        <f t="shared" si="43"/>
        <v>1</v>
      </c>
      <c r="N919" s="14">
        <f t="shared" si="44"/>
        <v>0</v>
      </c>
    </row>
    <row r="920" spans="1:14" x14ac:dyDescent="0.25">
      <c r="A920" s="9" t="s">
        <v>50</v>
      </c>
      <c r="B920" s="9">
        <f t="shared" si="42"/>
        <v>45108</v>
      </c>
      <c r="C920" s="9" t="str">
        <f>TEXT('Cleaned Datasets'!$B920,"MMMM")</f>
        <v>July</v>
      </c>
      <c r="D920" s="10" t="s">
        <v>37</v>
      </c>
      <c r="E920" s="10" t="s">
        <v>39</v>
      </c>
      <c r="F920" s="10" t="s">
        <v>32</v>
      </c>
      <c r="G920" s="10" t="s">
        <v>30</v>
      </c>
      <c r="H920" s="10" t="s">
        <v>19</v>
      </c>
      <c r="I920" s="10">
        <v>4</v>
      </c>
      <c r="J920" s="10">
        <v>4</v>
      </c>
      <c r="K920" s="10">
        <v>0</v>
      </c>
      <c r="L920" s="10">
        <v>2.1</v>
      </c>
      <c r="M920" s="11">
        <f t="shared" si="43"/>
        <v>1</v>
      </c>
      <c r="N920" s="11">
        <f t="shared" si="44"/>
        <v>0</v>
      </c>
    </row>
    <row r="921" spans="1:14" x14ac:dyDescent="0.25">
      <c r="A921" s="12" t="s">
        <v>20</v>
      </c>
      <c r="B921" s="12">
        <f t="shared" si="42"/>
        <v>45078</v>
      </c>
      <c r="C921" s="12" t="str">
        <f>TEXT('Cleaned Datasets'!$B921,"MMMM")</f>
        <v>June</v>
      </c>
      <c r="D921" s="13" t="s">
        <v>41</v>
      </c>
      <c r="E921" s="13" t="s">
        <v>42</v>
      </c>
      <c r="F921" s="13" t="s">
        <v>40</v>
      </c>
      <c r="G921" s="13" t="s">
        <v>30</v>
      </c>
      <c r="H921" s="13" t="s">
        <v>19</v>
      </c>
      <c r="I921" s="13">
        <v>5</v>
      </c>
      <c r="J921" s="13">
        <v>5</v>
      </c>
      <c r="K921" s="13">
        <v>0</v>
      </c>
      <c r="L921" s="13">
        <v>3.3</v>
      </c>
      <c r="M921" s="14">
        <f t="shared" si="43"/>
        <v>1</v>
      </c>
      <c r="N921" s="14">
        <f t="shared" si="44"/>
        <v>0</v>
      </c>
    </row>
    <row r="922" spans="1:14" x14ac:dyDescent="0.25">
      <c r="A922" s="9" t="s">
        <v>61</v>
      </c>
      <c r="B922" s="9">
        <f t="shared" si="42"/>
        <v>45231</v>
      </c>
      <c r="C922" s="9" t="str">
        <f>TEXT('Cleaned Datasets'!$B922,"MMMM")</f>
        <v>November</v>
      </c>
      <c r="D922" s="10" t="s">
        <v>37</v>
      </c>
      <c r="E922" s="10" t="s">
        <v>38</v>
      </c>
      <c r="F922" s="10" t="s">
        <v>21</v>
      </c>
      <c r="G922" s="10" t="s">
        <v>27</v>
      </c>
      <c r="H922" s="10" t="s">
        <v>15</v>
      </c>
      <c r="I922" s="10">
        <v>6</v>
      </c>
      <c r="J922" s="10">
        <v>6</v>
      </c>
      <c r="K922" s="10">
        <v>2</v>
      </c>
      <c r="L922" s="10">
        <v>4</v>
      </c>
      <c r="M922" s="11">
        <f t="shared" si="43"/>
        <v>1</v>
      </c>
      <c r="N922" s="11">
        <f t="shared" si="44"/>
        <v>0.33333333333333331</v>
      </c>
    </row>
    <row r="923" spans="1:14" x14ac:dyDescent="0.25">
      <c r="A923" s="12" t="s">
        <v>43</v>
      </c>
      <c r="B923" s="12">
        <f t="shared" si="42"/>
        <v>44958</v>
      </c>
      <c r="C923" s="12" t="str">
        <f>TEXT('Cleaned Datasets'!$B923,"MMMM")</f>
        <v>February</v>
      </c>
      <c r="D923" s="13" t="s">
        <v>37</v>
      </c>
      <c r="E923" s="13" t="s">
        <v>39</v>
      </c>
      <c r="F923" s="13" t="s">
        <v>13</v>
      </c>
      <c r="G923" s="13" t="s">
        <v>14</v>
      </c>
      <c r="H923" s="13" t="s">
        <v>15</v>
      </c>
      <c r="I923" s="13">
        <v>2</v>
      </c>
      <c r="J923" s="13">
        <v>1</v>
      </c>
      <c r="K923" s="13">
        <v>0</v>
      </c>
      <c r="L923" s="13">
        <v>1.3</v>
      </c>
      <c r="M923" s="14">
        <f t="shared" si="43"/>
        <v>0.5</v>
      </c>
      <c r="N923" s="14">
        <f t="shared" si="44"/>
        <v>0</v>
      </c>
    </row>
    <row r="924" spans="1:14" x14ac:dyDescent="0.25">
      <c r="A924" s="9" t="s">
        <v>61</v>
      </c>
      <c r="B924" s="9">
        <f t="shared" si="42"/>
        <v>45231</v>
      </c>
      <c r="C924" s="9" t="str">
        <f>TEXT('Cleaned Datasets'!$B924,"MMMM")</f>
        <v>November</v>
      </c>
      <c r="D924" s="10" t="s">
        <v>28</v>
      </c>
      <c r="E924" s="10" t="s">
        <v>29</v>
      </c>
      <c r="F924" s="10" t="s">
        <v>22</v>
      </c>
      <c r="G924" s="10" t="s">
        <v>18</v>
      </c>
      <c r="H924" s="10" t="s">
        <v>15</v>
      </c>
      <c r="I924" s="10">
        <v>11</v>
      </c>
      <c r="J924" s="10">
        <v>11</v>
      </c>
      <c r="K924" s="10">
        <v>0</v>
      </c>
      <c r="L924" s="10">
        <v>0.6</v>
      </c>
      <c r="M924" s="11">
        <f t="shared" si="43"/>
        <v>1</v>
      </c>
      <c r="N924" s="11">
        <f t="shared" si="44"/>
        <v>0</v>
      </c>
    </row>
    <row r="925" spans="1:14" x14ac:dyDescent="0.25">
      <c r="A925" s="12" t="s">
        <v>55</v>
      </c>
      <c r="B925" s="12">
        <f t="shared" si="42"/>
        <v>45261</v>
      </c>
      <c r="C925" s="12" t="str">
        <f>TEXT('Cleaned Datasets'!$B925,"MMMM")</f>
        <v>December</v>
      </c>
      <c r="D925" s="13" t="s">
        <v>41</v>
      </c>
      <c r="E925" s="13" t="s">
        <v>42</v>
      </c>
      <c r="F925" s="13" t="s">
        <v>26</v>
      </c>
      <c r="G925" s="13" t="s">
        <v>30</v>
      </c>
      <c r="H925" s="13" t="s">
        <v>19</v>
      </c>
      <c r="I925" s="13">
        <v>5</v>
      </c>
      <c r="J925" s="13">
        <v>4</v>
      </c>
      <c r="K925" s="13">
        <v>0</v>
      </c>
      <c r="L925" s="13">
        <v>3.2</v>
      </c>
      <c r="M925" s="14">
        <f t="shared" si="43"/>
        <v>0.8</v>
      </c>
      <c r="N925" s="14">
        <f t="shared" si="44"/>
        <v>0</v>
      </c>
    </row>
    <row r="926" spans="1:14" x14ac:dyDescent="0.25">
      <c r="A926" s="9" t="s">
        <v>23</v>
      </c>
      <c r="B926" s="9">
        <f t="shared" si="42"/>
        <v>45200</v>
      </c>
      <c r="C926" s="9" t="str">
        <f>TEXT('Cleaned Datasets'!$B926,"MMMM")</f>
        <v>October</v>
      </c>
      <c r="D926" s="10" t="s">
        <v>34</v>
      </c>
      <c r="E926" s="10" t="s">
        <v>35</v>
      </c>
      <c r="F926" s="10" t="s">
        <v>32</v>
      </c>
      <c r="G926" s="10" t="s">
        <v>22</v>
      </c>
      <c r="H926" s="10" t="s">
        <v>15</v>
      </c>
      <c r="I926" s="10">
        <v>4</v>
      </c>
      <c r="J926" s="10">
        <v>4</v>
      </c>
      <c r="K926" s="10">
        <v>0</v>
      </c>
      <c r="L926" s="10">
        <v>2.2999999999999998</v>
      </c>
      <c r="M926" s="11">
        <f t="shared" si="43"/>
        <v>1</v>
      </c>
      <c r="N926" s="11">
        <f t="shared" si="44"/>
        <v>0</v>
      </c>
    </row>
    <row r="927" spans="1:14" x14ac:dyDescent="0.25">
      <c r="A927" s="12" t="s">
        <v>50</v>
      </c>
      <c r="B927" s="12">
        <f t="shared" si="42"/>
        <v>45108</v>
      </c>
      <c r="C927" s="12" t="str">
        <f>TEXT('Cleaned Datasets'!$B927,"MMMM")</f>
        <v>July</v>
      </c>
      <c r="D927" s="13" t="s">
        <v>56</v>
      </c>
      <c r="E927" s="13" t="s">
        <v>57</v>
      </c>
      <c r="F927" s="13" t="s">
        <v>32</v>
      </c>
      <c r="G927" s="13" t="s">
        <v>53</v>
      </c>
      <c r="H927" s="13" t="s">
        <v>15</v>
      </c>
      <c r="I927" s="13">
        <v>4</v>
      </c>
      <c r="J927" s="13">
        <v>4</v>
      </c>
      <c r="K927" s="13">
        <v>1</v>
      </c>
      <c r="L927" s="13">
        <v>2.6</v>
      </c>
      <c r="M927" s="14">
        <f t="shared" si="43"/>
        <v>1</v>
      </c>
      <c r="N927" s="14">
        <f t="shared" si="44"/>
        <v>0.25</v>
      </c>
    </row>
    <row r="928" spans="1:14" x14ac:dyDescent="0.25">
      <c r="A928" s="9" t="s">
        <v>59</v>
      </c>
      <c r="B928" s="9">
        <f t="shared" si="42"/>
        <v>45170</v>
      </c>
      <c r="C928" s="9" t="str">
        <f>TEXT('Cleaned Datasets'!$B928,"MMMM")</f>
        <v>September</v>
      </c>
      <c r="D928" s="10" t="s">
        <v>24</v>
      </c>
      <c r="E928" s="10" t="s">
        <v>64</v>
      </c>
      <c r="F928" s="10" t="s">
        <v>32</v>
      </c>
      <c r="G928" s="10" t="s">
        <v>22</v>
      </c>
      <c r="H928" s="10" t="s">
        <v>15</v>
      </c>
      <c r="I928" s="10">
        <v>3</v>
      </c>
      <c r="J928" s="10">
        <v>3</v>
      </c>
      <c r="K928" s="10">
        <v>0</v>
      </c>
      <c r="L928" s="10">
        <v>2.1</v>
      </c>
      <c r="M928" s="11">
        <f t="shared" si="43"/>
        <v>1</v>
      </c>
      <c r="N928" s="11">
        <f t="shared" si="44"/>
        <v>0</v>
      </c>
    </row>
    <row r="929" spans="1:14" x14ac:dyDescent="0.25">
      <c r="A929" s="12" t="s">
        <v>10</v>
      </c>
      <c r="B929" s="12">
        <f t="shared" si="42"/>
        <v>45017</v>
      </c>
      <c r="C929" s="12" t="str">
        <f>TEXT('Cleaned Datasets'!$B929,"MMMM")</f>
        <v>April</v>
      </c>
      <c r="D929" s="13" t="s">
        <v>11</v>
      </c>
      <c r="E929" s="13" t="s">
        <v>12</v>
      </c>
      <c r="F929" s="13" t="s">
        <v>32</v>
      </c>
      <c r="G929" s="13" t="s">
        <v>14</v>
      </c>
      <c r="H929" s="13" t="s">
        <v>15</v>
      </c>
      <c r="I929" s="13">
        <v>6</v>
      </c>
      <c r="J929" s="13">
        <v>5</v>
      </c>
      <c r="K929" s="13">
        <v>0</v>
      </c>
      <c r="L929" s="13">
        <v>2.2999999999999998</v>
      </c>
      <c r="M929" s="14">
        <f t="shared" si="43"/>
        <v>0.83333333333333337</v>
      </c>
      <c r="N929" s="14">
        <f t="shared" si="44"/>
        <v>0</v>
      </c>
    </row>
    <row r="930" spans="1:14" x14ac:dyDescent="0.25">
      <c r="A930" s="9" t="s">
        <v>45</v>
      </c>
      <c r="B930" s="9">
        <f t="shared" si="42"/>
        <v>45047</v>
      </c>
      <c r="C930" s="9" t="str">
        <f>TEXT('Cleaned Datasets'!$B930,"MMMM")</f>
        <v>May</v>
      </c>
      <c r="D930" s="10" t="s">
        <v>56</v>
      </c>
      <c r="E930" s="10" t="s">
        <v>62</v>
      </c>
      <c r="F930" s="10" t="s">
        <v>40</v>
      </c>
      <c r="G930" s="10" t="s">
        <v>53</v>
      </c>
      <c r="H930" s="10" t="s">
        <v>15</v>
      </c>
      <c r="I930" s="10">
        <v>4</v>
      </c>
      <c r="J930" s="10">
        <v>4</v>
      </c>
      <c r="K930" s="10">
        <v>0</v>
      </c>
      <c r="L930" s="10">
        <v>2.9</v>
      </c>
      <c r="M930" s="11">
        <f t="shared" si="43"/>
        <v>1</v>
      </c>
      <c r="N930" s="11">
        <f t="shared" si="44"/>
        <v>0</v>
      </c>
    </row>
    <row r="931" spans="1:14" x14ac:dyDescent="0.25">
      <c r="A931" s="12" t="s">
        <v>43</v>
      </c>
      <c r="B931" s="12">
        <f t="shared" si="42"/>
        <v>44958</v>
      </c>
      <c r="C931" s="12" t="str">
        <f>TEXT('Cleaned Datasets'!$B931,"MMMM")</f>
        <v>February</v>
      </c>
      <c r="D931" s="13" t="s">
        <v>34</v>
      </c>
      <c r="E931" s="13" t="s">
        <v>35</v>
      </c>
      <c r="F931" s="13" t="s">
        <v>22</v>
      </c>
      <c r="G931" s="13" t="s">
        <v>18</v>
      </c>
      <c r="H931" s="13" t="s">
        <v>19</v>
      </c>
      <c r="I931" s="13">
        <v>8</v>
      </c>
      <c r="J931" s="13">
        <v>8</v>
      </c>
      <c r="K931" s="13">
        <v>0</v>
      </c>
      <c r="L931" s="13">
        <v>3.3</v>
      </c>
      <c r="M931" s="14">
        <f t="shared" si="43"/>
        <v>1</v>
      </c>
      <c r="N931" s="14">
        <f t="shared" si="44"/>
        <v>0</v>
      </c>
    </row>
    <row r="932" spans="1:14" x14ac:dyDescent="0.25">
      <c r="A932" s="9" t="s">
        <v>55</v>
      </c>
      <c r="B932" s="9">
        <f t="shared" si="42"/>
        <v>45261</v>
      </c>
      <c r="C932" s="9" t="str">
        <f>TEXT('Cleaned Datasets'!$B932,"MMMM")</f>
        <v>December</v>
      </c>
      <c r="D932" s="10" t="s">
        <v>34</v>
      </c>
      <c r="E932" s="10" t="s">
        <v>51</v>
      </c>
      <c r="F932" s="10" t="s">
        <v>40</v>
      </c>
      <c r="G932" s="10" t="s">
        <v>30</v>
      </c>
      <c r="H932" s="10" t="s">
        <v>15</v>
      </c>
      <c r="I932" s="10">
        <v>5</v>
      </c>
      <c r="J932" s="10">
        <v>4</v>
      </c>
      <c r="K932" s="10">
        <v>0</v>
      </c>
      <c r="L932" s="10">
        <v>3.1</v>
      </c>
      <c r="M932" s="11">
        <f t="shared" si="43"/>
        <v>0.8</v>
      </c>
      <c r="N932" s="11">
        <f t="shared" si="44"/>
        <v>0</v>
      </c>
    </row>
    <row r="933" spans="1:14" x14ac:dyDescent="0.25">
      <c r="A933" s="12" t="s">
        <v>59</v>
      </c>
      <c r="B933" s="12">
        <f t="shared" si="42"/>
        <v>45170</v>
      </c>
      <c r="C933" s="12" t="str">
        <f>TEXT('Cleaned Datasets'!$B933,"MMMM")</f>
        <v>September</v>
      </c>
      <c r="D933" s="13" t="s">
        <v>16</v>
      </c>
      <c r="E933" s="13" t="s">
        <v>60</v>
      </c>
      <c r="F933" s="13" t="s">
        <v>13</v>
      </c>
      <c r="G933" s="13" t="s">
        <v>14</v>
      </c>
      <c r="H933" s="13" t="s">
        <v>19</v>
      </c>
      <c r="I933" s="13">
        <v>5</v>
      </c>
      <c r="J933" s="13">
        <v>5</v>
      </c>
      <c r="K933" s="13">
        <v>1</v>
      </c>
      <c r="L933" s="13">
        <v>2.9</v>
      </c>
      <c r="M933" s="14">
        <f t="shared" si="43"/>
        <v>1</v>
      </c>
      <c r="N933" s="14">
        <f t="shared" si="44"/>
        <v>0.2</v>
      </c>
    </row>
    <row r="934" spans="1:14" x14ac:dyDescent="0.25">
      <c r="A934" s="9" t="s">
        <v>43</v>
      </c>
      <c r="B934" s="9">
        <f t="shared" si="42"/>
        <v>44958</v>
      </c>
      <c r="C934" s="9" t="str">
        <f>TEXT('Cleaned Datasets'!$B934,"MMMM")</f>
        <v>February</v>
      </c>
      <c r="D934" s="10" t="s">
        <v>34</v>
      </c>
      <c r="E934" s="10" t="s">
        <v>51</v>
      </c>
      <c r="F934" s="10" t="s">
        <v>32</v>
      </c>
      <c r="G934" s="10" t="s">
        <v>27</v>
      </c>
      <c r="H934" s="10" t="s">
        <v>19</v>
      </c>
      <c r="I934" s="10">
        <v>6</v>
      </c>
      <c r="J934" s="10">
        <v>6</v>
      </c>
      <c r="K934" s="10">
        <v>0</v>
      </c>
      <c r="L934" s="10">
        <v>1.2</v>
      </c>
      <c r="M934" s="11">
        <f t="shared" si="43"/>
        <v>1</v>
      </c>
      <c r="N934" s="11">
        <f t="shared" si="44"/>
        <v>0</v>
      </c>
    </row>
    <row r="935" spans="1:14" x14ac:dyDescent="0.25">
      <c r="A935" s="12" t="s">
        <v>45</v>
      </c>
      <c r="B935" s="12">
        <f t="shared" si="42"/>
        <v>45047</v>
      </c>
      <c r="C935" s="12" t="str">
        <f>TEXT('Cleaned Datasets'!$B935,"MMMM")</f>
        <v>May</v>
      </c>
      <c r="D935" s="13" t="s">
        <v>37</v>
      </c>
      <c r="E935" s="13" t="s">
        <v>39</v>
      </c>
      <c r="F935" s="13" t="s">
        <v>13</v>
      </c>
      <c r="G935" s="13" t="s">
        <v>30</v>
      </c>
      <c r="H935" s="13" t="s">
        <v>19</v>
      </c>
      <c r="I935" s="13">
        <v>4</v>
      </c>
      <c r="J935" s="13">
        <v>4</v>
      </c>
      <c r="K935" s="13">
        <v>1</v>
      </c>
      <c r="L935" s="13">
        <v>2.2999999999999998</v>
      </c>
      <c r="M935" s="14">
        <f t="shared" si="43"/>
        <v>1</v>
      </c>
      <c r="N935" s="14">
        <f t="shared" si="44"/>
        <v>0.25</v>
      </c>
    </row>
    <row r="936" spans="1:14" x14ac:dyDescent="0.25">
      <c r="A936" s="9" t="s">
        <v>45</v>
      </c>
      <c r="B936" s="9">
        <f t="shared" si="42"/>
        <v>45047</v>
      </c>
      <c r="C936" s="9" t="str">
        <f>TEXT('Cleaned Datasets'!$B936,"MMMM")</f>
        <v>May</v>
      </c>
      <c r="D936" s="10" t="s">
        <v>11</v>
      </c>
      <c r="E936" s="10" t="s">
        <v>52</v>
      </c>
      <c r="F936" s="10" t="s">
        <v>26</v>
      </c>
      <c r="G936" s="10" t="s">
        <v>22</v>
      </c>
      <c r="H936" s="10" t="s">
        <v>15</v>
      </c>
      <c r="I936" s="10">
        <v>5</v>
      </c>
      <c r="J936" s="10">
        <v>5</v>
      </c>
      <c r="K936" s="10">
        <v>1</v>
      </c>
      <c r="L936" s="10">
        <v>2.9</v>
      </c>
      <c r="M936" s="11">
        <f t="shared" si="43"/>
        <v>1</v>
      </c>
      <c r="N936" s="11">
        <f t="shared" si="44"/>
        <v>0.2</v>
      </c>
    </row>
    <row r="937" spans="1:14" x14ac:dyDescent="0.25">
      <c r="A937" s="12" t="s">
        <v>20</v>
      </c>
      <c r="B937" s="12">
        <f t="shared" si="42"/>
        <v>45078</v>
      </c>
      <c r="C937" s="12" t="str">
        <f>TEXT('Cleaned Datasets'!$B937,"MMMM")</f>
        <v>June</v>
      </c>
      <c r="D937" s="13" t="s">
        <v>37</v>
      </c>
      <c r="E937" s="13" t="s">
        <v>38</v>
      </c>
      <c r="F937" s="13" t="s">
        <v>40</v>
      </c>
      <c r="G937" s="13" t="s">
        <v>18</v>
      </c>
      <c r="H937" s="13" t="s">
        <v>19</v>
      </c>
      <c r="I937" s="13">
        <v>5</v>
      </c>
      <c r="J937" s="13">
        <v>5</v>
      </c>
      <c r="K937" s="13">
        <v>0</v>
      </c>
      <c r="L937" s="13">
        <v>3.8</v>
      </c>
      <c r="M937" s="14">
        <f t="shared" si="43"/>
        <v>1</v>
      </c>
      <c r="N937" s="14">
        <f t="shared" si="44"/>
        <v>0</v>
      </c>
    </row>
    <row r="938" spans="1:14" x14ac:dyDescent="0.25">
      <c r="A938" s="9" t="s">
        <v>59</v>
      </c>
      <c r="B938" s="9">
        <f t="shared" si="42"/>
        <v>45170</v>
      </c>
      <c r="C938" s="9" t="str">
        <f>TEXT('Cleaned Datasets'!$B938,"MMMM")</f>
        <v>September</v>
      </c>
      <c r="D938" s="10" t="s">
        <v>34</v>
      </c>
      <c r="E938" s="10" t="s">
        <v>35</v>
      </c>
      <c r="F938" s="10" t="s">
        <v>40</v>
      </c>
      <c r="G938" s="10" t="s">
        <v>14</v>
      </c>
      <c r="H938" s="10" t="s">
        <v>19</v>
      </c>
      <c r="I938" s="10">
        <v>4</v>
      </c>
      <c r="J938" s="10">
        <v>4</v>
      </c>
      <c r="K938" s="10">
        <v>0</v>
      </c>
      <c r="L938" s="10">
        <v>1</v>
      </c>
      <c r="M938" s="11">
        <f t="shared" si="43"/>
        <v>1</v>
      </c>
      <c r="N938" s="11">
        <f t="shared" si="44"/>
        <v>0</v>
      </c>
    </row>
    <row r="939" spans="1:14" x14ac:dyDescent="0.25">
      <c r="A939" s="12" t="s">
        <v>59</v>
      </c>
      <c r="B939" s="12">
        <f t="shared" si="42"/>
        <v>45170</v>
      </c>
      <c r="C939" s="12" t="str">
        <f>TEXT('Cleaned Datasets'!$B939,"MMMM")</f>
        <v>September</v>
      </c>
      <c r="D939" s="13" t="s">
        <v>16</v>
      </c>
      <c r="E939" s="13" t="s">
        <v>60</v>
      </c>
      <c r="F939" s="13" t="s">
        <v>40</v>
      </c>
      <c r="G939" s="13" t="s">
        <v>30</v>
      </c>
      <c r="H939" s="13" t="s">
        <v>15</v>
      </c>
      <c r="I939" s="13">
        <v>8</v>
      </c>
      <c r="J939" s="13">
        <v>7</v>
      </c>
      <c r="K939" s="13">
        <v>1</v>
      </c>
      <c r="L939" s="13">
        <v>3.5</v>
      </c>
      <c r="M939" s="14">
        <f t="shared" si="43"/>
        <v>0.875</v>
      </c>
      <c r="N939" s="14">
        <f t="shared" si="44"/>
        <v>0.125</v>
      </c>
    </row>
    <row r="940" spans="1:14" x14ac:dyDescent="0.25">
      <c r="A940" s="9" t="s">
        <v>31</v>
      </c>
      <c r="B940" s="9">
        <f t="shared" si="42"/>
        <v>45139</v>
      </c>
      <c r="C940" s="9" t="str">
        <f>TEXT('Cleaned Datasets'!$B940,"MMMM")</f>
        <v>August</v>
      </c>
      <c r="D940" s="10" t="s">
        <v>34</v>
      </c>
      <c r="E940" s="10" t="s">
        <v>51</v>
      </c>
      <c r="F940" s="10" t="s">
        <v>22</v>
      </c>
      <c r="G940" s="10" t="s">
        <v>18</v>
      </c>
      <c r="H940" s="10" t="s">
        <v>15</v>
      </c>
      <c r="I940" s="10">
        <v>4</v>
      </c>
      <c r="J940" s="10">
        <v>4</v>
      </c>
      <c r="K940" s="10">
        <v>0</v>
      </c>
      <c r="L940" s="10">
        <v>4.7</v>
      </c>
      <c r="M940" s="11">
        <f t="shared" si="43"/>
        <v>1</v>
      </c>
      <c r="N940" s="11">
        <f t="shared" si="44"/>
        <v>0</v>
      </c>
    </row>
    <row r="941" spans="1:14" x14ac:dyDescent="0.25">
      <c r="A941" s="12" t="s">
        <v>20</v>
      </c>
      <c r="B941" s="12">
        <f t="shared" si="42"/>
        <v>45078</v>
      </c>
      <c r="C941" s="12" t="str">
        <f>TEXT('Cleaned Datasets'!$B941,"MMMM")</f>
        <v>June</v>
      </c>
      <c r="D941" s="13" t="s">
        <v>28</v>
      </c>
      <c r="E941" s="13" t="s">
        <v>58</v>
      </c>
      <c r="F941" s="13" t="s">
        <v>32</v>
      </c>
      <c r="G941" s="13" t="s">
        <v>30</v>
      </c>
      <c r="H941" s="13" t="s">
        <v>19</v>
      </c>
      <c r="I941" s="13">
        <v>4</v>
      </c>
      <c r="J941" s="13">
        <v>3</v>
      </c>
      <c r="K941" s="13">
        <v>0</v>
      </c>
      <c r="L941" s="13">
        <v>2.1</v>
      </c>
      <c r="M941" s="14">
        <f t="shared" si="43"/>
        <v>0.75</v>
      </c>
      <c r="N941" s="14">
        <f t="shared" si="44"/>
        <v>0</v>
      </c>
    </row>
    <row r="942" spans="1:14" x14ac:dyDescent="0.25">
      <c r="A942" s="9" t="s">
        <v>50</v>
      </c>
      <c r="B942" s="9">
        <f t="shared" si="42"/>
        <v>45108</v>
      </c>
      <c r="C942" s="9" t="str">
        <f>TEXT('Cleaned Datasets'!$B942,"MMMM")</f>
        <v>July</v>
      </c>
      <c r="D942" s="10" t="s">
        <v>37</v>
      </c>
      <c r="E942" s="10" t="s">
        <v>39</v>
      </c>
      <c r="F942" s="10" t="s">
        <v>13</v>
      </c>
      <c r="G942" s="10" t="s">
        <v>22</v>
      </c>
      <c r="H942" s="10" t="s">
        <v>19</v>
      </c>
      <c r="I942" s="10">
        <v>8</v>
      </c>
      <c r="J942" s="10">
        <v>8</v>
      </c>
      <c r="K942" s="10">
        <v>0</v>
      </c>
      <c r="L942" s="10">
        <v>2</v>
      </c>
      <c r="M942" s="11">
        <f t="shared" si="43"/>
        <v>1</v>
      </c>
      <c r="N942" s="11">
        <f t="shared" si="44"/>
        <v>0</v>
      </c>
    </row>
    <row r="943" spans="1:14" x14ac:dyDescent="0.25">
      <c r="A943" s="12" t="s">
        <v>10</v>
      </c>
      <c r="B943" s="12">
        <f t="shared" si="42"/>
        <v>45017</v>
      </c>
      <c r="C943" s="12" t="str">
        <f>TEXT('Cleaned Datasets'!$B943,"MMMM")</f>
        <v>April</v>
      </c>
      <c r="D943" s="13" t="s">
        <v>37</v>
      </c>
      <c r="E943" s="13" t="s">
        <v>39</v>
      </c>
      <c r="F943" s="13" t="s">
        <v>40</v>
      </c>
      <c r="G943" s="13" t="s">
        <v>18</v>
      </c>
      <c r="H943" s="13" t="s">
        <v>19</v>
      </c>
      <c r="I943" s="13">
        <v>2</v>
      </c>
      <c r="J943" s="13">
        <v>2</v>
      </c>
      <c r="K943" s="13">
        <v>0</v>
      </c>
      <c r="L943" s="13">
        <v>3.5</v>
      </c>
      <c r="M943" s="14">
        <f t="shared" si="43"/>
        <v>1</v>
      </c>
      <c r="N943" s="14">
        <f t="shared" si="44"/>
        <v>0</v>
      </c>
    </row>
    <row r="944" spans="1:14" x14ac:dyDescent="0.25">
      <c r="A944" s="9" t="s">
        <v>55</v>
      </c>
      <c r="B944" s="9">
        <f t="shared" si="42"/>
        <v>45261</v>
      </c>
      <c r="C944" s="9" t="str">
        <f>TEXT('Cleaned Datasets'!$B944,"MMMM")</f>
        <v>December</v>
      </c>
      <c r="D944" s="10" t="s">
        <v>37</v>
      </c>
      <c r="E944" s="10" t="s">
        <v>38</v>
      </c>
      <c r="F944" s="10" t="s">
        <v>13</v>
      </c>
      <c r="G944" s="10" t="s">
        <v>53</v>
      </c>
      <c r="H944" s="10" t="s">
        <v>19</v>
      </c>
      <c r="I944" s="10">
        <v>8</v>
      </c>
      <c r="J944" s="10">
        <v>8</v>
      </c>
      <c r="K944" s="10">
        <v>1</v>
      </c>
      <c r="L944" s="10">
        <v>3.3</v>
      </c>
      <c r="M944" s="11">
        <f t="shared" si="43"/>
        <v>1</v>
      </c>
      <c r="N944" s="11">
        <f t="shared" si="44"/>
        <v>0.125</v>
      </c>
    </row>
    <row r="945" spans="1:14" x14ac:dyDescent="0.25">
      <c r="A945" s="12" t="s">
        <v>23</v>
      </c>
      <c r="B945" s="12">
        <f t="shared" si="42"/>
        <v>45200</v>
      </c>
      <c r="C945" s="12" t="str">
        <f>TEXT('Cleaned Datasets'!$B945,"MMMM")</f>
        <v>October</v>
      </c>
      <c r="D945" s="13" t="s">
        <v>11</v>
      </c>
      <c r="E945" s="13" t="s">
        <v>12</v>
      </c>
      <c r="F945" s="13" t="s">
        <v>13</v>
      </c>
      <c r="G945" s="13" t="s">
        <v>18</v>
      </c>
      <c r="H945" s="13" t="s">
        <v>19</v>
      </c>
      <c r="I945" s="13">
        <v>7</v>
      </c>
      <c r="J945" s="13">
        <v>7</v>
      </c>
      <c r="K945" s="13">
        <v>0</v>
      </c>
      <c r="L945" s="13">
        <v>4.7</v>
      </c>
      <c r="M945" s="14">
        <f t="shared" si="43"/>
        <v>1</v>
      </c>
      <c r="N945" s="14">
        <f t="shared" si="44"/>
        <v>0</v>
      </c>
    </row>
    <row r="946" spans="1:14" x14ac:dyDescent="0.25">
      <c r="A946" s="9" t="s">
        <v>45</v>
      </c>
      <c r="B946" s="9">
        <f t="shared" si="42"/>
        <v>45047</v>
      </c>
      <c r="C946" s="9" t="str">
        <f>TEXT('Cleaned Datasets'!$B946,"MMMM")</f>
        <v>May</v>
      </c>
      <c r="D946" s="10" t="s">
        <v>24</v>
      </c>
      <c r="E946" s="10" t="s">
        <v>25</v>
      </c>
      <c r="F946" s="10" t="s">
        <v>32</v>
      </c>
      <c r="G946" s="10" t="s">
        <v>18</v>
      </c>
      <c r="H946" s="10" t="s">
        <v>15</v>
      </c>
      <c r="I946" s="10">
        <v>7</v>
      </c>
      <c r="J946" s="10">
        <v>7</v>
      </c>
      <c r="K946" s="10">
        <v>1</v>
      </c>
      <c r="L946" s="10">
        <v>4.2</v>
      </c>
      <c r="M946" s="11">
        <f t="shared" si="43"/>
        <v>1</v>
      </c>
      <c r="N946" s="11">
        <f t="shared" si="44"/>
        <v>0.14285714285714285</v>
      </c>
    </row>
    <row r="947" spans="1:14" x14ac:dyDescent="0.25">
      <c r="A947" s="12" t="s">
        <v>20</v>
      </c>
      <c r="B947" s="12">
        <f t="shared" si="42"/>
        <v>45078</v>
      </c>
      <c r="C947" s="12" t="str">
        <f>TEXT('Cleaned Datasets'!$B947,"MMMM")</f>
        <v>June</v>
      </c>
      <c r="D947" s="13" t="s">
        <v>48</v>
      </c>
      <c r="E947" s="13" t="s">
        <v>63</v>
      </c>
      <c r="F947" s="13" t="s">
        <v>21</v>
      </c>
      <c r="G947" s="13" t="s">
        <v>14</v>
      </c>
      <c r="H947" s="13" t="s">
        <v>19</v>
      </c>
      <c r="I947" s="13">
        <v>2</v>
      </c>
      <c r="J947" s="13">
        <v>1</v>
      </c>
      <c r="K947" s="13">
        <v>0</v>
      </c>
      <c r="L947" s="13">
        <v>3</v>
      </c>
      <c r="M947" s="14">
        <f t="shared" si="43"/>
        <v>0.5</v>
      </c>
      <c r="N947" s="14">
        <f t="shared" si="44"/>
        <v>0</v>
      </c>
    </row>
    <row r="948" spans="1:14" x14ac:dyDescent="0.25">
      <c r="A948" s="9" t="s">
        <v>36</v>
      </c>
      <c r="B948" s="9">
        <f t="shared" si="42"/>
        <v>44986</v>
      </c>
      <c r="C948" s="9" t="str">
        <f>TEXT('Cleaned Datasets'!$B948,"MMMM")</f>
        <v>March</v>
      </c>
      <c r="D948" s="10" t="s">
        <v>37</v>
      </c>
      <c r="E948" s="10" t="s">
        <v>39</v>
      </c>
      <c r="F948" s="10" t="s">
        <v>13</v>
      </c>
      <c r="G948" s="10" t="s">
        <v>22</v>
      </c>
      <c r="H948" s="10" t="s">
        <v>19</v>
      </c>
      <c r="I948" s="10">
        <v>3</v>
      </c>
      <c r="J948" s="10">
        <v>3</v>
      </c>
      <c r="K948" s="10">
        <v>0</v>
      </c>
      <c r="L948" s="10">
        <v>3.5</v>
      </c>
      <c r="M948" s="11">
        <f t="shared" si="43"/>
        <v>1</v>
      </c>
      <c r="N948" s="11">
        <f t="shared" si="44"/>
        <v>0</v>
      </c>
    </row>
    <row r="949" spans="1:14" x14ac:dyDescent="0.25">
      <c r="A949" s="12" t="s">
        <v>55</v>
      </c>
      <c r="B949" s="12">
        <f t="shared" si="42"/>
        <v>45261</v>
      </c>
      <c r="C949" s="12" t="str">
        <f>TEXT('Cleaned Datasets'!$B949,"MMMM")</f>
        <v>December</v>
      </c>
      <c r="D949" s="13" t="s">
        <v>11</v>
      </c>
      <c r="E949" s="13" t="s">
        <v>12</v>
      </c>
      <c r="F949" s="13" t="s">
        <v>21</v>
      </c>
      <c r="G949" s="13" t="s">
        <v>30</v>
      </c>
      <c r="H949" s="13" t="s">
        <v>19</v>
      </c>
      <c r="I949" s="13">
        <v>6</v>
      </c>
      <c r="J949" s="13">
        <v>5</v>
      </c>
      <c r="K949" s="13">
        <v>0</v>
      </c>
      <c r="L949" s="13">
        <v>3.6</v>
      </c>
      <c r="M949" s="14">
        <f t="shared" si="43"/>
        <v>0.83333333333333337</v>
      </c>
      <c r="N949" s="14">
        <f t="shared" si="44"/>
        <v>0</v>
      </c>
    </row>
    <row r="950" spans="1:14" x14ac:dyDescent="0.25">
      <c r="A950" s="9" t="s">
        <v>50</v>
      </c>
      <c r="B950" s="9">
        <f t="shared" si="42"/>
        <v>45108</v>
      </c>
      <c r="C950" s="9" t="str">
        <f>TEXT('Cleaned Datasets'!$B950,"MMMM")</f>
        <v>July</v>
      </c>
      <c r="D950" s="10" t="s">
        <v>41</v>
      </c>
      <c r="E950" s="10" t="s">
        <v>44</v>
      </c>
      <c r="F950" s="10" t="s">
        <v>26</v>
      </c>
      <c r="G950" s="10" t="s">
        <v>14</v>
      </c>
      <c r="H950" s="10" t="s">
        <v>15</v>
      </c>
      <c r="I950" s="10">
        <v>3</v>
      </c>
      <c r="J950" s="10">
        <v>3</v>
      </c>
      <c r="K950" s="10">
        <v>0</v>
      </c>
      <c r="L950" s="10">
        <v>3.4</v>
      </c>
      <c r="M950" s="11">
        <f t="shared" si="43"/>
        <v>1</v>
      </c>
      <c r="N950" s="11">
        <f t="shared" si="44"/>
        <v>0</v>
      </c>
    </row>
    <row r="951" spans="1:14" x14ac:dyDescent="0.25">
      <c r="A951" s="12" t="s">
        <v>59</v>
      </c>
      <c r="B951" s="12">
        <f t="shared" si="42"/>
        <v>45170</v>
      </c>
      <c r="C951" s="12" t="str">
        <f>TEXT('Cleaned Datasets'!$B951,"MMMM")</f>
        <v>September</v>
      </c>
      <c r="D951" s="13" t="s">
        <v>56</v>
      </c>
      <c r="E951" s="13" t="s">
        <v>57</v>
      </c>
      <c r="F951" s="13" t="s">
        <v>22</v>
      </c>
      <c r="G951" s="13" t="s">
        <v>18</v>
      </c>
      <c r="H951" s="13" t="s">
        <v>19</v>
      </c>
      <c r="I951" s="13">
        <v>4</v>
      </c>
      <c r="J951" s="13">
        <v>3</v>
      </c>
      <c r="K951" s="13">
        <v>0</v>
      </c>
      <c r="L951" s="13">
        <v>1.6</v>
      </c>
      <c r="M951" s="14">
        <f t="shared" si="43"/>
        <v>0.75</v>
      </c>
      <c r="N951" s="14">
        <f t="shared" si="44"/>
        <v>0</v>
      </c>
    </row>
    <row r="952" spans="1:14" x14ac:dyDescent="0.25">
      <c r="A952" s="9" t="s">
        <v>20</v>
      </c>
      <c r="B952" s="9">
        <f t="shared" si="42"/>
        <v>45078</v>
      </c>
      <c r="C952" s="9" t="str">
        <f>TEXT('Cleaned Datasets'!$B952,"MMMM")</f>
        <v>June</v>
      </c>
      <c r="D952" s="10" t="s">
        <v>28</v>
      </c>
      <c r="E952" s="10" t="s">
        <v>58</v>
      </c>
      <c r="F952" s="10" t="s">
        <v>21</v>
      </c>
      <c r="G952" s="10" t="s">
        <v>14</v>
      </c>
      <c r="H952" s="10" t="s">
        <v>19</v>
      </c>
      <c r="I952" s="10">
        <v>3</v>
      </c>
      <c r="J952" s="10">
        <v>3</v>
      </c>
      <c r="K952" s="10">
        <v>0</v>
      </c>
      <c r="L952" s="10">
        <v>2.4</v>
      </c>
      <c r="M952" s="11">
        <f t="shared" si="43"/>
        <v>1</v>
      </c>
      <c r="N952" s="11">
        <f t="shared" si="44"/>
        <v>0</v>
      </c>
    </row>
    <row r="953" spans="1:14" x14ac:dyDescent="0.25">
      <c r="A953" s="12" t="s">
        <v>50</v>
      </c>
      <c r="B953" s="12">
        <f t="shared" si="42"/>
        <v>45108</v>
      </c>
      <c r="C953" s="12" t="str">
        <f>TEXT('Cleaned Datasets'!$B953,"MMMM")</f>
        <v>July</v>
      </c>
      <c r="D953" s="13" t="s">
        <v>56</v>
      </c>
      <c r="E953" s="13" t="s">
        <v>57</v>
      </c>
      <c r="F953" s="13" t="s">
        <v>22</v>
      </c>
      <c r="G953" s="13" t="s">
        <v>22</v>
      </c>
      <c r="H953" s="13" t="s">
        <v>15</v>
      </c>
      <c r="I953" s="13">
        <v>5</v>
      </c>
      <c r="J953" s="13">
        <v>5</v>
      </c>
      <c r="K953" s="13">
        <v>0</v>
      </c>
      <c r="L953" s="13">
        <v>2.2999999999999998</v>
      </c>
      <c r="M953" s="14">
        <f t="shared" si="43"/>
        <v>1</v>
      </c>
      <c r="N953" s="14">
        <f t="shared" si="44"/>
        <v>0</v>
      </c>
    </row>
    <row r="954" spans="1:14" x14ac:dyDescent="0.25">
      <c r="A954" s="9" t="s">
        <v>59</v>
      </c>
      <c r="B954" s="9">
        <f t="shared" si="42"/>
        <v>45170</v>
      </c>
      <c r="C954" s="9" t="str">
        <f>TEXT('Cleaned Datasets'!$B954,"MMMM")</f>
        <v>September</v>
      </c>
      <c r="D954" s="10" t="s">
        <v>16</v>
      </c>
      <c r="E954" s="10" t="s">
        <v>60</v>
      </c>
      <c r="F954" s="10" t="s">
        <v>13</v>
      </c>
      <c r="G954" s="10" t="s">
        <v>30</v>
      </c>
      <c r="H954" s="10" t="s">
        <v>19</v>
      </c>
      <c r="I954" s="10">
        <v>3</v>
      </c>
      <c r="J954" s="10">
        <v>2</v>
      </c>
      <c r="K954" s="10">
        <v>0</v>
      </c>
      <c r="L954" s="10">
        <v>1.4</v>
      </c>
      <c r="M954" s="11">
        <f t="shared" si="43"/>
        <v>0.66666666666666663</v>
      </c>
      <c r="N954" s="11">
        <f t="shared" si="44"/>
        <v>0</v>
      </c>
    </row>
    <row r="955" spans="1:14" x14ac:dyDescent="0.25">
      <c r="A955" s="12" t="s">
        <v>23</v>
      </c>
      <c r="B955" s="12">
        <f t="shared" si="42"/>
        <v>45200</v>
      </c>
      <c r="C955" s="12" t="str">
        <f>TEXT('Cleaned Datasets'!$B955,"MMMM")</f>
        <v>October</v>
      </c>
      <c r="D955" s="13" t="s">
        <v>46</v>
      </c>
      <c r="E955" s="13" t="s">
        <v>47</v>
      </c>
      <c r="F955" s="13" t="s">
        <v>13</v>
      </c>
      <c r="G955" s="13" t="s">
        <v>18</v>
      </c>
      <c r="H955" s="13" t="s">
        <v>19</v>
      </c>
      <c r="I955" s="13">
        <v>3</v>
      </c>
      <c r="J955" s="13">
        <v>3</v>
      </c>
      <c r="K955" s="13">
        <v>0</v>
      </c>
      <c r="L955" s="13">
        <v>4.0999999999999996</v>
      </c>
      <c r="M955" s="14">
        <f t="shared" si="43"/>
        <v>1</v>
      </c>
      <c r="N955" s="14">
        <f t="shared" si="44"/>
        <v>0</v>
      </c>
    </row>
    <row r="956" spans="1:14" x14ac:dyDescent="0.25">
      <c r="A956" s="9" t="s">
        <v>23</v>
      </c>
      <c r="B956" s="9">
        <f t="shared" si="42"/>
        <v>45200</v>
      </c>
      <c r="C956" s="9" t="str">
        <f>TEXT('Cleaned Datasets'!$B956,"MMMM")</f>
        <v>October</v>
      </c>
      <c r="D956" s="10" t="s">
        <v>16</v>
      </c>
      <c r="E956" s="10" t="s">
        <v>17</v>
      </c>
      <c r="F956" s="10" t="s">
        <v>22</v>
      </c>
      <c r="G956" s="10" t="s">
        <v>14</v>
      </c>
      <c r="H956" s="10" t="s">
        <v>19</v>
      </c>
      <c r="I956" s="10">
        <v>2</v>
      </c>
      <c r="J956" s="10">
        <v>2</v>
      </c>
      <c r="K956" s="10">
        <v>0</v>
      </c>
      <c r="L956" s="10">
        <v>3.1</v>
      </c>
      <c r="M956" s="11">
        <f t="shared" si="43"/>
        <v>1</v>
      </c>
      <c r="N956" s="11">
        <f t="shared" si="44"/>
        <v>0</v>
      </c>
    </row>
    <row r="957" spans="1:14" x14ac:dyDescent="0.25">
      <c r="A957" s="12" t="s">
        <v>23</v>
      </c>
      <c r="B957" s="12">
        <f t="shared" si="42"/>
        <v>45200</v>
      </c>
      <c r="C957" s="12" t="str">
        <f>TEXT('Cleaned Datasets'!$B957,"MMMM")</f>
        <v>October</v>
      </c>
      <c r="D957" s="13" t="s">
        <v>34</v>
      </c>
      <c r="E957" s="13" t="s">
        <v>35</v>
      </c>
      <c r="F957" s="13" t="s">
        <v>32</v>
      </c>
      <c r="G957" s="13" t="s">
        <v>27</v>
      </c>
      <c r="H957" s="13" t="s">
        <v>15</v>
      </c>
      <c r="I957" s="13">
        <v>6</v>
      </c>
      <c r="J957" s="13">
        <v>6</v>
      </c>
      <c r="K957" s="13">
        <v>1</v>
      </c>
      <c r="L957" s="13">
        <v>3.5</v>
      </c>
      <c r="M957" s="14">
        <f t="shared" si="43"/>
        <v>1</v>
      </c>
      <c r="N957" s="14">
        <f t="shared" si="44"/>
        <v>0.16666666666666666</v>
      </c>
    </row>
    <row r="958" spans="1:14" x14ac:dyDescent="0.25">
      <c r="A958" s="9" t="s">
        <v>36</v>
      </c>
      <c r="B958" s="9">
        <f t="shared" si="42"/>
        <v>44986</v>
      </c>
      <c r="C958" s="9" t="str">
        <f>TEXT('Cleaned Datasets'!$B958,"MMMM")</f>
        <v>March</v>
      </c>
      <c r="D958" s="10" t="s">
        <v>24</v>
      </c>
      <c r="E958" s="10" t="s">
        <v>64</v>
      </c>
      <c r="F958" s="10" t="s">
        <v>13</v>
      </c>
      <c r="G958" s="10" t="s">
        <v>18</v>
      </c>
      <c r="H958" s="10" t="s">
        <v>15</v>
      </c>
      <c r="I958" s="10">
        <v>4</v>
      </c>
      <c r="J958" s="10">
        <v>3</v>
      </c>
      <c r="K958" s="10">
        <v>0</v>
      </c>
      <c r="L958" s="10">
        <v>4.9000000000000004</v>
      </c>
      <c r="M958" s="11">
        <f t="shared" si="43"/>
        <v>0.75</v>
      </c>
      <c r="N958" s="11">
        <f t="shared" si="44"/>
        <v>0</v>
      </c>
    </row>
    <row r="959" spans="1:14" x14ac:dyDescent="0.25">
      <c r="A959" s="12" t="s">
        <v>23</v>
      </c>
      <c r="B959" s="12">
        <f t="shared" si="42"/>
        <v>45200</v>
      </c>
      <c r="C959" s="12" t="str">
        <f>TEXT('Cleaned Datasets'!$B959,"MMMM")</f>
        <v>October</v>
      </c>
      <c r="D959" s="13" t="s">
        <v>34</v>
      </c>
      <c r="E959" s="13" t="s">
        <v>51</v>
      </c>
      <c r="F959" s="13" t="s">
        <v>26</v>
      </c>
      <c r="G959" s="13" t="s">
        <v>53</v>
      </c>
      <c r="H959" s="13" t="s">
        <v>19</v>
      </c>
      <c r="I959" s="13">
        <v>7</v>
      </c>
      <c r="J959" s="13">
        <v>7</v>
      </c>
      <c r="K959" s="13">
        <v>0</v>
      </c>
      <c r="L959" s="13">
        <v>3.3</v>
      </c>
      <c r="M959" s="14">
        <f t="shared" si="43"/>
        <v>1</v>
      </c>
      <c r="N959" s="14">
        <f t="shared" si="44"/>
        <v>0</v>
      </c>
    </row>
    <row r="960" spans="1:14" x14ac:dyDescent="0.25">
      <c r="A960" s="9" t="s">
        <v>61</v>
      </c>
      <c r="B960" s="9">
        <f t="shared" si="42"/>
        <v>45231</v>
      </c>
      <c r="C960" s="9" t="str">
        <f>TEXT('Cleaned Datasets'!$B960,"MMMM")</f>
        <v>November</v>
      </c>
      <c r="D960" s="10" t="s">
        <v>16</v>
      </c>
      <c r="E960" s="10" t="s">
        <v>60</v>
      </c>
      <c r="F960" s="10" t="s">
        <v>32</v>
      </c>
      <c r="G960" s="10" t="s">
        <v>14</v>
      </c>
      <c r="H960" s="10" t="s">
        <v>15</v>
      </c>
      <c r="I960" s="10">
        <v>4</v>
      </c>
      <c r="J960" s="10">
        <v>4</v>
      </c>
      <c r="K960" s="10">
        <v>0</v>
      </c>
      <c r="L960" s="10">
        <v>3</v>
      </c>
      <c r="M960" s="11">
        <f t="shared" si="43"/>
        <v>1</v>
      </c>
      <c r="N960" s="11">
        <f t="shared" si="44"/>
        <v>0</v>
      </c>
    </row>
    <row r="961" spans="1:14" x14ac:dyDescent="0.25">
      <c r="A961" s="12" t="s">
        <v>43</v>
      </c>
      <c r="B961" s="12">
        <f t="shared" si="42"/>
        <v>44958</v>
      </c>
      <c r="C961" s="12" t="str">
        <f>TEXT('Cleaned Datasets'!$B961,"MMMM")</f>
        <v>February</v>
      </c>
      <c r="D961" s="13" t="s">
        <v>37</v>
      </c>
      <c r="E961" s="13" t="s">
        <v>38</v>
      </c>
      <c r="F961" s="13" t="s">
        <v>26</v>
      </c>
      <c r="G961" s="13" t="s">
        <v>14</v>
      </c>
      <c r="H961" s="13" t="s">
        <v>15</v>
      </c>
      <c r="I961" s="13">
        <v>2</v>
      </c>
      <c r="J961" s="13">
        <v>2</v>
      </c>
      <c r="K961" s="13">
        <v>0</v>
      </c>
      <c r="L961" s="13">
        <v>3.2</v>
      </c>
      <c r="M961" s="14">
        <f t="shared" si="43"/>
        <v>1</v>
      </c>
      <c r="N961" s="14">
        <f t="shared" si="44"/>
        <v>0</v>
      </c>
    </row>
    <row r="962" spans="1:14" x14ac:dyDescent="0.25">
      <c r="A962" s="9" t="s">
        <v>33</v>
      </c>
      <c r="B962" s="9">
        <f t="shared" si="42"/>
        <v>44927</v>
      </c>
      <c r="C962" s="9" t="str">
        <f>TEXT('Cleaned Datasets'!$B962,"MMMM")</f>
        <v>January</v>
      </c>
      <c r="D962" s="10" t="s">
        <v>16</v>
      </c>
      <c r="E962" s="10" t="s">
        <v>17</v>
      </c>
      <c r="F962" s="10" t="s">
        <v>40</v>
      </c>
      <c r="G962" s="10" t="s">
        <v>18</v>
      </c>
      <c r="H962" s="10" t="s">
        <v>19</v>
      </c>
      <c r="I962" s="10">
        <v>3</v>
      </c>
      <c r="J962" s="10">
        <v>3</v>
      </c>
      <c r="K962" s="10">
        <v>0</v>
      </c>
      <c r="L962" s="10">
        <v>1.8</v>
      </c>
      <c r="M962" s="11">
        <f t="shared" si="43"/>
        <v>1</v>
      </c>
      <c r="N962" s="11">
        <f t="shared" si="44"/>
        <v>0</v>
      </c>
    </row>
    <row r="963" spans="1:14" x14ac:dyDescent="0.25">
      <c r="A963" s="12" t="s">
        <v>33</v>
      </c>
      <c r="B963" s="12">
        <f t="shared" ref="B963:B1001" si="45">DATE(LEFT(A963,4), RIGHT(A963,2), 1)</f>
        <v>44927</v>
      </c>
      <c r="C963" s="12" t="str">
        <f>TEXT('Cleaned Datasets'!$B963,"MMMM")</f>
        <v>January</v>
      </c>
      <c r="D963" s="13" t="s">
        <v>46</v>
      </c>
      <c r="E963" s="13" t="s">
        <v>54</v>
      </c>
      <c r="F963" s="13" t="s">
        <v>32</v>
      </c>
      <c r="G963" s="13" t="s">
        <v>30</v>
      </c>
      <c r="H963" s="13" t="s">
        <v>15</v>
      </c>
      <c r="I963" s="13">
        <v>5</v>
      </c>
      <c r="J963" s="13">
        <v>5</v>
      </c>
      <c r="K963" s="13">
        <v>0</v>
      </c>
      <c r="L963" s="13">
        <v>3.4</v>
      </c>
      <c r="M963" s="14">
        <f t="shared" ref="M963:M1001" si="46">IFERROR(J963/I963,0)</f>
        <v>1</v>
      </c>
      <c r="N963" s="14">
        <f t="shared" ref="N963:N1001" si="47">IFERROR(K963/I963,0)</f>
        <v>0</v>
      </c>
    </row>
    <row r="964" spans="1:14" x14ac:dyDescent="0.25">
      <c r="A964" s="9" t="s">
        <v>10</v>
      </c>
      <c r="B964" s="9">
        <f t="shared" si="45"/>
        <v>45017</v>
      </c>
      <c r="C964" s="9" t="str">
        <f>TEXT('Cleaned Datasets'!$B964,"MMMM")</f>
        <v>April</v>
      </c>
      <c r="D964" s="10" t="s">
        <v>34</v>
      </c>
      <c r="E964" s="10" t="s">
        <v>51</v>
      </c>
      <c r="F964" s="10" t="s">
        <v>26</v>
      </c>
      <c r="G964" s="10" t="s">
        <v>27</v>
      </c>
      <c r="H964" s="10" t="s">
        <v>19</v>
      </c>
      <c r="I964" s="10">
        <v>3</v>
      </c>
      <c r="J964" s="10">
        <v>3</v>
      </c>
      <c r="K964" s="10">
        <v>0</v>
      </c>
      <c r="L964" s="10">
        <v>2.6</v>
      </c>
      <c r="M964" s="11">
        <f t="shared" si="46"/>
        <v>1</v>
      </c>
      <c r="N964" s="11">
        <f t="shared" si="47"/>
        <v>0</v>
      </c>
    </row>
    <row r="965" spans="1:14" x14ac:dyDescent="0.25">
      <c r="A965" s="12" t="s">
        <v>10</v>
      </c>
      <c r="B965" s="12">
        <f t="shared" si="45"/>
        <v>45017</v>
      </c>
      <c r="C965" s="12" t="str">
        <f>TEXT('Cleaned Datasets'!$B965,"MMMM")</f>
        <v>April</v>
      </c>
      <c r="D965" s="13" t="s">
        <v>28</v>
      </c>
      <c r="E965" s="13" t="s">
        <v>58</v>
      </c>
      <c r="F965" s="13" t="s">
        <v>22</v>
      </c>
      <c r="G965" s="13" t="s">
        <v>53</v>
      </c>
      <c r="H965" s="13" t="s">
        <v>15</v>
      </c>
      <c r="I965" s="13">
        <v>3</v>
      </c>
      <c r="J965" s="13">
        <v>3</v>
      </c>
      <c r="K965" s="13">
        <v>0</v>
      </c>
      <c r="L965" s="13">
        <v>3.3</v>
      </c>
      <c r="M965" s="14">
        <f t="shared" si="46"/>
        <v>1</v>
      </c>
      <c r="N965" s="14">
        <f t="shared" si="47"/>
        <v>0</v>
      </c>
    </row>
    <row r="966" spans="1:14" x14ac:dyDescent="0.25">
      <c r="A966" s="9" t="s">
        <v>10</v>
      </c>
      <c r="B966" s="9">
        <f t="shared" si="45"/>
        <v>45017</v>
      </c>
      <c r="C966" s="9" t="str">
        <f>TEXT('Cleaned Datasets'!$B966,"MMMM")</f>
        <v>April</v>
      </c>
      <c r="D966" s="10" t="s">
        <v>11</v>
      </c>
      <c r="E966" s="10" t="s">
        <v>52</v>
      </c>
      <c r="F966" s="10" t="s">
        <v>40</v>
      </c>
      <c r="G966" s="10" t="s">
        <v>30</v>
      </c>
      <c r="H966" s="10" t="s">
        <v>15</v>
      </c>
      <c r="I966" s="10">
        <v>6</v>
      </c>
      <c r="J966" s="10">
        <v>5</v>
      </c>
      <c r="K966" s="10">
        <v>0</v>
      </c>
      <c r="L966" s="10">
        <v>3.8</v>
      </c>
      <c r="M966" s="11">
        <f t="shared" si="46"/>
        <v>0.83333333333333337</v>
      </c>
      <c r="N966" s="11">
        <f t="shared" si="47"/>
        <v>0</v>
      </c>
    </row>
    <row r="967" spans="1:14" x14ac:dyDescent="0.25">
      <c r="A967" s="12" t="s">
        <v>55</v>
      </c>
      <c r="B967" s="12">
        <f t="shared" si="45"/>
        <v>45261</v>
      </c>
      <c r="C967" s="12" t="str">
        <f>TEXT('Cleaned Datasets'!$B967,"MMMM")</f>
        <v>December</v>
      </c>
      <c r="D967" s="13" t="s">
        <v>48</v>
      </c>
      <c r="E967" s="13" t="s">
        <v>63</v>
      </c>
      <c r="F967" s="13" t="s">
        <v>22</v>
      </c>
      <c r="G967" s="13" t="s">
        <v>30</v>
      </c>
      <c r="H967" s="13" t="s">
        <v>15</v>
      </c>
      <c r="I967" s="13">
        <v>6</v>
      </c>
      <c r="J967" s="13">
        <v>6</v>
      </c>
      <c r="K967" s="13">
        <v>0</v>
      </c>
      <c r="L967" s="13">
        <v>4.9000000000000004</v>
      </c>
      <c r="M967" s="14">
        <f t="shared" si="46"/>
        <v>1</v>
      </c>
      <c r="N967" s="14">
        <f t="shared" si="47"/>
        <v>0</v>
      </c>
    </row>
    <row r="968" spans="1:14" x14ac:dyDescent="0.25">
      <c r="A968" s="9" t="s">
        <v>31</v>
      </c>
      <c r="B968" s="9">
        <f t="shared" si="45"/>
        <v>45139</v>
      </c>
      <c r="C968" s="9" t="str">
        <f>TEXT('Cleaned Datasets'!$B968,"MMMM")</f>
        <v>August</v>
      </c>
      <c r="D968" s="10" t="s">
        <v>28</v>
      </c>
      <c r="E968" s="10" t="s">
        <v>29</v>
      </c>
      <c r="F968" s="10" t="s">
        <v>13</v>
      </c>
      <c r="G968" s="10" t="s">
        <v>22</v>
      </c>
      <c r="H968" s="10" t="s">
        <v>15</v>
      </c>
      <c r="I968" s="10">
        <v>4</v>
      </c>
      <c r="J968" s="10">
        <v>4</v>
      </c>
      <c r="K968" s="10">
        <v>0</v>
      </c>
      <c r="L968" s="10">
        <v>2.9</v>
      </c>
      <c r="M968" s="11">
        <f t="shared" si="46"/>
        <v>1</v>
      </c>
      <c r="N968" s="11">
        <f t="shared" si="47"/>
        <v>0</v>
      </c>
    </row>
    <row r="969" spans="1:14" x14ac:dyDescent="0.25">
      <c r="A969" s="12" t="s">
        <v>45</v>
      </c>
      <c r="B969" s="12">
        <f t="shared" si="45"/>
        <v>45047</v>
      </c>
      <c r="C969" s="12" t="str">
        <f>TEXT('Cleaned Datasets'!$B969,"MMMM")</f>
        <v>May</v>
      </c>
      <c r="D969" s="13" t="s">
        <v>28</v>
      </c>
      <c r="E969" s="13" t="s">
        <v>58</v>
      </c>
      <c r="F969" s="13" t="s">
        <v>26</v>
      </c>
      <c r="G969" s="13" t="s">
        <v>22</v>
      </c>
      <c r="H969" s="13" t="s">
        <v>15</v>
      </c>
      <c r="I969" s="13">
        <v>6</v>
      </c>
      <c r="J969" s="13">
        <v>6</v>
      </c>
      <c r="K969" s="13">
        <v>0</v>
      </c>
      <c r="L969" s="13">
        <v>1.3</v>
      </c>
      <c r="M969" s="14">
        <f t="shared" si="46"/>
        <v>1</v>
      </c>
      <c r="N969" s="14">
        <f t="shared" si="47"/>
        <v>0</v>
      </c>
    </row>
    <row r="970" spans="1:14" x14ac:dyDescent="0.25">
      <c r="A970" s="9" t="s">
        <v>36</v>
      </c>
      <c r="B970" s="9">
        <f t="shared" si="45"/>
        <v>44986</v>
      </c>
      <c r="C970" s="9" t="str">
        <f>TEXT('Cleaned Datasets'!$B970,"MMMM")</f>
        <v>March</v>
      </c>
      <c r="D970" s="10" t="s">
        <v>11</v>
      </c>
      <c r="E970" s="10" t="s">
        <v>52</v>
      </c>
      <c r="F970" s="10" t="s">
        <v>22</v>
      </c>
      <c r="G970" s="10" t="s">
        <v>53</v>
      </c>
      <c r="H970" s="10" t="s">
        <v>19</v>
      </c>
      <c r="I970" s="10">
        <v>7</v>
      </c>
      <c r="J970" s="10">
        <v>7</v>
      </c>
      <c r="K970" s="10">
        <v>2</v>
      </c>
      <c r="L970" s="10">
        <v>2.6</v>
      </c>
      <c r="M970" s="11">
        <f t="shared" si="46"/>
        <v>1</v>
      </c>
      <c r="N970" s="11">
        <f t="shared" si="47"/>
        <v>0.2857142857142857</v>
      </c>
    </row>
    <row r="971" spans="1:14" x14ac:dyDescent="0.25">
      <c r="A971" s="12" t="s">
        <v>10</v>
      </c>
      <c r="B971" s="12">
        <f t="shared" si="45"/>
        <v>45017</v>
      </c>
      <c r="C971" s="12" t="str">
        <f>TEXT('Cleaned Datasets'!$B971,"MMMM")</f>
        <v>April</v>
      </c>
      <c r="D971" s="13" t="s">
        <v>28</v>
      </c>
      <c r="E971" s="13" t="s">
        <v>58</v>
      </c>
      <c r="F971" s="13" t="s">
        <v>22</v>
      </c>
      <c r="G971" s="13" t="s">
        <v>18</v>
      </c>
      <c r="H971" s="13" t="s">
        <v>15</v>
      </c>
      <c r="I971" s="13">
        <v>5</v>
      </c>
      <c r="J971" s="13">
        <v>4</v>
      </c>
      <c r="K971" s="13">
        <v>0</v>
      </c>
      <c r="L971" s="13">
        <v>3.7</v>
      </c>
      <c r="M971" s="14">
        <f t="shared" si="46"/>
        <v>0.8</v>
      </c>
      <c r="N971" s="14">
        <f t="shared" si="47"/>
        <v>0</v>
      </c>
    </row>
    <row r="972" spans="1:14" x14ac:dyDescent="0.25">
      <c r="A972" s="9" t="s">
        <v>36</v>
      </c>
      <c r="B972" s="9">
        <f t="shared" si="45"/>
        <v>44986</v>
      </c>
      <c r="C972" s="9" t="str">
        <f>TEXT('Cleaned Datasets'!$B972,"MMMM")</f>
        <v>March</v>
      </c>
      <c r="D972" s="10" t="s">
        <v>48</v>
      </c>
      <c r="E972" s="10" t="s">
        <v>63</v>
      </c>
      <c r="F972" s="10" t="s">
        <v>21</v>
      </c>
      <c r="G972" s="10" t="s">
        <v>27</v>
      </c>
      <c r="H972" s="10" t="s">
        <v>15</v>
      </c>
      <c r="I972" s="10">
        <v>5</v>
      </c>
      <c r="J972" s="10">
        <v>5</v>
      </c>
      <c r="K972" s="10">
        <v>1</v>
      </c>
      <c r="L972" s="10">
        <v>3.5</v>
      </c>
      <c r="M972" s="11">
        <f t="shared" si="46"/>
        <v>1</v>
      </c>
      <c r="N972" s="11">
        <f t="shared" si="47"/>
        <v>0.2</v>
      </c>
    </row>
    <row r="973" spans="1:14" x14ac:dyDescent="0.25">
      <c r="A973" s="12" t="s">
        <v>31</v>
      </c>
      <c r="B973" s="12">
        <f t="shared" si="45"/>
        <v>45139</v>
      </c>
      <c r="C973" s="12" t="str">
        <f>TEXT('Cleaned Datasets'!$B973,"MMMM")</f>
        <v>August</v>
      </c>
      <c r="D973" s="13" t="s">
        <v>28</v>
      </c>
      <c r="E973" s="13" t="s">
        <v>58</v>
      </c>
      <c r="F973" s="13" t="s">
        <v>13</v>
      </c>
      <c r="G973" s="13" t="s">
        <v>30</v>
      </c>
      <c r="H973" s="13" t="s">
        <v>19</v>
      </c>
      <c r="I973" s="13">
        <v>4</v>
      </c>
      <c r="J973" s="13">
        <v>4</v>
      </c>
      <c r="K973" s="13">
        <v>1</v>
      </c>
      <c r="L973" s="13">
        <v>2.7</v>
      </c>
      <c r="M973" s="14">
        <f t="shared" si="46"/>
        <v>1</v>
      </c>
      <c r="N973" s="14">
        <f t="shared" si="47"/>
        <v>0.25</v>
      </c>
    </row>
    <row r="974" spans="1:14" x14ac:dyDescent="0.25">
      <c r="A974" s="9" t="s">
        <v>55</v>
      </c>
      <c r="B974" s="9">
        <f t="shared" si="45"/>
        <v>45261</v>
      </c>
      <c r="C974" s="9" t="str">
        <f>TEXT('Cleaned Datasets'!$B974,"MMMM")</f>
        <v>December</v>
      </c>
      <c r="D974" s="10" t="s">
        <v>46</v>
      </c>
      <c r="E974" s="10" t="s">
        <v>54</v>
      </c>
      <c r="F974" s="10" t="s">
        <v>13</v>
      </c>
      <c r="G974" s="10" t="s">
        <v>53</v>
      </c>
      <c r="H974" s="10" t="s">
        <v>19</v>
      </c>
      <c r="I974" s="10">
        <v>3</v>
      </c>
      <c r="J974" s="10">
        <v>3</v>
      </c>
      <c r="K974" s="10">
        <v>0</v>
      </c>
      <c r="L974" s="10">
        <v>3.1</v>
      </c>
      <c r="M974" s="11">
        <f t="shared" si="46"/>
        <v>1</v>
      </c>
      <c r="N974" s="11">
        <f t="shared" si="47"/>
        <v>0</v>
      </c>
    </row>
    <row r="975" spans="1:14" x14ac:dyDescent="0.25">
      <c r="A975" s="12" t="s">
        <v>50</v>
      </c>
      <c r="B975" s="12">
        <f t="shared" si="45"/>
        <v>45108</v>
      </c>
      <c r="C975" s="12" t="str">
        <f>TEXT('Cleaned Datasets'!$B975,"MMMM")</f>
        <v>July</v>
      </c>
      <c r="D975" s="13" t="s">
        <v>34</v>
      </c>
      <c r="E975" s="13" t="s">
        <v>51</v>
      </c>
      <c r="F975" s="13" t="s">
        <v>32</v>
      </c>
      <c r="G975" s="13" t="s">
        <v>22</v>
      </c>
      <c r="H975" s="13" t="s">
        <v>19</v>
      </c>
      <c r="I975" s="13">
        <v>5</v>
      </c>
      <c r="J975" s="13">
        <v>4</v>
      </c>
      <c r="K975" s="13">
        <v>0</v>
      </c>
      <c r="L975" s="13">
        <v>2.2999999999999998</v>
      </c>
      <c r="M975" s="14">
        <f t="shared" si="46"/>
        <v>0.8</v>
      </c>
      <c r="N975" s="14">
        <f t="shared" si="47"/>
        <v>0</v>
      </c>
    </row>
    <row r="976" spans="1:14" x14ac:dyDescent="0.25">
      <c r="A976" s="9" t="s">
        <v>59</v>
      </c>
      <c r="B976" s="9">
        <f t="shared" si="45"/>
        <v>45170</v>
      </c>
      <c r="C976" s="9" t="str">
        <f>TEXT('Cleaned Datasets'!$B976,"MMMM")</f>
        <v>September</v>
      </c>
      <c r="D976" s="10" t="s">
        <v>37</v>
      </c>
      <c r="E976" s="10" t="s">
        <v>39</v>
      </c>
      <c r="F976" s="10" t="s">
        <v>13</v>
      </c>
      <c r="G976" s="10" t="s">
        <v>14</v>
      </c>
      <c r="H976" s="10" t="s">
        <v>15</v>
      </c>
      <c r="I976" s="10">
        <v>6</v>
      </c>
      <c r="J976" s="10">
        <v>4</v>
      </c>
      <c r="K976" s="10">
        <v>0</v>
      </c>
      <c r="L976" s="10">
        <v>2.7</v>
      </c>
      <c r="M976" s="11">
        <f t="shared" si="46"/>
        <v>0.66666666666666663</v>
      </c>
      <c r="N976" s="11">
        <f t="shared" si="47"/>
        <v>0</v>
      </c>
    </row>
    <row r="977" spans="1:14" x14ac:dyDescent="0.25">
      <c r="A977" s="12" t="s">
        <v>33</v>
      </c>
      <c r="B977" s="12">
        <f t="shared" si="45"/>
        <v>44927</v>
      </c>
      <c r="C977" s="12" t="str">
        <f>TEXT('Cleaned Datasets'!$B977,"MMMM")</f>
        <v>January</v>
      </c>
      <c r="D977" s="13" t="s">
        <v>37</v>
      </c>
      <c r="E977" s="13" t="s">
        <v>39</v>
      </c>
      <c r="F977" s="13" t="s">
        <v>22</v>
      </c>
      <c r="G977" s="13" t="s">
        <v>27</v>
      </c>
      <c r="H977" s="13" t="s">
        <v>19</v>
      </c>
      <c r="I977" s="13">
        <v>4</v>
      </c>
      <c r="J977" s="13">
        <v>4</v>
      </c>
      <c r="K977" s="13">
        <v>0</v>
      </c>
      <c r="L977" s="13">
        <v>2.2999999999999998</v>
      </c>
      <c r="M977" s="14">
        <f t="shared" si="46"/>
        <v>1</v>
      </c>
      <c r="N977" s="14">
        <f t="shared" si="47"/>
        <v>0</v>
      </c>
    </row>
    <row r="978" spans="1:14" x14ac:dyDescent="0.25">
      <c r="A978" s="9" t="s">
        <v>50</v>
      </c>
      <c r="B978" s="9">
        <f t="shared" si="45"/>
        <v>45108</v>
      </c>
      <c r="C978" s="9" t="str">
        <f>TEXT('Cleaned Datasets'!$B978,"MMMM")</f>
        <v>July</v>
      </c>
      <c r="D978" s="10" t="s">
        <v>48</v>
      </c>
      <c r="E978" s="10" t="s">
        <v>49</v>
      </c>
      <c r="F978" s="10" t="s">
        <v>32</v>
      </c>
      <c r="G978" s="10" t="s">
        <v>27</v>
      </c>
      <c r="H978" s="10" t="s">
        <v>19</v>
      </c>
      <c r="I978" s="10">
        <v>5</v>
      </c>
      <c r="J978" s="10">
        <v>4</v>
      </c>
      <c r="K978" s="10">
        <v>2</v>
      </c>
      <c r="L978" s="10">
        <v>2.7</v>
      </c>
      <c r="M978" s="11">
        <f t="shared" si="46"/>
        <v>0.8</v>
      </c>
      <c r="N978" s="11">
        <f t="shared" si="47"/>
        <v>0.4</v>
      </c>
    </row>
    <row r="979" spans="1:14" x14ac:dyDescent="0.25">
      <c r="A979" s="12" t="s">
        <v>23</v>
      </c>
      <c r="B979" s="12">
        <f t="shared" si="45"/>
        <v>45200</v>
      </c>
      <c r="C979" s="12" t="str">
        <f>TEXT('Cleaned Datasets'!$B979,"MMMM")</f>
        <v>October</v>
      </c>
      <c r="D979" s="13" t="s">
        <v>37</v>
      </c>
      <c r="E979" s="13" t="s">
        <v>38</v>
      </c>
      <c r="F979" s="13" t="s">
        <v>22</v>
      </c>
      <c r="G979" s="13" t="s">
        <v>53</v>
      </c>
      <c r="H979" s="13" t="s">
        <v>15</v>
      </c>
      <c r="I979" s="13">
        <v>3</v>
      </c>
      <c r="J979" s="13">
        <v>2</v>
      </c>
      <c r="K979" s="13">
        <v>0</v>
      </c>
      <c r="L979" s="13">
        <v>3</v>
      </c>
      <c r="M979" s="14">
        <f t="shared" si="46"/>
        <v>0.66666666666666663</v>
      </c>
      <c r="N979" s="14">
        <f t="shared" si="47"/>
        <v>0</v>
      </c>
    </row>
    <row r="980" spans="1:14" x14ac:dyDescent="0.25">
      <c r="A980" s="9" t="s">
        <v>59</v>
      </c>
      <c r="B980" s="9">
        <f t="shared" si="45"/>
        <v>45170</v>
      </c>
      <c r="C980" s="9" t="str">
        <f>TEXT('Cleaned Datasets'!$B980,"MMMM")</f>
        <v>September</v>
      </c>
      <c r="D980" s="10" t="s">
        <v>48</v>
      </c>
      <c r="E980" s="10" t="s">
        <v>49</v>
      </c>
      <c r="F980" s="10" t="s">
        <v>22</v>
      </c>
      <c r="G980" s="10" t="s">
        <v>53</v>
      </c>
      <c r="H980" s="10" t="s">
        <v>15</v>
      </c>
      <c r="I980" s="10">
        <v>12</v>
      </c>
      <c r="J980" s="10">
        <v>12</v>
      </c>
      <c r="K980" s="10">
        <v>0</v>
      </c>
      <c r="L980" s="10">
        <v>4.3</v>
      </c>
      <c r="M980" s="11">
        <f t="shared" si="46"/>
        <v>1</v>
      </c>
      <c r="N980" s="11">
        <f t="shared" si="47"/>
        <v>0</v>
      </c>
    </row>
    <row r="981" spans="1:14" x14ac:dyDescent="0.25">
      <c r="A981" s="12" t="s">
        <v>61</v>
      </c>
      <c r="B981" s="12">
        <f t="shared" si="45"/>
        <v>45231</v>
      </c>
      <c r="C981" s="12" t="str">
        <f>TEXT('Cleaned Datasets'!$B981,"MMMM")</f>
        <v>November</v>
      </c>
      <c r="D981" s="13" t="s">
        <v>24</v>
      </c>
      <c r="E981" s="13" t="s">
        <v>25</v>
      </c>
      <c r="F981" s="13" t="s">
        <v>26</v>
      </c>
      <c r="G981" s="13" t="s">
        <v>30</v>
      </c>
      <c r="H981" s="13" t="s">
        <v>19</v>
      </c>
      <c r="I981" s="13">
        <v>3</v>
      </c>
      <c r="J981" s="13">
        <v>3</v>
      </c>
      <c r="K981" s="13">
        <v>0</v>
      </c>
      <c r="L981" s="13">
        <v>3.1</v>
      </c>
      <c r="M981" s="14">
        <f t="shared" si="46"/>
        <v>1</v>
      </c>
      <c r="N981" s="14">
        <f t="shared" si="47"/>
        <v>0</v>
      </c>
    </row>
    <row r="982" spans="1:14" x14ac:dyDescent="0.25">
      <c r="A982" s="9" t="s">
        <v>59</v>
      </c>
      <c r="B982" s="9">
        <f t="shared" si="45"/>
        <v>45170</v>
      </c>
      <c r="C982" s="9" t="str">
        <f>TEXT('Cleaned Datasets'!$B982,"MMMM")</f>
        <v>September</v>
      </c>
      <c r="D982" s="10" t="s">
        <v>28</v>
      </c>
      <c r="E982" s="10" t="s">
        <v>29</v>
      </c>
      <c r="F982" s="10" t="s">
        <v>13</v>
      </c>
      <c r="G982" s="10" t="s">
        <v>14</v>
      </c>
      <c r="H982" s="10" t="s">
        <v>15</v>
      </c>
      <c r="I982" s="10">
        <v>4</v>
      </c>
      <c r="J982" s="10">
        <v>2</v>
      </c>
      <c r="K982" s="10">
        <v>0</v>
      </c>
      <c r="L982" s="10">
        <v>2.4</v>
      </c>
      <c r="M982" s="11">
        <f t="shared" si="46"/>
        <v>0.5</v>
      </c>
      <c r="N982" s="11">
        <f t="shared" si="47"/>
        <v>0</v>
      </c>
    </row>
    <row r="983" spans="1:14" x14ac:dyDescent="0.25">
      <c r="A983" s="12" t="s">
        <v>23</v>
      </c>
      <c r="B983" s="12">
        <f t="shared" si="45"/>
        <v>45200</v>
      </c>
      <c r="C983" s="12" t="str">
        <f>TEXT('Cleaned Datasets'!$B983,"MMMM")</f>
        <v>October</v>
      </c>
      <c r="D983" s="13" t="s">
        <v>41</v>
      </c>
      <c r="E983" s="13" t="s">
        <v>42</v>
      </c>
      <c r="F983" s="13" t="s">
        <v>32</v>
      </c>
      <c r="G983" s="13" t="s">
        <v>22</v>
      </c>
      <c r="H983" s="13" t="s">
        <v>15</v>
      </c>
      <c r="I983" s="13">
        <v>6</v>
      </c>
      <c r="J983" s="13">
        <v>6</v>
      </c>
      <c r="K983" s="13">
        <v>0</v>
      </c>
      <c r="L983" s="13">
        <v>2.5</v>
      </c>
      <c r="M983" s="14">
        <f t="shared" si="46"/>
        <v>1</v>
      </c>
      <c r="N983" s="14">
        <f t="shared" si="47"/>
        <v>0</v>
      </c>
    </row>
    <row r="984" spans="1:14" x14ac:dyDescent="0.25">
      <c r="A984" s="9" t="s">
        <v>36</v>
      </c>
      <c r="B984" s="9">
        <f t="shared" si="45"/>
        <v>44986</v>
      </c>
      <c r="C984" s="9" t="str">
        <f>TEXT('Cleaned Datasets'!$B984,"MMMM")</f>
        <v>March</v>
      </c>
      <c r="D984" s="10" t="s">
        <v>41</v>
      </c>
      <c r="E984" s="10" t="s">
        <v>44</v>
      </c>
      <c r="F984" s="10" t="s">
        <v>32</v>
      </c>
      <c r="G984" s="10" t="s">
        <v>18</v>
      </c>
      <c r="H984" s="10" t="s">
        <v>19</v>
      </c>
      <c r="I984" s="10">
        <v>8</v>
      </c>
      <c r="J984" s="10">
        <v>6</v>
      </c>
      <c r="K984" s="10">
        <v>0</v>
      </c>
      <c r="L984" s="10">
        <v>1.1000000000000001</v>
      </c>
      <c r="M984" s="11">
        <f t="shared" si="46"/>
        <v>0.75</v>
      </c>
      <c r="N984" s="11">
        <f t="shared" si="47"/>
        <v>0</v>
      </c>
    </row>
    <row r="985" spans="1:14" x14ac:dyDescent="0.25">
      <c r="A985" s="12" t="s">
        <v>59</v>
      </c>
      <c r="B985" s="12">
        <f t="shared" si="45"/>
        <v>45170</v>
      </c>
      <c r="C985" s="12" t="str">
        <f>TEXT('Cleaned Datasets'!$B985,"MMMM")</f>
        <v>September</v>
      </c>
      <c r="D985" s="13" t="s">
        <v>56</v>
      </c>
      <c r="E985" s="13" t="s">
        <v>62</v>
      </c>
      <c r="F985" s="13" t="s">
        <v>26</v>
      </c>
      <c r="G985" s="13" t="s">
        <v>30</v>
      </c>
      <c r="H985" s="13" t="s">
        <v>19</v>
      </c>
      <c r="I985" s="13">
        <v>7</v>
      </c>
      <c r="J985" s="13">
        <v>7</v>
      </c>
      <c r="K985" s="13">
        <v>0</v>
      </c>
      <c r="L985" s="13">
        <v>3.8</v>
      </c>
      <c r="M985" s="14">
        <f t="shared" si="46"/>
        <v>1</v>
      </c>
      <c r="N985" s="14">
        <f t="shared" si="47"/>
        <v>0</v>
      </c>
    </row>
    <row r="986" spans="1:14" x14ac:dyDescent="0.25">
      <c r="A986" s="9" t="s">
        <v>33</v>
      </c>
      <c r="B986" s="9">
        <f t="shared" si="45"/>
        <v>44927</v>
      </c>
      <c r="C986" s="9" t="str">
        <f>TEXT('Cleaned Datasets'!$B986,"MMMM")</f>
        <v>January</v>
      </c>
      <c r="D986" s="10" t="s">
        <v>24</v>
      </c>
      <c r="E986" s="10" t="s">
        <v>25</v>
      </c>
      <c r="F986" s="10" t="s">
        <v>26</v>
      </c>
      <c r="G986" s="10" t="s">
        <v>18</v>
      </c>
      <c r="H986" s="10" t="s">
        <v>15</v>
      </c>
      <c r="I986" s="10">
        <v>5</v>
      </c>
      <c r="J986" s="10">
        <v>4</v>
      </c>
      <c r="K986" s="10">
        <v>0</v>
      </c>
      <c r="L986" s="10">
        <v>2.9</v>
      </c>
      <c r="M986" s="11">
        <f t="shared" si="46"/>
        <v>0.8</v>
      </c>
      <c r="N986" s="11">
        <f t="shared" si="47"/>
        <v>0</v>
      </c>
    </row>
    <row r="987" spans="1:14" x14ac:dyDescent="0.25">
      <c r="A987" s="12" t="s">
        <v>61</v>
      </c>
      <c r="B987" s="12">
        <f t="shared" si="45"/>
        <v>45231</v>
      </c>
      <c r="C987" s="12" t="str">
        <f>TEXT('Cleaned Datasets'!$B987,"MMMM")</f>
        <v>November</v>
      </c>
      <c r="D987" s="13" t="s">
        <v>34</v>
      </c>
      <c r="E987" s="13" t="s">
        <v>51</v>
      </c>
      <c r="F987" s="13" t="s">
        <v>26</v>
      </c>
      <c r="G987" s="13" t="s">
        <v>22</v>
      </c>
      <c r="H987" s="13" t="s">
        <v>15</v>
      </c>
      <c r="I987" s="13">
        <v>8</v>
      </c>
      <c r="J987" s="13">
        <v>8</v>
      </c>
      <c r="K987" s="13">
        <v>1</v>
      </c>
      <c r="L987" s="13">
        <v>2.2000000000000002</v>
      </c>
      <c r="M987" s="14">
        <f t="shared" si="46"/>
        <v>1</v>
      </c>
      <c r="N987" s="14">
        <f t="shared" si="47"/>
        <v>0.125</v>
      </c>
    </row>
    <row r="988" spans="1:14" x14ac:dyDescent="0.25">
      <c r="A988" s="9" t="s">
        <v>33</v>
      </c>
      <c r="B988" s="9">
        <f t="shared" si="45"/>
        <v>44927</v>
      </c>
      <c r="C988" s="9" t="str">
        <f>TEXT('Cleaned Datasets'!$B988,"MMMM")</f>
        <v>January</v>
      </c>
      <c r="D988" s="10" t="s">
        <v>46</v>
      </c>
      <c r="E988" s="10" t="s">
        <v>54</v>
      </c>
      <c r="F988" s="10" t="s">
        <v>26</v>
      </c>
      <c r="G988" s="10" t="s">
        <v>18</v>
      </c>
      <c r="H988" s="10" t="s">
        <v>15</v>
      </c>
      <c r="I988" s="10">
        <v>6</v>
      </c>
      <c r="J988" s="10">
        <v>6</v>
      </c>
      <c r="K988" s="10">
        <v>0</v>
      </c>
      <c r="L988" s="10">
        <v>1.7</v>
      </c>
      <c r="M988" s="11">
        <f t="shared" si="46"/>
        <v>1</v>
      </c>
      <c r="N988" s="11">
        <f t="shared" si="47"/>
        <v>0</v>
      </c>
    </row>
    <row r="989" spans="1:14" x14ac:dyDescent="0.25">
      <c r="A989" s="12" t="s">
        <v>20</v>
      </c>
      <c r="B989" s="12">
        <f t="shared" si="45"/>
        <v>45078</v>
      </c>
      <c r="C989" s="12" t="str">
        <f>TEXT('Cleaned Datasets'!$B989,"MMMM")</f>
        <v>June</v>
      </c>
      <c r="D989" s="13" t="s">
        <v>28</v>
      </c>
      <c r="E989" s="13" t="s">
        <v>29</v>
      </c>
      <c r="F989" s="13" t="s">
        <v>13</v>
      </c>
      <c r="G989" s="13" t="s">
        <v>14</v>
      </c>
      <c r="H989" s="13" t="s">
        <v>15</v>
      </c>
      <c r="I989" s="13">
        <v>8</v>
      </c>
      <c r="J989" s="13">
        <v>8</v>
      </c>
      <c r="K989" s="13">
        <v>0</v>
      </c>
      <c r="L989" s="13">
        <v>3.1</v>
      </c>
      <c r="M989" s="14">
        <f t="shared" si="46"/>
        <v>1</v>
      </c>
      <c r="N989" s="14">
        <f t="shared" si="47"/>
        <v>0</v>
      </c>
    </row>
    <row r="990" spans="1:14" x14ac:dyDescent="0.25">
      <c r="A990" s="9" t="s">
        <v>23</v>
      </c>
      <c r="B990" s="9">
        <f t="shared" si="45"/>
        <v>45200</v>
      </c>
      <c r="C990" s="9" t="str">
        <f>TEXT('Cleaned Datasets'!$B990,"MMMM")</f>
        <v>October</v>
      </c>
      <c r="D990" s="10" t="s">
        <v>34</v>
      </c>
      <c r="E990" s="10" t="s">
        <v>35</v>
      </c>
      <c r="F990" s="10" t="s">
        <v>32</v>
      </c>
      <c r="G990" s="10" t="s">
        <v>22</v>
      </c>
      <c r="H990" s="10" t="s">
        <v>15</v>
      </c>
      <c r="I990" s="10">
        <v>4</v>
      </c>
      <c r="J990" s="10">
        <v>4</v>
      </c>
      <c r="K990" s="10">
        <v>0</v>
      </c>
      <c r="L990" s="10">
        <v>1.7</v>
      </c>
      <c r="M990" s="11">
        <f t="shared" si="46"/>
        <v>1</v>
      </c>
      <c r="N990" s="11">
        <f t="shared" si="47"/>
        <v>0</v>
      </c>
    </row>
    <row r="991" spans="1:14" x14ac:dyDescent="0.25">
      <c r="A991" s="12" t="s">
        <v>23</v>
      </c>
      <c r="B991" s="12">
        <f t="shared" si="45"/>
        <v>45200</v>
      </c>
      <c r="C991" s="12" t="str">
        <f>TEXT('Cleaned Datasets'!$B991,"MMMM")</f>
        <v>October</v>
      </c>
      <c r="D991" s="13" t="s">
        <v>48</v>
      </c>
      <c r="E991" s="13" t="s">
        <v>63</v>
      </c>
      <c r="F991" s="13" t="s">
        <v>13</v>
      </c>
      <c r="G991" s="13" t="s">
        <v>14</v>
      </c>
      <c r="H991" s="13" t="s">
        <v>19</v>
      </c>
      <c r="I991" s="13">
        <v>6</v>
      </c>
      <c r="J991" s="13">
        <v>3</v>
      </c>
      <c r="K991" s="13">
        <v>0</v>
      </c>
      <c r="L991" s="13">
        <v>3.9</v>
      </c>
      <c r="M991" s="14">
        <f t="shared" si="46"/>
        <v>0.5</v>
      </c>
      <c r="N991" s="14">
        <f t="shared" si="47"/>
        <v>0</v>
      </c>
    </row>
    <row r="992" spans="1:14" x14ac:dyDescent="0.25">
      <c r="A992" s="9" t="s">
        <v>20</v>
      </c>
      <c r="B992" s="9">
        <f t="shared" si="45"/>
        <v>45078</v>
      </c>
      <c r="C992" s="9" t="str">
        <f>TEXT('Cleaned Datasets'!$B992,"MMMM")</f>
        <v>June</v>
      </c>
      <c r="D992" s="10" t="s">
        <v>11</v>
      </c>
      <c r="E992" s="10" t="s">
        <v>12</v>
      </c>
      <c r="F992" s="10" t="s">
        <v>21</v>
      </c>
      <c r="G992" s="10" t="s">
        <v>30</v>
      </c>
      <c r="H992" s="10" t="s">
        <v>15</v>
      </c>
      <c r="I992" s="10">
        <v>6</v>
      </c>
      <c r="J992" s="10">
        <v>5</v>
      </c>
      <c r="K992" s="10">
        <v>1</v>
      </c>
      <c r="L992" s="10">
        <v>2.5</v>
      </c>
      <c r="M992" s="11">
        <f t="shared" si="46"/>
        <v>0.83333333333333337</v>
      </c>
      <c r="N992" s="11">
        <f t="shared" si="47"/>
        <v>0.16666666666666666</v>
      </c>
    </row>
    <row r="993" spans="1:14" x14ac:dyDescent="0.25">
      <c r="A993" s="12" t="s">
        <v>55</v>
      </c>
      <c r="B993" s="12">
        <f t="shared" si="45"/>
        <v>45261</v>
      </c>
      <c r="C993" s="12" t="str">
        <f>TEXT('Cleaned Datasets'!$B993,"MMMM")</f>
        <v>December</v>
      </c>
      <c r="D993" s="13" t="s">
        <v>16</v>
      </c>
      <c r="E993" s="13" t="s">
        <v>17</v>
      </c>
      <c r="F993" s="13" t="s">
        <v>22</v>
      </c>
      <c r="G993" s="13" t="s">
        <v>53</v>
      </c>
      <c r="H993" s="13" t="s">
        <v>15</v>
      </c>
      <c r="I993" s="13">
        <v>4</v>
      </c>
      <c r="J993" s="13">
        <v>4</v>
      </c>
      <c r="K993" s="13">
        <v>0</v>
      </c>
      <c r="L993" s="13">
        <v>2.6</v>
      </c>
      <c r="M993" s="14">
        <f t="shared" si="46"/>
        <v>1</v>
      </c>
      <c r="N993" s="14">
        <f t="shared" si="47"/>
        <v>0</v>
      </c>
    </row>
    <row r="994" spans="1:14" x14ac:dyDescent="0.25">
      <c r="A994" s="9" t="s">
        <v>59</v>
      </c>
      <c r="B994" s="9">
        <f t="shared" si="45"/>
        <v>45170</v>
      </c>
      <c r="C994" s="9" t="str">
        <f>TEXT('Cleaned Datasets'!$B994,"MMMM")</f>
        <v>September</v>
      </c>
      <c r="D994" s="10" t="s">
        <v>56</v>
      </c>
      <c r="E994" s="10" t="s">
        <v>62</v>
      </c>
      <c r="F994" s="10" t="s">
        <v>40</v>
      </c>
      <c r="G994" s="10" t="s">
        <v>14</v>
      </c>
      <c r="H994" s="10" t="s">
        <v>15</v>
      </c>
      <c r="I994" s="10">
        <v>5</v>
      </c>
      <c r="J994" s="10">
        <v>5</v>
      </c>
      <c r="K994" s="10">
        <v>1</v>
      </c>
      <c r="L994" s="10">
        <v>2.6</v>
      </c>
      <c r="M994" s="11">
        <f t="shared" si="46"/>
        <v>1</v>
      </c>
      <c r="N994" s="11">
        <f t="shared" si="47"/>
        <v>0.2</v>
      </c>
    </row>
    <row r="995" spans="1:14" x14ac:dyDescent="0.25">
      <c r="A995" s="12" t="s">
        <v>61</v>
      </c>
      <c r="B995" s="12">
        <f t="shared" si="45"/>
        <v>45231</v>
      </c>
      <c r="C995" s="12" t="str">
        <f>TEXT('Cleaned Datasets'!$B995,"MMMM")</f>
        <v>November</v>
      </c>
      <c r="D995" s="13" t="s">
        <v>34</v>
      </c>
      <c r="E995" s="13" t="s">
        <v>35</v>
      </c>
      <c r="F995" s="13" t="s">
        <v>32</v>
      </c>
      <c r="G995" s="13" t="s">
        <v>27</v>
      </c>
      <c r="H995" s="13" t="s">
        <v>15</v>
      </c>
      <c r="I995" s="13">
        <v>6</v>
      </c>
      <c r="J995" s="13">
        <v>6</v>
      </c>
      <c r="K995" s="13">
        <v>0</v>
      </c>
      <c r="L995" s="13">
        <v>3.5</v>
      </c>
      <c r="M995" s="14">
        <f t="shared" si="46"/>
        <v>1</v>
      </c>
      <c r="N995" s="14">
        <f t="shared" si="47"/>
        <v>0</v>
      </c>
    </row>
    <row r="996" spans="1:14" x14ac:dyDescent="0.25">
      <c r="A996" s="9" t="s">
        <v>23</v>
      </c>
      <c r="B996" s="9">
        <f t="shared" si="45"/>
        <v>45200</v>
      </c>
      <c r="C996" s="9" t="str">
        <f>TEXT('Cleaned Datasets'!$B996,"MMMM")</f>
        <v>October</v>
      </c>
      <c r="D996" s="10" t="s">
        <v>41</v>
      </c>
      <c r="E996" s="10" t="s">
        <v>42</v>
      </c>
      <c r="F996" s="10" t="s">
        <v>13</v>
      </c>
      <c r="G996" s="10" t="s">
        <v>22</v>
      </c>
      <c r="H996" s="10" t="s">
        <v>15</v>
      </c>
      <c r="I996" s="10">
        <v>2</v>
      </c>
      <c r="J996" s="10">
        <v>1</v>
      </c>
      <c r="K996" s="10">
        <v>0</v>
      </c>
      <c r="L996" s="10">
        <v>3.6</v>
      </c>
      <c r="M996" s="11">
        <f t="shared" si="46"/>
        <v>0.5</v>
      </c>
      <c r="N996" s="11">
        <f t="shared" si="47"/>
        <v>0</v>
      </c>
    </row>
    <row r="997" spans="1:14" x14ac:dyDescent="0.25">
      <c r="A997" s="12" t="s">
        <v>45</v>
      </c>
      <c r="B997" s="12">
        <f t="shared" si="45"/>
        <v>45047</v>
      </c>
      <c r="C997" s="12" t="str">
        <f>TEXT('Cleaned Datasets'!$B997,"MMMM")</f>
        <v>May</v>
      </c>
      <c r="D997" s="13" t="s">
        <v>46</v>
      </c>
      <c r="E997" s="13" t="s">
        <v>54</v>
      </c>
      <c r="F997" s="13" t="s">
        <v>32</v>
      </c>
      <c r="G997" s="13" t="s">
        <v>18</v>
      </c>
      <c r="H997" s="13" t="s">
        <v>15</v>
      </c>
      <c r="I997" s="13">
        <v>7</v>
      </c>
      <c r="J997" s="13">
        <v>7</v>
      </c>
      <c r="K997" s="13">
        <v>1</v>
      </c>
      <c r="L997" s="13">
        <v>0.3</v>
      </c>
      <c r="M997" s="14">
        <f t="shared" si="46"/>
        <v>1</v>
      </c>
      <c r="N997" s="14">
        <f t="shared" si="47"/>
        <v>0.14285714285714285</v>
      </c>
    </row>
    <row r="998" spans="1:14" x14ac:dyDescent="0.25">
      <c r="A998" s="9" t="s">
        <v>20</v>
      </c>
      <c r="B998" s="9">
        <f t="shared" si="45"/>
        <v>45078</v>
      </c>
      <c r="C998" s="9" t="str">
        <f>TEXT('Cleaned Datasets'!$B998,"MMMM")</f>
        <v>June</v>
      </c>
      <c r="D998" s="10" t="s">
        <v>34</v>
      </c>
      <c r="E998" s="10" t="s">
        <v>35</v>
      </c>
      <c r="F998" s="10" t="s">
        <v>40</v>
      </c>
      <c r="G998" s="10" t="s">
        <v>27</v>
      </c>
      <c r="H998" s="10" t="s">
        <v>19</v>
      </c>
      <c r="I998" s="10">
        <v>4</v>
      </c>
      <c r="J998" s="10">
        <v>4</v>
      </c>
      <c r="K998" s="10">
        <v>0</v>
      </c>
      <c r="L998" s="10">
        <v>3</v>
      </c>
      <c r="M998" s="11">
        <f t="shared" si="46"/>
        <v>1</v>
      </c>
      <c r="N998" s="11">
        <f t="shared" si="47"/>
        <v>0</v>
      </c>
    </row>
    <row r="999" spans="1:14" x14ac:dyDescent="0.25">
      <c r="A999" s="12" t="s">
        <v>10</v>
      </c>
      <c r="B999" s="12">
        <f t="shared" si="45"/>
        <v>45017</v>
      </c>
      <c r="C999" s="12" t="str">
        <f>TEXT('Cleaned Datasets'!$B999,"MMMM")</f>
        <v>April</v>
      </c>
      <c r="D999" s="13" t="s">
        <v>41</v>
      </c>
      <c r="E999" s="13" t="s">
        <v>42</v>
      </c>
      <c r="F999" s="13" t="s">
        <v>32</v>
      </c>
      <c r="G999" s="13" t="s">
        <v>18</v>
      </c>
      <c r="H999" s="13" t="s">
        <v>15</v>
      </c>
      <c r="I999" s="13">
        <v>6</v>
      </c>
      <c r="J999" s="13">
        <v>5</v>
      </c>
      <c r="K999" s="13">
        <v>1</v>
      </c>
      <c r="L999" s="13">
        <v>2.2000000000000002</v>
      </c>
      <c r="M999" s="14">
        <f t="shared" si="46"/>
        <v>0.83333333333333337</v>
      </c>
      <c r="N999" s="14">
        <f t="shared" si="47"/>
        <v>0.16666666666666666</v>
      </c>
    </row>
    <row r="1000" spans="1:14" x14ac:dyDescent="0.25">
      <c r="A1000" s="9" t="s">
        <v>55</v>
      </c>
      <c r="B1000" s="9">
        <f t="shared" si="45"/>
        <v>45261</v>
      </c>
      <c r="C1000" s="9" t="str">
        <f>TEXT('Cleaned Datasets'!$B1000,"MMMM")</f>
        <v>December</v>
      </c>
      <c r="D1000" s="10" t="s">
        <v>16</v>
      </c>
      <c r="E1000" s="10" t="s">
        <v>60</v>
      </c>
      <c r="F1000" s="10" t="s">
        <v>26</v>
      </c>
      <c r="G1000" s="10" t="s">
        <v>18</v>
      </c>
      <c r="H1000" s="10" t="s">
        <v>15</v>
      </c>
      <c r="I1000" s="10">
        <v>4</v>
      </c>
      <c r="J1000" s="10">
        <v>3</v>
      </c>
      <c r="K1000" s="10">
        <v>0</v>
      </c>
      <c r="L1000" s="10">
        <v>3.2</v>
      </c>
      <c r="M1000" s="11">
        <f t="shared" si="46"/>
        <v>0.75</v>
      </c>
      <c r="N1000" s="11">
        <f t="shared" si="47"/>
        <v>0</v>
      </c>
    </row>
    <row r="1001" spans="1:14" x14ac:dyDescent="0.25">
      <c r="A1001" s="12" t="s">
        <v>55</v>
      </c>
      <c r="B1001" s="12">
        <f t="shared" si="45"/>
        <v>45261</v>
      </c>
      <c r="C1001" s="12" t="str">
        <f>TEXT('Cleaned Datasets'!$B1001,"MMMM")</f>
        <v>December</v>
      </c>
      <c r="D1001" s="13" t="s">
        <v>37</v>
      </c>
      <c r="E1001" s="13" t="s">
        <v>39</v>
      </c>
      <c r="F1001" s="13" t="s">
        <v>26</v>
      </c>
      <c r="G1001" s="13" t="s">
        <v>22</v>
      </c>
      <c r="H1001" s="13" t="s">
        <v>15</v>
      </c>
      <c r="I1001" s="13">
        <v>10</v>
      </c>
      <c r="J1001" s="13">
        <v>9</v>
      </c>
      <c r="K1001" s="13">
        <v>1</v>
      </c>
      <c r="L1001" s="13">
        <v>3.1</v>
      </c>
      <c r="M1001" s="14">
        <f t="shared" si="46"/>
        <v>0.9</v>
      </c>
      <c r="N1001" s="14">
        <f t="shared" si="47"/>
        <v>0.1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068C4-EE92-43B0-A739-A8F60F72083A}">
  <dimension ref="A3:B16"/>
  <sheetViews>
    <sheetView workbookViewId="0">
      <selection activeCell="J23" sqref="J23"/>
    </sheetView>
  </sheetViews>
  <sheetFormatPr defaultRowHeight="15" x14ac:dyDescent="0.25"/>
  <cols>
    <col min="1" max="1" width="11.28515625" bestFit="1" customWidth="1"/>
    <col min="2" max="2" width="24.28515625" bestFit="1" customWidth="1"/>
  </cols>
  <sheetData>
    <row r="3" spans="1:2" x14ac:dyDescent="0.25">
      <c r="A3" s="2" t="s">
        <v>83</v>
      </c>
      <c r="B3" t="s">
        <v>81</v>
      </c>
    </row>
    <row r="4" spans="1:2" x14ac:dyDescent="0.25">
      <c r="A4" s="3" t="s">
        <v>68</v>
      </c>
      <c r="B4">
        <v>399</v>
      </c>
    </row>
    <row r="5" spans="1:2" x14ac:dyDescent="0.25">
      <c r="A5" s="3" t="s">
        <v>69</v>
      </c>
      <c r="B5">
        <v>349</v>
      </c>
    </row>
    <row r="6" spans="1:2" x14ac:dyDescent="0.25">
      <c r="A6" s="3" t="s">
        <v>70</v>
      </c>
      <c r="B6">
        <v>459</v>
      </c>
    </row>
    <row r="7" spans="1:2" x14ac:dyDescent="0.25">
      <c r="A7" s="3" t="s">
        <v>71</v>
      </c>
      <c r="B7">
        <v>425</v>
      </c>
    </row>
    <row r="8" spans="1:2" x14ac:dyDescent="0.25">
      <c r="A8" s="3" t="s">
        <v>72</v>
      </c>
      <c r="B8">
        <v>410</v>
      </c>
    </row>
    <row r="9" spans="1:2" x14ac:dyDescent="0.25">
      <c r="A9" s="3" t="s">
        <v>73</v>
      </c>
      <c r="B9">
        <v>396</v>
      </c>
    </row>
    <row r="10" spans="1:2" x14ac:dyDescent="0.25">
      <c r="A10" s="3" t="s">
        <v>74</v>
      </c>
      <c r="B10">
        <v>419</v>
      </c>
    </row>
    <row r="11" spans="1:2" x14ac:dyDescent="0.25">
      <c r="A11" s="3" t="s">
        <v>75</v>
      </c>
      <c r="B11">
        <v>311</v>
      </c>
    </row>
    <row r="12" spans="1:2" x14ac:dyDescent="0.25">
      <c r="A12" s="3" t="s">
        <v>76</v>
      </c>
      <c r="B12">
        <v>424</v>
      </c>
    </row>
    <row r="13" spans="1:2" x14ac:dyDescent="0.25">
      <c r="A13" s="3" t="s">
        <v>77</v>
      </c>
      <c r="B13">
        <v>481</v>
      </c>
    </row>
    <row r="14" spans="1:2" x14ac:dyDescent="0.25">
      <c r="A14" s="3" t="s">
        <v>78</v>
      </c>
      <c r="B14">
        <v>371</v>
      </c>
    </row>
    <row r="15" spans="1:2" x14ac:dyDescent="0.25">
      <c r="A15" s="3" t="s">
        <v>79</v>
      </c>
      <c r="B15">
        <v>408</v>
      </c>
    </row>
    <row r="16" spans="1:2" x14ac:dyDescent="0.25">
      <c r="A16" s="3" t="s">
        <v>80</v>
      </c>
      <c r="B16">
        <v>4852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0988C-4580-45EB-9ED6-9A7274D0DE7F}">
  <dimension ref="A3:B14"/>
  <sheetViews>
    <sheetView workbookViewId="0">
      <selection activeCell="M9" sqref="M9:N9"/>
    </sheetView>
  </sheetViews>
  <sheetFormatPr defaultRowHeight="15" x14ac:dyDescent="0.25"/>
  <cols>
    <col min="1" max="1" width="13.42578125" bestFit="1" customWidth="1"/>
    <col min="2" max="2" width="24.28515625" bestFit="1" customWidth="1"/>
  </cols>
  <sheetData>
    <row r="3" spans="1:2" x14ac:dyDescent="0.25">
      <c r="A3" s="2" t="s">
        <v>67</v>
      </c>
      <c r="B3" t="s">
        <v>81</v>
      </c>
    </row>
    <row r="4" spans="1:2" x14ac:dyDescent="0.25">
      <c r="A4" s="3" t="s">
        <v>37</v>
      </c>
      <c r="B4">
        <v>629</v>
      </c>
    </row>
    <row r="5" spans="1:2" x14ac:dyDescent="0.25">
      <c r="A5" s="3" t="s">
        <v>34</v>
      </c>
      <c r="B5">
        <v>572</v>
      </c>
    </row>
    <row r="6" spans="1:2" x14ac:dyDescent="0.25">
      <c r="A6" s="3" t="s">
        <v>48</v>
      </c>
      <c r="B6">
        <v>549</v>
      </c>
    </row>
    <row r="7" spans="1:2" x14ac:dyDescent="0.25">
      <c r="A7" s="3" t="s">
        <v>46</v>
      </c>
      <c r="B7">
        <v>486</v>
      </c>
    </row>
    <row r="8" spans="1:2" x14ac:dyDescent="0.25">
      <c r="A8" s="3" t="s">
        <v>56</v>
      </c>
      <c r="B8">
        <v>469</v>
      </c>
    </row>
    <row r="9" spans="1:2" x14ac:dyDescent="0.25">
      <c r="A9" s="3" t="s">
        <v>28</v>
      </c>
      <c r="B9">
        <v>469</v>
      </c>
    </row>
    <row r="10" spans="1:2" x14ac:dyDescent="0.25">
      <c r="A10" s="3" t="s">
        <v>16</v>
      </c>
      <c r="B10">
        <v>449</v>
      </c>
    </row>
    <row r="11" spans="1:2" x14ac:dyDescent="0.25">
      <c r="A11" s="3" t="s">
        <v>41</v>
      </c>
      <c r="B11">
        <v>444</v>
      </c>
    </row>
    <row r="12" spans="1:2" x14ac:dyDescent="0.25">
      <c r="A12" s="3" t="s">
        <v>11</v>
      </c>
      <c r="B12">
        <v>413</v>
      </c>
    </row>
    <row r="13" spans="1:2" x14ac:dyDescent="0.25">
      <c r="A13" s="3" t="s">
        <v>24</v>
      </c>
      <c r="B13">
        <v>372</v>
      </c>
    </row>
    <row r="14" spans="1:2" x14ac:dyDescent="0.25">
      <c r="A14" s="3" t="s">
        <v>80</v>
      </c>
      <c r="B14">
        <v>4852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D4CBF-DF35-42C0-9FA5-4D7458747718}">
  <dimension ref="A3:B14"/>
  <sheetViews>
    <sheetView workbookViewId="0">
      <selection activeCell="G5" sqref="G3:G8"/>
    </sheetView>
  </sheetViews>
  <sheetFormatPr defaultRowHeight="15" x14ac:dyDescent="0.25"/>
  <cols>
    <col min="1" max="1" width="28.28515625" bestFit="1" customWidth="1"/>
    <col min="2" max="2" width="24.28515625" bestFit="1" customWidth="1"/>
  </cols>
  <sheetData>
    <row r="3" spans="1:2" x14ac:dyDescent="0.25">
      <c r="A3" s="2" t="s">
        <v>67</v>
      </c>
      <c r="B3" t="s">
        <v>81</v>
      </c>
    </row>
    <row r="4" spans="1:2" x14ac:dyDescent="0.25">
      <c r="A4" s="3" t="s">
        <v>35</v>
      </c>
      <c r="B4">
        <v>318</v>
      </c>
    </row>
    <row r="5" spans="1:2" x14ac:dyDescent="0.25">
      <c r="A5" s="3" t="s">
        <v>39</v>
      </c>
      <c r="B5">
        <v>318</v>
      </c>
    </row>
    <row r="6" spans="1:2" x14ac:dyDescent="0.25">
      <c r="A6" s="3" t="s">
        <v>38</v>
      </c>
      <c r="B6">
        <v>311</v>
      </c>
    </row>
    <row r="7" spans="1:2" x14ac:dyDescent="0.25">
      <c r="A7" s="3" t="s">
        <v>49</v>
      </c>
      <c r="B7">
        <v>300</v>
      </c>
    </row>
    <row r="8" spans="1:2" x14ac:dyDescent="0.25">
      <c r="A8" s="3" t="s">
        <v>17</v>
      </c>
      <c r="B8">
        <v>280</v>
      </c>
    </row>
    <row r="9" spans="1:2" x14ac:dyDescent="0.25">
      <c r="A9" s="3" t="s">
        <v>47</v>
      </c>
      <c r="B9">
        <v>259</v>
      </c>
    </row>
    <row r="10" spans="1:2" x14ac:dyDescent="0.25">
      <c r="A10" s="3" t="s">
        <v>58</v>
      </c>
      <c r="B10">
        <v>255</v>
      </c>
    </row>
    <row r="11" spans="1:2" x14ac:dyDescent="0.25">
      <c r="A11" s="3" t="s">
        <v>51</v>
      </c>
      <c r="B11">
        <v>254</v>
      </c>
    </row>
    <row r="12" spans="1:2" x14ac:dyDescent="0.25">
      <c r="A12" s="3" t="s">
        <v>63</v>
      </c>
      <c r="B12">
        <v>249</v>
      </c>
    </row>
    <row r="13" spans="1:2" x14ac:dyDescent="0.25">
      <c r="A13" s="3" t="s">
        <v>62</v>
      </c>
      <c r="B13">
        <v>237</v>
      </c>
    </row>
    <row r="14" spans="1:2" x14ac:dyDescent="0.25">
      <c r="A14" s="3" t="s">
        <v>80</v>
      </c>
      <c r="B14">
        <v>2781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52FBD-A56F-4071-A9E0-BC4D06D0E0DE}">
  <dimension ref="A3:B10"/>
  <sheetViews>
    <sheetView workbookViewId="0">
      <selection activeCell="M9" sqref="M9"/>
    </sheetView>
  </sheetViews>
  <sheetFormatPr defaultRowHeight="15" x14ac:dyDescent="0.25"/>
  <cols>
    <col min="1" max="1" width="16.42578125" bestFit="1" customWidth="1"/>
    <col min="2" max="2" width="24.28515625" bestFit="1" customWidth="1"/>
  </cols>
  <sheetData>
    <row r="3" spans="1:2" x14ac:dyDescent="0.25">
      <c r="A3" s="2" t="s">
        <v>67</v>
      </c>
      <c r="B3" t="s">
        <v>81</v>
      </c>
    </row>
    <row r="4" spans="1:2" x14ac:dyDescent="0.25">
      <c r="A4" s="3" t="s">
        <v>40</v>
      </c>
      <c r="B4">
        <v>820</v>
      </c>
    </row>
    <row r="5" spans="1:2" x14ac:dyDescent="0.25">
      <c r="A5" s="3" t="s">
        <v>32</v>
      </c>
      <c r="B5">
        <v>772</v>
      </c>
    </row>
    <row r="6" spans="1:2" x14ac:dyDescent="0.25">
      <c r="A6" s="3" t="s">
        <v>26</v>
      </c>
      <c r="B6">
        <v>819</v>
      </c>
    </row>
    <row r="7" spans="1:2" x14ac:dyDescent="0.25">
      <c r="A7" s="3" t="s">
        <v>21</v>
      </c>
      <c r="B7">
        <v>689</v>
      </c>
    </row>
    <row r="8" spans="1:2" x14ac:dyDescent="0.25">
      <c r="A8" s="3" t="s">
        <v>13</v>
      </c>
      <c r="B8">
        <v>900</v>
      </c>
    </row>
    <row r="9" spans="1:2" x14ac:dyDescent="0.25">
      <c r="A9" s="3" t="s">
        <v>22</v>
      </c>
      <c r="B9">
        <v>852</v>
      </c>
    </row>
    <row r="10" spans="1:2" x14ac:dyDescent="0.25">
      <c r="A10" s="3" t="s">
        <v>80</v>
      </c>
      <c r="B10">
        <v>4852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8E6CA-13F9-447F-9A71-277526730BFB}">
  <dimension ref="A3:B10"/>
  <sheetViews>
    <sheetView workbookViewId="0">
      <selection activeCell="Q10" sqref="Q10"/>
    </sheetView>
  </sheetViews>
  <sheetFormatPr defaultRowHeight="15" x14ac:dyDescent="0.25"/>
  <cols>
    <col min="1" max="1" width="13.42578125" bestFit="1" customWidth="1"/>
    <col min="2" max="2" width="24.28515625" bestFit="1" customWidth="1"/>
  </cols>
  <sheetData>
    <row r="3" spans="1:2" x14ac:dyDescent="0.25">
      <c r="A3" s="2" t="s">
        <v>67</v>
      </c>
      <c r="B3" t="s">
        <v>81</v>
      </c>
    </row>
    <row r="4" spans="1:2" x14ac:dyDescent="0.25">
      <c r="A4" s="3" t="s">
        <v>27</v>
      </c>
      <c r="B4">
        <v>734</v>
      </c>
    </row>
    <row r="5" spans="1:2" x14ac:dyDescent="0.25">
      <c r="A5" s="3" t="s">
        <v>53</v>
      </c>
      <c r="B5">
        <v>735</v>
      </c>
    </row>
    <row r="6" spans="1:2" x14ac:dyDescent="0.25">
      <c r="A6" s="3" t="s">
        <v>30</v>
      </c>
      <c r="B6">
        <v>763</v>
      </c>
    </row>
    <row r="7" spans="1:2" x14ac:dyDescent="0.25">
      <c r="A7" s="3" t="s">
        <v>14</v>
      </c>
      <c r="B7">
        <v>814</v>
      </c>
    </row>
    <row r="8" spans="1:2" x14ac:dyDescent="0.25">
      <c r="A8" s="3" t="s">
        <v>18</v>
      </c>
      <c r="B8">
        <v>891</v>
      </c>
    </row>
    <row r="9" spans="1:2" x14ac:dyDescent="0.25">
      <c r="A9" s="3" t="s">
        <v>22</v>
      </c>
      <c r="B9">
        <v>915</v>
      </c>
    </row>
    <row r="10" spans="1:2" x14ac:dyDescent="0.25">
      <c r="A10" s="3" t="s">
        <v>80</v>
      </c>
      <c r="B10">
        <v>4852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1224E-956D-4266-BF14-67BFC80AA315}">
  <dimension ref="A3:B6"/>
  <sheetViews>
    <sheetView workbookViewId="0">
      <selection activeCell="M7" sqref="M7"/>
    </sheetView>
  </sheetViews>
  <sheetFormatPr defaultRowHeight="15" x14ac:dyDescent="0.25"/>
  <cols>
    <col min="1" max="1" width="13.42578125" bestFit="1" customWidth="1"/>
    <col min="2" max="2" width="24.28515625" bestFit="1" customWidth="1"/>
  </cols>
  <sheetData>
    <row r="3" spans="1:2" x14ac:dyDescent="0.25">
      <c r="A3" s="2" t="s">
        <v>67</v>
      </c>
      <c r="B3" t="s">
        <v>81</v>
      </c>
    </row>
    <row r="4" spans="1:2" x14ac:dyDescent="0.25">
      <c r="A4" s="3" t="s">
        <v>15</v>
      </c>
      <c r="B4">
        <v>2551</v>
      </c>
    </row>
    <row r="5" spans="1:2" x14ac:dyDescent="0.25">
      <c r="A5" s="3" t="s">
        <v>19</v>
      </c>
      <c r="B5">
        <v>2301</v>
      </c>
    </row>
    <row r="6" spans="1:2" x14ac:dyDescent="0.25">
      <c r="A6" s="3" t="s">
        <v>80</v>
      </c>
      <c r="B6">
        <v>4852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86122-E2F9-4A96-BFCA-875C72566C53}">
  <dimension ref="A3:B14"/>
  <sheetViews>
    <sheetView workbookViewId="0">
      <selection activeCell="L10" sqref="L10"/>
    </sheetView>
  </sheetViews>
  <sheetFormatPr defaultRowHeight="15" x14ac:dyDescent="0.25"/>
  <cols>
    <col min="1" max="1" width="28.28515625" bestFit="1" customWidth="1"/>
    <col min="2" max="2" width="25.28515625" bestFit="1" customWidth="1"/>
  </cols>
  <sheetData>
    <row r="3" spans="1:2" x14ac:dyDescent="0.25">
      <c r="A3" s="2" t="s">
        <v>67</v>
      </c>
      <c r="B3" t="s">
        <v>85</v>
      </c>
    </row>
    <row r="4" spans="1:2" x14ac:dyDescent="0.25">
      <c r="A4" s="3" t="s">
        <v>64</v>
      </c>
      <c r="B4" s="5">
        <v>0.89381166881166896</v>
      </c>
    </row>
    <row r="5" spans="1:2" x14ac:dyDescent="0.25">
      <c r="A5" s="3" t="s">
        <v>38</v>
      </c>
      <c r="B5" s="5">
        <v>0.90240519029581523</v>
      </c>
    </row>
    <row r="6" spans="1:2" x14ac:dyDescent="0.25">
      <c r="A6" s="3" t="s">
        <v>60</v>
      </c>
      <c r="B6" s="5">
        <v>0.91663359788359799</v>
      </c>
    </row>
    <row r="7" spans="1:2" x14ac:dyDescent="0.25">
      <c r="A7" s="3" t="s">
        <v>25</v>
      </c>
      <c r="B7" s="5">
        <v>0.91722037652270205</v>
      </c>
    </row>
    <row r="8" spans="1:2" x14ac:dyDescent="0.25">
      <c r="A8" s="3" t="s">
        <v>49</v>
      </c>
      <c r="B8" s="5">
        <v>0.91918650793650769</v>
      </c>
    </row>
    <row r="9" spans="1:2" x14ac:dyDescent="0.25">
      <c r="A9" s="3" t="s">
        <v>39</v>
      </c>
      <c r="B9" s="5">
        <v>0.922118437118437</v>
      </c>
    </row>
    <row r="10" spans="1:2" x14ac:dyDescent="0.25">
      <c r="A10" s="3" t="s">
        <v>51</v>
      </c>
      <c r="B10" s="5">
        <v>0.92840136054421751</v>
      </c>
    </row>
    <row r="11" spans="1:2" x14ac:dyDescent="0.25">
      <c r="A11" s="3" t="s">
        <v>57</v>
      </c>
      <c r="B11" s="5">
        <v>0.92850529100529122</v>
      </c>
    </row>
    <row r="12" spans="1:2" x14ac:dyDescent="0.25">
      <c r="A12" s="3" t="s">
        <v>58</v>
      </c>
      <c r="B12" s="5">
        <v>0.93340476190476196</v>
      </c>
    </row>
    <row r="13" spans="1:2" x14ac:dyDescent="0.25">
      <c r="A13" s="3" t="s">
        <v>17</v>
      </c>
      <c r="B13" s="5">
        <v>0.94247275712792944</v>
      </c>
    </row>
    <row r="14" spans="1:2" x14ac:dyDescent="0.25">
      <c r="A14" s="3" t="s">
        <v>80</v>
      </c>
      <c r="B14" s="5">
        <v>0.92117123151939406</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D44D1-FB4D-4A34-B0AD-858C51C11419}">
  <dimension ref="A3:F14"/>
  <sheetViews>
    <sheetView workbookViewId="0">
      <selection activeCell="K9" sqref="K9"/>
    </sheetView>
  </sheetViews>
  <sheetFormatPr defaultRowHeight="15" x14ac:dyDescent="0.25"/>
  <cols>
    <col min="1" max="1" width="16.42578125" bestFit="1" customWidth="1"/>
    <col min="2" max="2" width="19.140625" bestFit="1" customWidth="1"/>
    <col min="5" max="5" width="28.28515625" bestFit="1" customWidth="1"/>
    <col min="6" max="6" width="19.140625" bestFit="1" customWidth="1"/>
  </cols>
  <sheetData>
    <row r="3" spans="1:6" x14ac:dyDescent="0.25">
      <c r="A3" s="2" t="s">
        <v>67</v>
      </c>
      <c r="B3" t="s">
        <v>87</v>
      </c>
      <c r="E3" s="2" t="s">
        <v>67</v>
      </c>
      <c r="F3" t="s">
        <v>87</v>
      </c>
    </row>
    <row r="4" spans="1:6" x14ac:dyDescent="0.25">
      <c r="A4" s="3" t="s">
        <v>40</v>
      </c>
      <c r="B4" s="6">
        <v>4.6375152625152634E-2</v>
      </c>
      <c r="E4" s="3" t="s">
        <v>62</v>
      </c>
      <c r="F4" s="5">
        <v>5.7733873691320506E-2</v>
      </c>
    </row>
    <row r="5" spans="1:6" x14ac:dyDescent="0.25">
      <c r="A5" s="3" t="s">
        <v>32</v>
      </c>
      <c r="B5" s="6">
        <v>5.5079890675917176E-2</v>
      </c>
      <c r="E5" s="3" t="s">
        <v>25</v>
      </c>
      <c r="F5" s="5">
        <v>5.567552602436323E-2</v>
      </c>
    </row>
    <row r="6" spans="1:6" x14ac:dyDescent="0.25">
      <c r="A6" s="3" t="s">
        <v>26</v>
      </c>
      <c r="B6" s="6">
        <v>4.6354311705188903E-2</v>
      </c>
      <c r="E6" s="3" t="s">
        <v>38</v>
      </c>
      <c r="F6" s="5">
        <v>6.8552150974025977E-2</v>
      </c>
    </row>
    <row r="7" spans="1:6" x14ac:dyDescent="0.25">
      <c r="A7" s="3" t="s">
        <v>21</v>
      </c>
      <c r="B7" s="6">
        <v>6.8281584316067068E-2</v>
      </c>
      <c r="E7" s="3" t="s">
        <v>49</v>
      </c>
      <c r="F7" s="5">
        <v>4.9900793650793647E-2</v>
      </c>
    </row>
    <row r="8" spans="1:6" x14ac:dyDescent="0.25">
      <c r="A8" s="3" t="s">
        <v>13</v>
      </c>
      <c r="B8" s="6">
        <v>4.5951558516325368E-2</v>
      </c>
      <c r="E8" s="3" t="s">
        <v>47</v>
      </c>
      <c r="F8" s="5">
        <v>5.8625336927223722E-2</v>
      </c>
    </row>
    <row r="9" spans="1:6" x14ac:dyDescent="0.25">
      <c r="A9" s="3" t="s">
        <v>22</v>
      </c>
      <c r="B9" s="6">
        <v>3.8808793719508003E-2</v>
      </c>
      <c r="E9" s="3" t="s">
        <v>64</v>
      </c>
      <c r="F9" s="5">
        <v>5.1555126555126549E-2</v>
      </c>
    </row>
    <row r="10" spans="1:6" x14ac:dyDescent="0.25">
      <c r="A10" s="3" t="s">
        <v>80</v>
      </c>
      <c r="B10" s="6">
        <v>4.950953490953499E-2</v>
      </c>
      <c r="E10" s="3" t="s">
        <v>51</v>
      </c>
      <c r="F10" s="5">
        <v>5.6568877551020413E-2</v>
      </c>
    </row>
    <row r="11" spans="1:6" x14ac:dyDescent="0.25">
      <c r="E11" s="3" t="s">
        <v>57</v>
      </c>
      <c r="F11" s="5">
        <v>5.5869708994709E-2</v>
      </c>
    </row>
    <row r="12" spans="1:6" x14ac:dyDescent="0.25">
      <c r="E12" s="3" t="s">
        <v>54</v>
      </c>
      <c r="F12" s="5">
        <v>7.3412698412698416E-2</v>
      </c>
    </row>
    <row r="13" spans="1:6" x14ac:dyDescent="0.25">
      <c r="E13" s="3" t="s">
        <v>63</v>
      </c>
      <c r="F13" s="5">
        <v>4.9885531135531146E-2</v>
      </c>
    </row>
    <row r="14" spans="1:6" x14ac:dyDescent="0.25">
      <c r="E14" s="3" t="s">
        <v>80</v>
      </c>
      <c r="F14" s="5">
        <v>5.8104316861655417E-2</v>
      </c>
    </row>
  </sheetData>
  <conditionalFormatting sqref="A133:B144 A4:A132">
    <cfRule type="colorScale" priority="1">
      <colorScale>
        <cfvo type="min"/>
        <cfvo type="percentile" val="50"/>
        <cfvo type="max"/>
        <color rgb="FFF8696B"/>
        <color rgb="FFFCFCFF"/>
        <color rgb="FF5A8AC6"/>
      </colorScale>
    </cfRule>
  </conditionalFormatting>
  <pageMargins left="0.7" right="0.7" top="0.75" bottom="0.75" header="0.3" footer="0.3"/>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D41B9-7686-4F99-836C-A51D875BCC21}">
  <dimension ref="A3:I14"/>
  <sheetViews>
    <sheetView workbookViewId="0">
      <selection activeCell="D12" sqref="D12"/>
    </sheetView>
  </sheetViews>
  <sheetFormatPr defaultRowHeight="15" x14ac:dyDescent="0.25"/>
  <cols>
    <col min="1" max="1" width="28.28515625" bestFit="1" customWidth="1"/>
    <col min="2" max="2" width="25" bestFit="1" customWidth="1"/>
    <col min="4" max="4" width="28.5703125" bestFit="1" customWidth="1"/>
    <col min="8" max="8" width="16.42578125" bestFit="1" customWidth="1"/>
    <col min="9" max="9" width="25" bestFit="1" customWidth="1"/>
  </cols>
  <sheetData>
    <row r="3" spans="1:9" x14ac:dyDescent="0.25">
      <c r="A3" s="2" t="s">
        <v>67</v>
      </c>
      <c r="B3" t="s">
        <v>88</v>
      </c>
      <c r="H3" s="2" t="s">
        <v>67</v>
      </c>
      <c r="I3" t="s">
        <v>88</v>
      </c>
    </row>
    <row r="4" spans="1:9" x14ac:dyDescent="0.25">
      <c r="A4" s="3" t="s">
        <v>12</v>
      </c>
      <c r="B4" s="7">
        <v>3.2302325581395341</v>
      </c>
      <c r="H4" s="3" t="s">
        <v>21</v>
      </c>
      <c r="I4" s="7">
        <v>3.097931034482758</v>
      </c>
    </row>
    <row r="5" spans="1:9" x14ac:dyDescent="0.25">
      <c r="A5" s="3" t="s">
        <v>29</v>
      </c>
      <c r="B5" s="7">
        <v>3.2023809523809526</v>
      </c>
      <c r="H5" s="3" t="s">
        <v>13</v>
      </c>
      <c r="I5" s="7">
        <v>2.9839378238341974</v>
      </c>
    </row>
    <row r="6" spans="1:9" x14ac:dyDescent="0.25">
      <c r="A6" s="3" t="s">
        <v>51</v>
      </c>
      <c r="B6" s="7">
        <v>3.121428571428571</v>
      </c>
      <c r="H6" s="3" t="s">
        <v>22</v>
      </c>
      <c r="I6" s="7">
        <v>2.963690476190477</v>
      </c>
    </row>
    <row r="7" spans="1:9" x14ac:dyDescent="0.25">
      <c r="A7" s="3" t="s">
        <v>49</v>
      </c>
      <c r="B7" s="7">
        <v>3.08</v>
      </c>
      <c r="H7" s="3" t="s">
        <v>40</v>
      </c>
      <c r="I7" s="7">
        <v>2.9180232558139534</v>
      </c>
    </row>
    <row r="8" spans="1:9" x14ac:dyDescent="0.25">
      <c r="A8" s="3" t="s">
        <v>47</v>
      </c>
      <c r="B8" s="7">
        <v>3.0471698113207548</v>
      </c>
      <c r="H8" s="3" t="s">
        <v>26</v>
      </c>
      <c r="I8" s="7">
        <v>2.905263157894737</v>
      </c>
    </row>
    <row r="9" spans="1:9" x14ac:dyDescent="0.25">
      <c r="A9" s="3" t="s">
        <v>39</v>
      </c>
      <c r="B9" s="7">
        <v>3.046153846153846</v>
      </c>
      <c r="H9" s="3" t="s">
        <v>32</v>
      </c>
      <c r="I9" s="7">
        <v>2.8125827814569555</v>
      </c>
    </row>
    <row r="10" spans="1:9" x14ac:dyDescent="0.25">
      <c r="A10" s="3" t="s">
        <v>25</v>
      </c>
      <c r="B10" s="7">
        <v>3.0441860465116286</v>
      </c>
      <c r="H10" s="3" t="s">
        <v>80</v>
      </c>
      <c r="I10" s="7">
        <v>2.9464000000000019</v>
      </c>
    </row>
    <row r="11" spans="1:9" x14ac:dyDescent="0.25">
      <c r="A11" s="3" t="s">
        <v>64</v>
      </c>
      <c r="B11" s="7">
        <v>2.9918918918918909</v>
      </c>
    </row>
    <row r="12" spans="1:9" x14ac:dyDescent="0.25">
      <c r="A12" s="3" t="s">
        <v>58</v>
      </c>
      <c r="B12" s="7">
        <v>2.99</v>
      </c>
    </row>
    <row r="13" spans="1:9" x14ac:dyDescent="0.25">
      <c r="A13" s="3" t="s">
        <v>63</v>
      </c>
      <c r="B13" s="7">
        <v>2.9596153846153834</v>
      </c>
    </row>
    <row r="14" spans="1:9" x14ac:dyDescent="0.25">
      <c r="A14" s="3" t="s">
        <v>80</v>
      </c>
      <c r="B14" s="7">
        <v>3.0688622754491006</v>
      </c>
    </row>
  </sheetData>
  <pageMargins left="0.7" right="0.7" top="0.75" bottom="0.75" header="0.3" footer="0.3"/>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F34D1-AEDA-4775-9BCD-68099BC64DC8}">
  <dimension ref="A3:I14"/>
  <sheetViews>
    <sheetView workbookViewId="0">
      <selection activeCell="M14" sqref="M14"/>
    </sheetView>
  </sheetViews>
  <sheetFormatPr defaultRowHeight="15" x14ac:dyDescent="0.25"/>
  <cols>
    <col min="1" max="1" width="13.42578125" bestFit="1" customWidth="1"/>
    <col min="2" max="2" width="24.28515625" bestFit="1" customWidth="1"/>
  </cols>
  <sheetData>
    <row r="3" spans="1:9" x14ac:dyDescent="0.25">
      <c r="A3" s="2" t="s">
        <v>67</v>
      </c>
      <c r="B3" t="s">
        <v>81</v>
      </c>
    </row>
    <row r="4" spans="1:9" x14ac:dyDescent="0.25">
      <c r="A4" s="3" t="s">
        <v>24</v>
      </c>
      <c r="B4">
        <v>372</v>
      </c>
      <c r="H4" s="3" t="s">
        <v>24</v>
      </c>
      <c r="I4">
        <v>372</v>
      </c>
    </row>
    <row r="5" spans="1:9" x14ac:dyDescent="0.25">
      <c r="A5" s="3" t="s">
        <v>46</v>
      </c>
      <c r="B5">
        <v>486</v>
      </c>
      <c r="H5" s="3" t="s">
        <v>46</v>
      </c>
      <c r="I5">
        <v>486</v>
      </c>
    </row>
    <row r="6" spans="1:9" x14ac:dyDescent="0.25">
      <c r="A6" s="3" t="s">
        <v>11</v>
      </c>
      <c r="B6">
        <v>413</v>
      </c>
      <c r="H6" s="3" t="s">
        <v>11</v>
      </c>
      <c r="I6">
        <v>413</v>
      </c>
    </row>
    <row r="7" spans="1:9" x14ac:dyDescent="0.25">
      <c r="A7" s="3" t="s">
        <v>34</v>
      </c>
      <c r="B7">
        <v>572</v>
      </c>
      <c r="H7" s="3" t="s">
        <v>34</v>
      </c>
      <c r="I7">
        <v>572</v>
      </c>
    </row>
    <row r="8" spans="1:9" x14ac:dyDescent="0.25">
      <c r="A8" s="3" t="s">
        <v>16</v>
      </c>
      <c r="B8">
        <v>449</v>
      </c>
      <c r="H8" s="3" t="s">
        <v>16</v>
      </c>
      <c r="I8">
        <v>449</v>
      </c>
    </row>
    <row r="9" spans="1:9" x14ac:dyDescent="0.25">
      <c r="A9" s="3" t="s">
        <v>37</v>
      </c>
      <c r="B9">
        <v>629</v>
      </c>
      <c r="H9" s="3" t="s">
        <v>37</v>
      </c>
      <c r="I9">
        <v>629</v>
      </c>
    </row>
    <row r="10" spans="1:9" x14ac:dyDescent="0.25">
      <c r="A10" s="3" t="s">
        <v>41</v>
      </c>
      <c r="B10">
        <v>444</v>
      </c>
      <c r="H10" s="3" t="s">
        <v>41</v>
      </c>
      <c r="I10">
        <v>444</v>
      </c>
    </row>
    <row r="11" spans="1:9" x14ac:dyDescent="0.25">
      <c r="A11" s="3" t="s">
        <v>28</v>
      </c>
      <c r="B11">
        <v>469</v>
      </c>
      <c r="H11" s="3" t="s">
        <v>28</v>
      </c>
      <c r="I11">
        <v>469</v>
      </c>
    </row>
    <row r="12" spans="1:9" x14ac:dyDescent="0.25">
      <c r="A12" s="3" t="s">
        <v>56</v>
      </c>
      <c r="B12">
        <v>469</v>
      </c>
      <c r="H12" s="3" t="s">
        <v>56</v>
      </c>
      <c r="I12">
        <v>469</v>
      </c>
    </row>
    <row r="13" spans="1:9" x14ac:dyDescent="0.25">
      <c r="A13" s="3" t="s">
        <v>48</v>
      </c>
      <c r="B13">
        <v>549</v>
      </c>
      <c r="H13" s="3" t="s">
        <v>48</v>
      </c>
      <c r="I13">
        <v>549</v>
      </c>
    </row>
    <row r="14" spans="1:9" x14ac:dyDescent="0.25">
      <c r="A14" s="3" t="s">
        <v>80</v>
      </c>
      <c r="B14">
        <v>4852</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46E6C-53CC-4AEA-BFD5-05334D50E2A6}">
  <dimension ref="A2:H27"/>
  <sheetViews>
    <sheetView workbookViewId="0">
      <selection activeCell="A3" sqref="A3"/>
    </sheetView>
  </sheetViews>
  <sheetFormatPr defaultRowHeight="15" x14ac:dyDescent="0.25"/>
  <cols>
    <col min="1" max="1" width="25" bestFit="1" customWidth="1"/>
    <col min="4" max="4" width="13.42578125" bestFit="1" customWidth="1"/>
    <col min="5" max="5" width="24.28515625" bestFit="1" customWidth="1"/>
    <col min="7" max="7" width="16.42578125" bestFit="1" customWidth="1"/>
    <col min="8" max="8" width="24.28515625" bestFit="1" customWidth="1"/>
  </cols>
  <sheetData>
    <row r="2" spans="1:8" x14ac:dyDescent="0.25">
      <c r="A2" t="s">
        <v>81</v>
      </c>
      <c r="D2" s="2" t="s">
        <v>67</v>
      </c>
      <c r="E2" t="s">
        <v>81</v>
      </c>
      <c r="G2" s="2" t="s">
        <v>67</v>
      </c>
      <c r="H2" t="s">
        <v>81</v>
      </c>
    </row>
    <row r="3" spans="1:8" x14ac:dyDescent="0.25">
      <c r="A3">
        <v>4852</v>
      </c>
      <c r="D3" s="3" t="s">
        <v>35</v>
      </c>
      <c r="E3">
        <v>318</v>
      </c>
      <c r="G3" s="3" t="s">
        <v>13</v>
      </c>
      <c r="H3">
        <v>900</v>
      </c>
    </row>
    <row r="4" spans="1:8" x14ac:dyDescent="0.25">
      <c r="D4" s="3" t="s">
        <v>39</v>
      </c>
      <c r="E4">
        <v>318</v>
      </c>
      <c r="G4" s="3" t="s">
        <v>22</v>
      </c>
      <c r="H4">
        <v>852</v>
      </c>
    </row>
    <row r="5" spans="1:8" x14ac:dyDescent="0.25">
      <c r="D5" s="3" t="s">
        <v>38</v>
      </c>
      <c r="E5">
        <v>311</v>
      </c>
      <c r="G5" s="3" t="s">
        <v>40</v>
      </c>
      <c r="H5">
        <v>820</v>
      </c>
    </row>
    <row r="6" spans="1:8" x14ac:dyDescent="0.25">
      <c r="A6" t="s">
        <v>89</v>
      </c>
      <c r="D6" s="3" t="s">
        <v>49</v>
      </c>
      <c r="E6">
        <v>300</v>
      </c>
      <c r="G6" s="3" t="s">
        <v>26</v>
      </c>
      <c r="H6">
        <v>819</v>
      </c>
    </row>
    <row r="7" spans="1:8" x14ac:dyDescent="0.25">
      <c r="A7">
        <v>4389</v>
      </c>
      <c r="D7" s="3" t="s">
        <v>17</v>
      </c>
      <c r="E7">
        <v>280</v>
      </c>
      <c r="G7" s="3" t="s">
        <v>32</v>
      </c>
      <c r="H7">
        <v>772</v>
      </c>
    </row>
    <row r="8" spans="1:8" x14ac:dyDescent="0.25">
      <c r="D8" s="3" t="s">
        <v>47</v>
      </c>
      <c r="E8">
        <v>259</v>
      </c>
      <c r="G8" s="3" t="s">
        <v>21</v>
      </c>
      <c r="H8">
        <v>689</v>
      </c>
    </row>
    <row r="9" spans="1:8" x14ac:dyDescent="0.25">
      <c r="D9" s="3" t="s">
        <v>58</v>
      </c>
      <c r="E9">
        <v>255</v>
      </c>
      <c r="G9" s="3" t="s">
        <v>80</v>
      </c>
      <c r="H9">
        <v>4852</v>
      </c>
    </row>
    <row r="10" spans="1:8" x14ac:dyDescent="0.25">
      <c r="A10" s="8" t="s">
        <v>90</v>
      </c>
      <c r="D10" s="3" t="s">
        <v>51</v>
      </c>
      <c r="E10">
        <v>254</v>
      </c>
    </row>
    <row r="11" spans="1:8" x14ac:dyDescent="0.25">
      <c r="A11" s="4">
        <f>(SUM('Cleaned Datasets'!K:K)/SUM('Cleaned Datasets'!I:I))</f>
        <v>5.0082440230832644E-2</v>
      </c>
      <c r="D11" s="3" t="s">
        <v>63</v>
      </c>
      <c r="E11">
        <v>249</v>
      </c>
    </row>
    <row r="12" spans="1:8" x14ac:dyDescent="0.25">
      <c r="D12" s="3" t="s">
        <v>62</v>
      </c>
      <c r="E12">
        <v>237</v>
      </c>
    </row>
    <row r="13" spans="1:8" x14ac:dyDescent="0.25">
      <c r="D13" s="3" t="s">
        <v>80</v>
      </c>
      <c r="E13">
        <v>2781</v>
      </c>
    </row>
    <row r="14" spans="1:8" x14ac:dyDescent="0.25">
      <c r="A14" t="s">
        <v>88</v>
      </c>
    </row>
    <row r="15" spans="1:8" x14ac:dyDescent="0.25">
      <c r="A15">
        <v>2.9463999999999992</v>
      </c>
    </row>
    <row r="16" spans="1:8" x14ac:dyDescent="0.25">
      <c r="D16" s="2" t="s">
        <v>67</v>
      </c>
      <c r="E16" t="s">
        <v>81</v>
      </c>
    </row>
    <row r="17" spans="1:5" x14ac:dyDescent="0.25">
      <c r="D17" s="3" t="s">
        <v>37</v>
      </c>
      <c r="E17">
        <v>629</v>
      </c>
    </row>
    <row r="18" spans="1:5" x14ac:dyDescent="0.25">
      <c r="D18" s="3" t="s">
        <v>34</v>
      </c>
      <c r="E18">
        <v>572</v>
      </c>
    </row>
    <row r="19" spans="1:5" x14ac:dyDescent="0.25">
      <c r="A19" s="8" t="s">
        <v>84</v>
      </c>
      <c r="D19" s="3" t="s">
        <v>48</v>
      </c>
      <c r="E19">
        <v>549</v>
      </c>
    </row>
    <row r="20" spans="1:5" x14ac:dyDescent="0.25">
      <c r="A20" s="4">
        <f>SUM('Cleaned Datasets'!J:J)/SUM('Cleaned Datasets'!I:I)</f>
        <v>0.90457543281121189</v>
      </c>
      <c r="D20" s="3" t="s">
        <v>46</v>
      </c>
      <c r="E20">
        <v>486</v>
      </c>
    </row>
    <row r="21" spans="1:5" x14ac:dyDescent="0.25">
      <c r="D21" s="3" t="s">
        <v>56</v>
      </c>
      <c r="E21">
        <v>469</v>
      </c>
    </row>
    <row r="22" spans="1:5" x14ac:dyDescent="0.25">
      <c r="D22" s="3" t="s">
        <v>28</v>
      </c>
      <c r="E22">
        <v>469</v>
      </c>
    </row>
    <row r="23" spans="1:5" x14ac:dyDescent="0.25">
      <c r="D23" s="3" t="s">
        <v>16</v>
      </c>
      <c r="E23">
        <v>449</v>
      </c>
    </row>
    <row r="24" spans="1:5" x14ac:dyDescent="0.25">
      <c r="D24" s="3" t="s">
        <v>41</v>
      </c>
      <c r="E24">
        <v>444</v>
      </c>
    </row>
    <row r="25" spans="1:5" x14ac:dyDescent="0.25">
      <c r="D25" s="3" t="s">
        <v>11</v>
      </c>
      <c r="E25">
        <v>413</v>
      </c>
    </row>
    <row r="26" spans="1:5" x14ac:dyDescent="0.25">
      <c r="D26" s="3" t="s">
        <v>24</v>
      </c>
      <c r="E26">
        <v>372</v>
      </c>
    </row>
    <row r="27" spans="1:5" x14ac:dyDescent="0.25">
      <c r="D27" s="3" t="s">
        <v>80</v>
      </c>
      <c r="E27">
        <v>4852</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E63F7-7D49-4985-B9BC-9F4CBE8FC29A}">
  <dimension ref="A1"/>
  <sheetViews>
    <sheetView showGridLines="0" tabSelected="1" zoomScale="80" zoomScaleNormal="80" workbookViewId="0">
      <selection activeCell="U10" sqref="U10"/>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Raw Datasets</vt:lpstr>
      <vt:lpstr>Cleaned Datasets</vt:lpstr>
      <vt:lpstr>Anaysis_1</vt:lpstr>
      <vt:lpstr>Analysis_2</vt:lpstr>
      <vt:lpstr>Analysis_3</vt:lpstr>
      <vt:lpstr>Anaylsis_4</vt:lpstr>
      <vt:lpstr>Analysis_5</vt:lpstr>
      <vt:lpstr>Analysis_6</vt:lpstr>
      <vt:lpstr>Analysis_7</vt:lpstr>
      <vt:lpstr>Analysis_8</vt:lpstr>
      <vt:lpstr>Analysis_9</vt:lpstr>
      <vt:lpstr>Analysis_10</vt:lpstr>
      <vt:lpstr>KPI's and Slicers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DELL</cp:lastModifiedBy>
  <dcterms:created xsi:type="dcterms:W3CDTF">2025-07-08T18:21:53Z</dcterms:created>
  <dcterms:modified xsi:type="dcterms:W3CDTF">2026-02-03T12:20:31Z</dcterms:modified>
</cp:coreProperties>
</file>